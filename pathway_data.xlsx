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mperiallondon-my.sharepoint.com/personal/sa2623_ic_ac_uk/Documents/Desktop/PathwayLACW/"/>
    </mc:Choice>
  </mc:AlternateContent>
  <xr:revisionPtr revIDLastSave="6938" documentId="8_{C2960469-71E5-4BF6-B11B-30A7EE013924}" xr6:coauthVersionLast="47" xr6:coauthVersionMax="47" xr10:uidLastSave="{E4A39E75-63AE-4E79-BF4B-8FA1A9C9441A}"/>
  <bookViews>
    <workbookView xWindow="-110" yWindow="-110" windowWidth="19420" windowHeight="11500" xr2:uid="{73CA9C14-4B4F-4C62-92D8-6A29C356639A}"/>
  </bookViews>
  <sheets>
    <sheet name="Pathwaydata" sheetId="1" r:id="rId1"/>
  </sheets>
  <externalReferences>
    <externalReference r:id="rId2"/>
  </externalReferences>
  <definedNames>
    <definedName name="_xlnm._FilterDatabase" localSheetId="0" hidden="1">Pathwaydata!$A$1:$BT$296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Q296" i="1" s="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P222" i="1" s="1"/>
  <c r="JX222" i="1" s="1"/>
  <c r="L223" i="1"/>
  <c r="P223" i="1" s="1"/>
  <c r="JX223" i="1" s="1"/>
  <c r="L224" i="1"/>
  <c r="L225" i="1"/>
  <c r="P225" i="1" s="1"/>
  <c r="JX225" i="1" s="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O222" i="1" s="1"/>
  <c r="K223" i="1"/>
  <c r="K224" i="1"/>
  <c r="O224" i="1" s="1"/>
  <c r="JS224" i="1" s="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J3" i="1"/>
  <c r="J4" i="1"/>
  <c r="J5" i="1"/>
  <c r="J6" i="1"/>
  <c r="J7" i="1"/>
  <c r="J8" i="1"/>
  <c r="J9" i="1"/>
  <c r="N9" i="1" s="1"/>
  <c r="JV9" i="1" s="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N222" i="1" s="1"/>
  <c r="JV222" i="1" s="1"/>
  <c r="J223" i="1"/>
  <c r="N223" i="1" s="1"/>
  <c r="JV223" i="1" s="1"/>
  <c r="J224" i="1"/>
  <c r="J225" i="1"/>
  <c r="N225" i="1" s="1"/>
  <c r="JV225" i="1" s="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L2" i="1"/>
  <c r="K2" i="1"/>
  <c r="J2" i="1"/>
  <c r="P224" i="1"/>
  <c r="JX224" i="1" s="1"/>
  <c r="O223" i="1"/>
  <c r="JW223" i="1" s="1"/>
  <c r="O225" i="1"/>
  <c r="JS225" i="1" s="1"/>
  <c r="N224" i="1"/>
  <c r="JR224" i="1" s="1"/>
  <c r="F37" i="1"/>
  <c r="I282" i="1"/>
  <c r="H282" i="1"/>
  <c r="G282" i="1"/>
  <c r="F282" i="1"/>
  <c r="H278" i="1"/>
  <c r="G278" i="1"/>
  <c r="F278" i="1"/>
  <c r="JR222" i="1" l="1"/>
  <c r="JR9" i="1"/>
  <c r="JS223" i="1"/>
  <c r="JT225" i="1"/>
  <c r="JT224" i="1"/>
  <c r="JW225" i="1"/>
  <c r="JT222" i="1"/>
  <c r="JW224" i="1"/>
  <c r="JR225" i="1"/>
  <c r="JT223" i="1"/>
  <c r="JW222" i="1"/>
  <c r="JS222" i="1"/>
  <c r="JV224" i="1"/>
  <c r="JY296" i="1"/>
  <c r="JU296" i="1"/>
  <c r="JR223" i="1"/>
  <c r="Q3" i="1"/>
  <c r="Q4" i="1"/>
  <c r="Q5" i="1"/>
  <c r="Q6" i="1"/>
  <c r="Q7" i="1"/>
  <c r="Q8" i="1"/>
  <c r="Q9" i="1"/>
  <c r="Q10" i="1"/>
  <c r="Q14" i="1"/>
  <c r="Q15" i="1"/>
  <c r="Q16" i="1"/>
  <c r="Q18" i="1"/>
  <c r="Q19" i="1"/>
  <c r="Q20" i="1"/>
  <c r="Q21" i="1"/>
  <c r="Q23" i="1"/>
  <c r="Q26" i="1"/>
  <c r="Q27" i="1"/>
  <c r="Q28" i="1"/>
  <c r="Q29" i="1"/>
  <c r="Q30" i="1"/>
  <c r="Q31" i="1"/>
  <c r="Q32" i="1"/>
  <c r="Q33" i="1"/>
  <c r="Q36" i="1"/>
  <c r="Q37" i="1"/>
  <c r="Q38" i="1"/>
  <c r="Q39" i="1"/>
  <c r="Q42" i="1"/>
  <c r="Q43" i="1"/>
  <c r="Q44" i="1"/>
  <c r="Q45" i="1"/>
  <c r="Q50" i="1"/>
  <c r="Q51" i="1"/>
  <c r="Q52" i="1"/>
  <c r="Q53" i="1"/>
  <c r="Q54" i="1"/>
  <c r="Q55" i="1"/>
  <c r="Q56" i="1"/>
  <c r="Q57" i="1"/>
  <c r="Q59" i="1"/>
  <c r="Q62" i="1"/>
  <c r="Q65" i="1"/>
  <c r="Q66" i="1"/>
  <c r="Q67" i="1"/>
  <c r="Q68" i="1"/>
  <c r="Q69" i="1"/>
  <c r="Q70" i="1"/>
  <c r="Q72" i="1"/>
  <c r="Q73" i="1"/>
  <c r="Q74" i="1"/>
  <c r="Q75" i="1"/>
  <c r="Q76" i="1"/>
  <c r="Q77" i="1"/>
  <c r="Q78" i="1"/>
  <c r="Q79" i="1"/>
  <c r="Q80" i="1"/>
  <c r="Q81" i="1"/>
  <c r="Q85" i="1"/>
  <c r="Q86" i="1"/>
  <c r="Q87" i="1"/>
  <c r="Q88" i="1"/>
  <c r="Q89" i="1"/>
  <c r="Q90" i="1"/>
  <c r="Q91" i="1"/>
  <c r="Q92" i="1"/>
  <c r="Q93" i="1"/>
  <c r="Q97" i="1"/>
  <c r="Q98" i="1"/>
  <c r="Q100" i="1"/>
  <c r="Q102" i="1"/>
  <c r="Q103" i="1"/>
  <c r="Q104" i="1"/>
  <c r="Q105" i="1"/>
  <c r="Q106" i="1"/>
  <c r="Q108" i="1"/>
  <c r="Q109" i="1"/>
  <c r="Q110" i="1"/>
  <c r="Q111" i="1"/>
  <c r="Q112" i="1"/>
  <c r="Q113" i="1"/>
  <c r="Q114" i="1"/>
  <c r="Q115" i="1"/>
  <c r="Q116" i="1"/>
  <c r="Q117" i="1"/>
  <c r="Q118" i="1"/>
  <c r="Q120" i="1"/>
  <c r="Q121" i="1"/>
  <c r="Q122" i="1"/>
  <c r="Q123" i="1"/>
  <c r="Q124" i="1"/>
  <c r="Q125" i="1"/>
  <c r="Q126" i="1"/>
  <c r="Q127" i="1"/>
  <c r="Q128" i="1"/>
  <c r="Q129" i="1"/>
  <c r="Q133" i="1"/>
  <c r="Q134" i="1"/>
  <c r="Q135" i="1"/>
  <c r="Q136" i="1"/>
  <c r="Q137" i="1"/>
  <c r="Q138" i="1"/>
  <c r="Q139" i="1"/>
  <c r="Q140" i="1"/>
  <c r="Q141" i="1"/>
  <c r="Q143" i="1"/>
  <c r="Q146" i="1"/>
  <c r="Q148" i="1"/>
  <c r="Q150" i="1"/>
  <c r="Q151" i="1"/>
  <c r="Q152" i="1"/>
  <c r="Q153" i="1"/>
  <c r="Q154" i="1"/>
  <c r="Q157" i="1"/>
  <c r="Q158" i="1"/>
  <c r="Q159" i="1"/>
  <c r="Q160" i="1"/>
  <c r="Q161" i="1"/>
  <c r="Q162" i="1"/>
  <c r="Q163" i="1"/>
  <c r="Q164" i="1"/>
  <c r="Q165" i="1"/>
  <c r="Q166" i="1"/>
  <c r="Q168" i="1"/>
  <c r="Q169" i="1"/>
  <c r="Q170" i="1"/>
  <c r="Q171" i="1"/>
  <c r="Q172" i="1"/>
  <c r="Q173" i="1"/>
  <c r="Q174" i="1"/>
  <c r="Q175" i="1"/>
  <c r="Q176" i="1"/>
  <c r="Q177" i="1"/>
  <c r="Q178" i="1"/>
  <c r="Q179" i="1"/>
  <c r="Q181" i="1"/>
  <c r="Q182" i="1"/>
  <c r="Q183" i="1"/>
  <c r="Q184" i="1"/>
  <c r="Q186" i="1"/>
  <c r="Q187" i="1"/>
  <c r="Q188" i="1"/>
  <c r="Q189" i="1"/>
  <c r="Q190" i="1"/>
  <c r="Q193" i="1"/>
  <c r="Q194" i="1"/>
  <c r="Q195" i="1"/>
  <c r="Q196" i="1"/>
  <c r="Q197" i="1"/>
  <c r="Q198" i="1"/>
  <c r="Q199" i="1"/>
  <c r="Q200" i="1"/>
  <c r="Q201" i="1"/>
  <c r="Q202" i="1"/>
  <c r="Q205" i="1"/>
  <c r="Q206" i="1"/>
  <c r="Q207" i="1"/>
  <c r="Q209" i="1"/>
  <c r="Q210" i="1"/>
  <c r="Q211" i="1"/>
  <c r="Q212" i="1"/>
  <c r="Q213" i="1"/>
  <c r="Q214" i="1"/>
  <c r="Q216" i="1"/>
  <c r="Q217" i="1"/>
  <c r="Q218" i="1"/>
  <c r="Q220" i="1"/>
  <c r="Q221" i="1"/>
  <c r="Q222" i="1"/>
  <c r="Q223" i="1"/>
  <c r="Q224" i="1"/>
  <c r="Q225" i="1"/>
  <c r="Q226" i="1"/>
  <c r="Q227" i="1"/>
  <c r="Q230" i="1"/>
  <c r="Q231" i="1"/>
  <c r="Q232" i="1"/>
  <c r="Q233" i="1"/>
  <c r="Q235" i="1"/>
  <c r="Q236" i="1"/>
  <c r="Q237" i="1"/>
  <c r="Q238" i="1"/>
  <c r="Q242" i="1"/>
  <c r="Q243" i="1"/>
  <c r="Q244" i="1"/>
  <c r="Q246" i="1"/>
  <c r="Q247" i="1"/>
  <c r="Q248" i="1"/>
  <c r="Q249" i="1"/>
  <c r="Q250" i="1"/>
  <c r="Q253" i="1"/>
  <c r="Q254" i="1"/>
  <c r="Q255" i="1"/>
  <c r="Q256" i="1"/>
  <c r="Q257" i="1"/>
  <c r="Q258" i="1"/>
  <c r="Q259" i="1"/>
  <c r="Q260" i="1"/>
  <c r="Q261" i="1"/>
  <c r="Q262" i="1"/>
  <c r="Q264" i="1"/>
  <c r="Q265" i="1"/>
  <c r="Q266" i="1"/>
  <c r="Q268" i="1"/>
  <c r="Q269" i="1"/>
  <c r="Q272" i="1"/>
  <c r="Q273" i="1"/>
  <c r="Q274" i="1"/>
  <c r="Q277" i="1"/>
  <c r="Q278" i="1"/>
  <c r="Q279" i="1"/>
  <c r="Q280" i="1"/>
  <c r="Q281" i="1"/>
  <c r="Q282" i="1"/>
  <c r="Q283" i="1"/>
  <c r="Q284" i="1"/>
  <c r="Q285" i="1"/>
  <c r="Q286" i="1"/>
  <c r="Q289" i="1"/>
  <c r="Q290" i="1"/>
  <c r="Q291" i="1"/>
  <c r="Q292" i="1"/>
  <c r="Q293" i="1"/>
  <c r="Q294" i="1"/>
  <c r="Q295" i="1"/>
  <c r="P3" i="1"/>
  <c r="P4" i="1"/>
  <c r="P5" i="1"/>
  <c r="P6" i="1"/>
  <c r="P7" i="1"/>
  <c r="P8" i="1"/>
  <c r="P9" i="1"/>
  <c r="P10" i="1"/>
  <c r="P13" i="1"/>
  <c r="P14" i="1"/>
  <c r="P16" i="1"/>
  <c r="P19" i="1"/>
  <c r="P20" i="1"/>
  <c r="P21" i="1"/>
  <c r="P22" i="1"/>
  <c r="P23" i="1"/>
  <c r="P24" i="1"/>
  <c r="P25" i="1"/>
  <c r="P26" i="1"/>
  <c r="P28" i="1"/>
  <c r="P30" i="1"/>
  <c r="P31" i="1"/>
  <c r="P32" i="1"/>
  <c r="P33" i="1"/>
  <c r="P34" i="1"/>
  <c r="P35" i="1"/>
  <c r="P36" i="1"/>
  <c r="P37" i="1"/>
  <c r="P38" i="1"/>
  <c r="P39" i="1"/>
  <c r="P40" i="1"/>
  <c r="P42" i="1"/>
  <c r="P43" i="1"/>
  <c r="P44" i="1"/>
  <c r="P45" i="1"/>
  <c r="P46" i="1"/>
  <c r="P48" i="1"/>
  <c r="P49" i="1"/>
  <c r="P50" i="1"/>
  <c r="P52" i="1"/>
  <c r="P53" i="1"/>
  <c r="P54" i="1"/>
  <c r="P55" i="1"/>
  <c r="P56" i="1"/>
  <c r="P57" i="1"/>
  <c r="P58" i="1"/>
  <c r="P59" i="1"/>
  <c r="P60" i="1"/>
  <c r="P61" i="1"/>
  <c r="P62" i="1"/>
  <c r="P65" i="1"/>
  <c r="P66" i="1"/>
  <c r="P67" i="1"/>
  <c r="P68" i="1"/>
  <c r="P69" i="1"/>
  <c r="P70" i="1"/>
  <c r="P71" i="1"/>
  <c r="P72" i="1"/>
  <c r="P73" i="1"/>
  <c r="P74" i="1"/>
  <c r="P75" i="1"/>
  <c r="P77" i="1"/>
  <c r="P78" i="1"/>
  <c r="P79" i="1"/>
  <c r="P80" i="1"/>
  <c r="P81" i="1"/>
  <c r="P82" i="1"/>
  <c r="P83" i="1"/>
  <c r="P84" i="1"/>
  <c r="P85" i="1"/>
  <c r="P86" i="1"/>
  <c r="P87" i="1"/>
  <c r="P89" i="1"/>
  <c r="P90" i="1"/>
  <c r="P91" i="1"/>
  <c r="P92" i="1"/>
  <c r="P93" i="1"/>
  <c r="P94" i="1"/>
  <c r="P95" i="1"/>
  <c r="P96" i="1"/>
  <c r="P97" i="1"/>
  <c r="P98" i="1"/>
  <c r="P101" i="1"/>
  <c r="P103" i="1"/>
  <c r="P104" i="1"/>
  <c r="P107" i="1"/>
  <c r="P108" i="1"/>
  <c r="P109" i="1"/>
  <c r="P110" i="1"/>
  <c r="P111" i="1"/>
  <c r="P113" i="1"/>
  <c r="P114" i="1"/>
  <c r="P115" i="1"/>
  <c r="P116" i="1"/>
  <c r="P117" i="1"/>
  <c r="P118" i="1"/>
  <c r="P119" i="1"/>
  <c r="P120" i="1"/>
  <c r="P121" i="1"/>
  <c r="P122" i="1"/>
  <c r="P124" i="1"/>
  <c r="P125" i="1"/>
  <c r="P126" i="1"/>
  <c r="P127" i="1"/>
  <c r="P128" i="1"/>
  <c r="P129" i="1"/>
  <c r="P130" i="1"/>
  <c r="P131" i="1"/>
  <c r="P132" i="1"/>
  <c r="P133" i="1"/>
  <c r="P134" i="1"/>
  <c r="P137" i="1"/>
  <c r="P138" i="1"/>
  <c r="P139" i="1"/>
  <c r="P140" i="1"/>
  <c r="P141" i="1"/>
  <c r="P142" i="1"/>
  <c r="P143" i="1"/>
  <c r="P144" i="1"/>
  <c r="P145" i="1"/>
  <c r="P146" i="1"/>
  <c r="P149" i="1"/>
  <c r="P150" i="1"/>
  <c r="P151" i="1"/>
  <c r="P152" i="1"/>
  <c r="P153" i="1"/>
  <c r="P154" i="1"/>
  <c r="P155" i="1"/>
  <c r="P156" i="1"/>
  <c r="P157" i="1"/>
  <c r="P158" i="1"/>
  <c r="P159" i="1"/>
  <c r="P161" i="1"/>
  <c r="P162" i="1"/>
  <c r="P163" i="1"/>
  <c r="P164" i="1"/>
  <c r="P166" i="1"/>
  <c r="P167" i="1"/>
  <c r="P168" i="1"/>
  <c r="P169" i="1"/>
  <c r="P170" i="1"/>
  <c r="P173" i="1"/>
  <c r="P175" i="1"/>
  <c r="P176" i="1"/>
  <c r="P177" i="1"/>
  <c r="P178" i="1"/>
  <c r="P179" i="1"/>
  <c r="P180" i="1"/>
  <c r="P181" i="1"/>
  <c r="P182" i="1"/>
  <c r="P184" i="1"/>
  <c r="P186" i="1"/>
  <c r="P187" i="1"/>
  <c r="P188" i="1"/>
  <c r="P189" i="1"/>
  <c r="P190" i="1"/>
  <c r="P191" i="1"/>
  <c r="P192" i="1"/>
  <c r="P193" i="1"/>
  <c r="P194" i="1"/>
  <c r="P195" i="1"/>
  <c r="P197" i="1"/>
  <c r="P198" i="1"/>
  <c r="P199" i="1"/>
  <c r="P200" i="1"/>
  <c r="P201" i="1"/>
  <c r="P202" i="1"/>
  <c r="P203" i="1"/>
  <c r="P204" i="1"/>
  <c r="P205" i="1"/>
  <c r="P206" i="1"/>
  <c r="P210" i="1"/>
  <c r="P211" i="1"/>
  <c r="P212" i="1"/>
  <c r="P213" i="1"/>
  <c r="P214" i="1"/>
  <c r="P215" i="1"/>
  <c r="P216" i="1"/>
  <c r="P217" i="1"/>
  <c r="P220" i="1"/>
  <c r="P227" i="1"/>
  <c r="P228" i="1"/>
  <c r="P229" i="1"/>
  <c r="P230" i="1"/>
  <c r="P231" i="1"/>
  <c r="P232" i="1"/>
  <c r="P233" i="1"/>
  <c r="P234" i="1"/>
  <c r="P236" i="1"/>
  <c r="P237" i="1"/>
  <c r="P238" i="1"/>
  <c r="P239" i="1"/>
  <c r="P240" i="1"/>
  <c r="P241" i="1"/>
  <c r="P244" i="1"/>
  <c r="P245" i="1"/>
  <c r="P247" i="1"/>
  <c r="P248" i="1"/>
  <c r="P249" i="1"/>
  <c r="P250" i="1"/>
  <c r="P251" i="1"/>
  <c r="P252" i="1"/>
  <c r="P253" i="1"/>
  <c r="P254" i="1"/>
  <c r="P255" i="1"/>
  <c r="P256" i="1"/>
  <c r="P258" i="1"/>
  <c r="P259" i="1"/>
  <c r="P260" i="1"/>
  <c r="P261" i="1"/>
  <c r="P262" i="1"/>
  <c r="P263" i="1"/>
  <c r="P264" i="1"/>
  <c r="P265" i="1"/>
  <c r="P268" i="1"/>
  <c r="P269" i="1"/>
  <c r="P270" i="1"/>
  <c r="P271" i="1"/>
  <c r="P272" i="1"/>
  <c r="P273" i="1"/>
  <c r="P274" i="1"/>
  <c r="P275" i="1"/>
  <c r="P276" i="1"/>
  <c r="P277" i="1"/>
  <c r="P278" i="1"/>
  <c r="P279" i="1"/>
  <c r="P280" i="1"/>
  <c r="P282" i="1"/>
  <c r="P283" i="1"/>
  <c r="P284" i="1"/>
  <c r="P285" i="1"/>
  <c r="P286" i="1"/>
  <c r="P287" i="1"/>
  <c r="P288" i="1"/>
  <c r="P289" i="1"/>
  <c r="P290" i="1"/>
  <c r="P291" i="1"/>
  <c r="P292" i="1"/>
  <c r="P294" i="1"/>
  <c r="P295" i="1"/>
  <c r="P2" i="1"/>
  <c r="O4" i="1"/>
  <c r="O6" i="1"/>
  <c r="O7" i="1"/>
  <c r="O8" i="1"/>
  <c r="O10" i="1"/>
  <c r="O11" i="1"/>
  <c r="O12" i="1"/>
  <c r="O14" i="1"/>
  <c r="O15" i="1"/>
  <c r="O16" i="1"/>
  <c r="O17" i="1"/>
  <c r="O18" i="1"/>
  <c r="O20" i="1"/>
  <c r="O21" i="1"/>
  <c r="O22" i="1"/>
  <c r="O23" i="1"/>
  <c r="O24" i="1"/>
  <c r="O25" i="1"/>
  <c r="O26" i="1"/>
  <c r="O27" i="1"/>
  <c r="O28" i="1"/>
  <c r="O29" i="1"/>
  <c r="O30" i="1"/>
  <c r="O31" i="1"/>
  <c r="O32" i="1"/>
  <c r="O33" i="1"/>
  <c r="O34" i="1"/>
  <c r="O35" i="1"/>
  <c r="O36" i="1"/>
  <c r="O37" i="1"/>
  <c r="O38" i="1"/>
  <c r="O39" i="1"/>
  <c r="O40" i="1"/>
  <c r="O41" i="1"/>
  <c r="O42" i="1"/>
  <c r="O43" i="1"/>
  <c r="O44" i="1"/>
  <c r="O45" i="1"/>
  <c r="O47" i="1"/>
  <c r="O48" i="1"/>
  <c r="O50" i="1"/>
  <c r="O51" i="1"/>
  <c r="O52" i="1"/>
  <c r="O53" i="1"/>
  <c r="O54" i="1"/>
  <c r="O55" i="1"/>
  <c r="O56" i="1"/>
  <c r="O58" i="1"/>
  <c r="O59" i="1"/>
  <c r="O60" i="1"/>
  <c r="O62" i="1"/>
  <c r="O63" i="1"/>
  <c r="O65" i="1"/>
  <c r="O66" i="1"/>
  <c r="O67" i="1"/>
  <c r="O69" i="1"/>
  <c r="O70" i="1"/>
  <c r="O71" i="1"/>
  <c r="O72" i="1"/>
  <c r="O73" i="1"/>
  <c r="O75" i="1"/>
  <c r="O76" i="1"/>
  <c r="O77" i="1"/>
  <c r="O78" i="1"/>
  <c r="O79" i="1"/>
  <c r="O80" i="1"/>
  <c r="O81" i="1"/>
  <c r="O82" i="1"/>
  <c r="O83" i="1"/>
  <c r="O84" i="1"/>
  <c r="O85" i="1"/>
  <c r="O86" i="1"/>
  <c r="O87" i="1"/>
  <c r="O88" i="1"/>
  <c r="O89" i="1"/>
  <c r="O90" i="1"/>
  <c r="O91" i="1"/>
  <c r="O92" i="1"/>
  <c r="O93" i="1"/>
  <c r="O96" i="1"/>
  <c r="O97" i="1"/>
  <c r="O99" i="1"/>
  <c r="O100" i="1"/>
  <c r="O101" i="1"/>
  <c r="O102" i="1"/>
  <c r="O103" i="1"/>
  <c r="O104" i="1"/>
  <c r="O105" i="1"/>
  <c r="O106" i="1"/>
  <c r="O107" i="1"/>
  <c r="O108" i="1"/>
  <c r="O109" i="1"/>
  <c r="O110" i="1"/>
  <c r="O111" i="1"/>
  <c r="O112" i="1"/>
  <c r="O113" i="1"/>
  <c r="O114" i="1"/>
  <c r="O115" i="1"/>
  <c r="O116" i="1"/>
  <c r="O117" i="1"/>
  <c r="O118" i="1"/>
  <c r="O119" i="1"/>
  <c r="O120" i="1"/>
  <c r="O121" i="1"/>
  <c r="O123" i="1"/>
  <c r="O124" i="1"/>
  <c r="O125" i="1"/>
  <c r="O126" i="1"/>
  <c r="O127" i="1"/>
  <c r="O129" i="1"/>
  <c r="O130" i="1"/>
  <c r="O132" i="1"/>
  <c r="O133" i="1"/>
  <c r="O134" i="1"/>
  <c r="O135" i="1"/>
  <c r="O136" i="1"/>
  <c r="O137" i="1"/>
  <c r="O138" i="1"/>
  <c r="O139" i="1"/>
  <c r="O140" i="1"/>
  <c r="O141" i="1"/>
  <c r="O142" i="1"/>
  <c r="O143" i="1"/>
  <c r="O144" i="1"/>
  <c r="O145" i="1"/>
  <c r="O146" i="1"/>
  <c r="O147" i="1"/>
  <c r="O148" i="1"/>
  <c r="O149" i="1"/>
  <c r="O150" i="1"/>
  <c r="O151" i="1"/>
  <c r="O155" i="1"/>
  <c r="O156" i="1"/>
  <c r="O157" i="1"/>
  <c r="O158" i="1"/>
  <c r="O159" i="1"/>
  <c r="O160" i="1"/>
  <c r="O161" i="1"/>
  <c r="O162" i="1"/>
  <c r="O163" i="1"/>
  <c r="O164" i="1"/>
  <c r="O165" i="1"/>
  <c r="O166" i="1"/>
  <c r="O167" i="1"/>
  <c r="O168" i="1"/>
  <c r="O169" i="1"/>
  <c r="O171" i="1"/>
  <c r="O172" i="1"/>
  <c r="O173" i="1"/>
  <c r="O174" i="1"/>
  <c r="O176" i="1"/>
  <c r="O177" i="1"/>
  <c r="O179" i="1"/>
  <c r="O180" i="1"/>
  <c r="O181" i="1"/>
  <c r="O182" i="1"/>
  <c r="O183" i="1"/>
  <c r="O184" i="1"/>
  <c r="O185" i="1"/>
  <c r="O186" i="1"/>
  <c r="O187" i="1"/>
  <c r="O188" i="1"/>
  <c r="O189" i="1"/>
  <c r="O190" i="1"/>
  <c r="O191" i="1"/>
  <c r="O192" i="1"/>
  <c r="O193" i="1"/>
  <c r="O194" i="1"/>
  <c r="O195" i="1"/>
  <c r="O196" i="1"/>
  <c r="O197" i="1"/>
  <c r="O198" i="1"/>
  <c r="O199" i="1"/>
  <c r="O200" i="1"/>
  <c r="O201" i="1"/>
  <c r="O203" i="1"/>
  <c r="O204" i="1"/>
  <c r="O205" i="1"/>
  <c r="O206" i="1"/>
  <c r="O207" i="1"/>
  <c r="O208" i="1"/>
  <c r="O209" i="1"/>
  <c r="O210" i="1"/>
  <c r="O211" i="1"/>
  <c r="O212" i="1"/>
  <c r="O215" i="1"/>
  <c r="O216" i="1"/>
  <c r="O217" i="1"/>
  <c r="O218" i="1"/>
  <c r="O219" i="1"/>
  <c r="O220" i="1"/>
  <c r="O221" i="1"/>
  <c r="O226" i="1"/>
  <c r="O227" i="1"/>
  <c r="O228" i="1"/>
  <c r="O229" i="1"/>
  <c r="O230" i="1"/>
  <c r="O231" i="1"/>
  <c r="O232" i="1"/>
  <c r="O233" i="1"/>
  <c r="O234" i="1"/>
  <c r="O235" i="1"/>
  <c r="O236" i="1"/>
  <c r="O237" i="1"/>
  <c r="O238" i="1"/>
  <c r="O239" i="1"/>
  <c r="O240" i="1"/>
  <c r="O241" i="1"/>
  <c r="O242" i="1"/>
  <c r="O243" i="1"/>
  <c r="O244" i="1"/>
  <c r="O245" i="1"/>
  <c r="O246" i="1"/>
  <c r="O248" i="1"/>
  <c r="O251" i="1"/>
  <c r="O252" i="1"/>
  <c r="O253" i="1"/>
  <c r="O254" i="1"/>
  <c r="O255" i="1"/>
  <c r="O256" i="1"/>
  <c r="O257" i="1"/>
  <c r="O258" i="1"/>
  <c r="O259" i="1"/>
  <c r="O260" i="1"/>
  <c r="O263" i="1"/>
  <c r="O264" i="1"/>
  <c r="O265" i="1"/>
  <c r="O266" i="1"/>
  <c r="O267" i="1"/>
  <c r="O268" i="1"/>
  <c r="O269" i="1"/>
  <c r="O270" i="1"/>
  <c r="O271" i="1"/>
  <c r="O272" i="1"/>
  <c r="O274" i="1"/>
  <c r="O275" i="1"/>
  <c r="O276" i="1"/>
  <c r="O277" i="1"/>
  <c r="O278" i="1"/>
  <c r="O279" i="1"/>
  <c r="O280" i="1"/>
  <c r="O281" i="1"/>
  <c r="O282" i="1"/>
  <c r="O283" i="1"/>
  <c r="O284" i="1"/>
  <c r="O285" i="1"/>
  <c r="O286" i="1"/>
  <c r="O287" i="1"/>
  <c r="O288" i="1"/>
  <c r="O289" i="1"/>
  <c r="O290" i="1"/>
  <c r="O291" i="1"/>
  <c r="O292" i="1"/>
  <c r="O293" i="1"/>
  <c r="O294" i="1"/>
  <c r="O295" i="1"/>
  <c r="O296" i="1"/>
  <c r="N5" i="1"/>
  <c r="N7" i="1"/>
  <c r="N8" i="1"/>
  <c r="N10" i="1"/>
  <c r="N11" i="1"/>
  <c r="N12" i="1"/>
  <c r="N13" i="1"/>
  <c r="N14" i="1"/>
  <c r="N15" i="1"/>
  <c r="N16" i="1"/>
  <c r="N17" i="1"/>
  <c r="N18" i="1"/>
  <c r="N19" i="1"/>
  <c r="N20" i="1"/>
  <c r="N21" i="1"/>
  <c r="N22" i="1"/>
  <c r="N23" i="1"/>
  <c r="N24" i="1"/>
  <c r="N25" i="1"/>
  <c r="N26" i="1"/>
  <c r="N27" i="1"/>
  <c r="N28" i="1"/>
  <c r="N29" i="1"/>
  <c r="N30" i="1"/>
  <c r="N31" i="1"/>
  <c r="N32" i="1"/>
  <c r="N34" i="1"/>
  <c r="N35" i="1"/>
  <c r="N36" i="1"/>
  <c r="N37" i="1"/>
  <c r="N38" i="1"/>
  <c r="N39" i="1"/>
  <c r="N40" i="1"/>
  <c r="N41" i="1"/>
  <c r="N42" i="1"/>
  <c r="N43" i="1"/>
  <c r="N45" i="1"/>
  <c r="N46" i="1"/>
  <c r="N47" i="1"/>
  <c r="N48" i="1"/>
  <c r="N49" i="1"/>
  <c r="N50" i="1"/>
  <c r="N51" i="1"/>
  <c r="N52" i="1"/>
  <c r="N53" i="1"/>
  <c r="N54" i="1"/>
  <c r="N55" i="1"/>
  <c r="N56" i="1"/>
  <c r="N57" i="1"/>
  <c r="N58" i="1"/>
  <c r="N59" i="1"/>
  <c r="N60" i="1"/>
  <c r="N61" i="1"/>
  <c r="N62" i="1"/>
  <c r="N63" i="1"/>
  <c r="N65" i="1"/>
  <c r="N66" i="1"/>
  <c r="N67" i="1"/>
  <c r="N68" i="1"/>
  <c r="N69" i="1"/>
  <c r="N70" i="1"/>
  <c r="N71" i="1"/>
  <c r="N72" i="1"/>
  <c r="N73" i="1"/>
  <c r="N74" i="1"/>
  <c r="N75" i="1"/>
  <c r="N78" i="1"/>
  <c r="N79" i="1"/>
  <c r="N80" i="1"/>
  <c r="N81" i="1"/>
  <c r="N82" i="1"/>
  <c r="N83" i="1"/>
  <c r="N84" i="1"/>
  <c r="N85" i="1"/>
  <c r="N86" i="1"/>
  <c r="N89" i="1"/>
  <c r="N90" i="1"/>
  <c r="N92" i="1"/>
  <c r="N93" i="1"/>
  <c r="N94" i="1"/>
  <c r="N95" i="1"/>
  <c r="N96" i="1"/>
  <c r="N97" i="1"/>
  <c r="N98"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6" i="1"/>
  <c r="N167" i="1"/>
  <c r="N168" i="1"/>
  <c r="N169" i="1"/>
  <c r="N170" i="1"/>
  <c r="N171" i="1"/>
  <c r="N173" i="1"/>
  <c r="N174" i="1"/>
  <c r="N175" i="1"/>
  <c r="N176" i="1"/>
  <c r="N177" i="1"/>
  <c r="N178" i="1"/>
  <c r="N179" i="1"/>
  <c r="N180" i="1"/>
  <c r="N181" i="1"/>
  <c r="N182" i="1"/>
  <c r="N184" i="1"/>
  <c r="N185" i="1"/>
  <c r="N186" i="1"/>
  <c r="N187" i="1"/>
  <c r="N188" i="1"/>
  <c r="N189" i="1"/>
  <c r="N190" i="1"/>
  <c r="N191" i="1"/>
  <c r="N192" i="1"/>
  <c r="N193" i="1"/>
  <c r="N194" i="1"/>
  <c r="N195" i="1"/>
  <c r="N196" i="1"/>
  <c r="N197" i="1"/>
  <c r="N198" i="1"/>
  <c r="N199" i="1"/>
  <c r="N200" i="1"/>
  <c r="N201" i="1"/>
  <c r="N202" i="1"/>
  <c r="N203" i="1"/>
  <c r="N204" i="1"/>
  <c r="N205" i="1"/>
  <c r="N206" i="1"/>
  <c r="N208" i="1"/>
  <c r="N209" i="1"/>
  <c r="N210" i="1"/>
  <c r="N211" i="1"/>
  <c r="N212" i="1"/>
  <c r="N213" i="1"/>
  <c r="N214" i="1"/>
  <c r="N215" i="1"/>
  <c r="N216" i="1"/>
  <c r="N217" i="1"/>
  <c r="N218" i="1"/>
  <c r="N219" i="1"/>
  <c r="N220" i="1"/>
  <c r="N221" i="1"/>
  <c r="N226" i="1"/>
  <c r="N227" i="1"/>
  <c r="N228" i="1"/>
  <c r="N229" i="1"/>
  <c r="N230" i="1"/>
  <c r="N231" i="1"/>
  <c r="N232" i="1"/>
  <c r="N233" i="1"/>
  <c r="N234" i="1"/>
  <c r="N235" i="1"/>
  <c r="N236" i="1"/>
  <c r="N237" i="1"/>
  <c r="N238" i="1"/>
  <c r="N239" i="1"/>
  <c r="N240" i="1"/>
  <c r="N241" i="1"/>
  <c r="N242" i="1"/>
  <c r="N243" i="1"/>
  <c r="N245" i="1"/>
  <c r="N246" i="1"/>
  <c r="N247" i="1"/>
  <c r="N248" i="1"/>
  <c r="N249" i="1"/>
  <c r="N250" i="1"/>
  <c r="N251" i="1"/>
  <c r="N252" i="1"/>
  <c r="N253" i="1"/>
  <c r="N254" i="1"/>
  <c r="N256" i="1"/>
  <c r="N257" i="1"/>
  <c r="N259" i="1"/>
  <c r="N260" i="1"/>
  <c r="N261" i="1"/>
  <c r="N262" i="1"/>
  <c r="N263" i="1"/>
  <c r="N264" i="1"/>
  <c r="N265" i="1"/>
  <c r="N266" i="1"/>
  <c r="N268" i="1"/>
  <c r="N269" i="1"/>
  <c r="N270" i="1"/>
  <c r="N271" i="1"/>
  <c r="N272" i="1"/>
  <c r="N273" i="1"/>
  <c r="N274" i="1"/>
  <c r="N275" i="1"/>
  <c r="N276" i="1"/>
  <c r="N277" i="1"/>
  <c r="N278" i="1"/>
  <c r="N280" i="1"/>
  <c r="N281" i="1"/>
  <c r="N282" i="1"/>
  <c r="N283" i="1"/>
  <c r="N284" i="1"/>
  <c r="N285" i="1"/>
  <c r="N286" i="1"/>
  <c r="N287" i="1"/>
  <c r="N288" i="1"/>
  <c r="N289" i="1"/>
  <c r="N290" i="1"/>
  <c r="N292" i="1"/>
  <c r="N293" i="1"/>
  <c r="N294" i="1"/>
  <c r="N295" i="1"/>
  <c r="N296" i="1"/>
  <c r="N2" i="1"/>
  <c r="P64" i="1"/>
  <c r="Q11" i="1"/>
  <c r="Q12" i="1"/>
  <c r="Q13" i="1"/>
  <c r="Q17" i="1"/>
  <c r="Q22" i="1"/>
  <c r="Q24" i="1"/>
  <c r="Q25" i="1"/>
  <c r="Q34" i="1"/>
  <c r="Q35" i="1"/>
  <c r="Q40" i="1"/>
  <c r="Q41" i="1"/>
  <c r="Q46" i="1"/>
  <c r="Q47" i="1"/>
  <c r="Q48" i="1"/>
  <c r="Q49" i="1"/>
  <c r="Q58" i="1"/>
  <c r="Q60" i="1"/>
  <c r="Q61" i="1"/>
  <c r="Q63" i="1"/>
  <c r="Q71" i="1"/>
  <c r="Q82" i="1"/>
  <c r="Q83" i="1"/>
  <c r="Q84" i="1"/>
  <c r="Q94" i="1"/>
  <c r="Q95" i="1"/>
  <c r="Q96" i="1"/>
  <c r="Q99" i="1"/>
  <c r="Q101" i="1"/>
  <c r="Q107" i="1"/>
  <c r="Q119" i="1"/>
  <c r="Q130" i="1"/>
  <c r="Q131" i="1"/>
  <c r="Q132" i="1"/>
  <c r="Q142" i="1"/>
  <c r="Q144" i="1"/>
  <c r="Q145" i="1"/>
  <c r="Q147" i="1"/>
  <c r="Q149" i="1"/>
  <c r="Q155" i="1"/>
  <c r="Q156" i="1"/>
  <c r="Q167" i="1"/>
  <c r="Q180" i="1"/>
  <c r="Q185" i="1"/>
  <c r="Q191" i="1"/>
  <c r="Q192" i="1"/>
  <c r="Q203" i="1"/>
  <c r="Q204" i="1"/>
  <c r="Q208" i="1"/>
  <c r="Q215" i="1"/>
  <c r="Q219" i="1"/>
  <c r="Q228" i="1"/>
  <c r="Q229" i="1"/>
  <c r="Q234" i="1"/>
  <c r="Q239" i="1"/>
  <c r="Q240" i="1"/>
  <c r="Q241" i="1"/>
  <c r="Q245" i="1"/>
  <c r="Q251" i="1"/>
  <c r="Q252" i="1"/>
  <c r="Q263" i="1"/>
  <c r="Q267" i="1"/>
  <c r="Q270" i="1"/>
  <c r="Q271" i="1"/>
  <c r="Q275" i="1"/>
  <c r="Q276" i="1"/>
  <c r="Q287" i="1"/>
  <c r="Q288" i="1"/>
  <c r="P11" i="1"/>
  <c r="P12" i="1"/>
  <c r="P15" i="1"/>
  <c r="P17" i="1"/>
  <c r="P18" i="1"/>
  <c r="P27" i="1"/>
  <c r="P29" i="1"/>
  <c r="P41" i="1"/>
  <c r="P47" i="1"/>
  <c r="P51" i="1"/>
  <c r="P63" i="1"/>
  <c r="P76" i="1"/>
  <c r="P88" i="1"/>
  <c r="P99" i="1"/>
  <c r="P100" i="1"/>
  <c r="P102" i="1"/>
  <c r="P105" i="1"/>
  <c r="P106" i="1"/>
  <c r="P112" i="1"/>
  <c r="P123" i="1"/>
  <c r="P135" i="1"/>
  <c r="P136" i="1"/>
  <c r="P147" i="1"/>
  <c r="P148" i="1"/>
  <c r="P160" i="1"/>
  <c r="P165" i="1"/>
  <c r="P171" i="1"/>
  <c r="P172" i="1"/>
  <c r="P174" i="1"/>
  <c r="P183" i="1"/>
  <c r="P185" i="1"/>
  <c r="P196" i="1"/>
  <c r="P207" i="1"/>
  <c r="P208" i="1"/>
  <c r="P209" i="1"/>
  <c r="P218" i="1"/>
  <c r="P219" i="1"/>
  <c r="P221" i="1"/>
  <c r="P226" i="1"/>
  <c r="P235" i="1"/>
  <c r="P242" i="1"/>
  <c r="P243" i="1"/>
  <c r="P246" i="1"/>
  <c r="P257" i="1"/>
  <c r="P266" i="1"/>
  <c r="P267" i="1"/>
  <c r="P281" i="1"/>
  <c r="P293" i="1"/>
  <c r="P296" i="1"/>
  <c r="Q2" i="1"/>
  <c r="JY2" i="1" s="1"/>
  <c r="O3" i="1"/>
  <c r="O5" i="1"/>
  <c r="O9" i="1"/>
  <c r="O13" i="1"/>
  <c r="O19" i="1"/>
  <c r="O46" i="1"/>
  <c r="O49" i="1"/>
  <c r="O57" i="1"/>
  <c r="O61" i="1"/>
  <c r="O68" i="1"/>
  <c r="O74" i="1"/>
  <c r="O94" i="1"/>
  <c r="O95" i="1"/>
  <c r="O98" i="1"/>
  <c r="O122" i="1"/>
  <c r="O128" i="1"/>
  <c r="O131" i="1"/>
  <c r="O152" i="1"/>
  <c r="O153" i="1"/>
  <c r="O154" i="1"/>
  <c r="O170" i="1"/>
  <c r="O175" i="1"/>
  <c r="O178" i="1"/>
  <c r="O202" i="1"/>
  <c r="O213" i="1"/>
  <c r="O214" i="1"/>
  <c r="O247" i="1"/>
  <c r="O249" i="1"/>
  <c r="O250" i="1"/>
  <c r="O261" i="1"/>
  <c r="O262" i="1"/>
  <c r="O273" i="1"/>
  <c r="O2" i="1"/>
  <c r="JW2" i="1" s="1"/>
  <c r="N3" i="1"/>
  <c r="N4" i="1"/>
  <c r="N6" i="1"/>
  <c r="N33" i="1"/>
  <c r="N44" i="1"/>
  <c r="N76" i="1"/>
  <c r="N77" i="1"/>
  <c r="N87" i="1"/>
  <c r="N88" i="1"/>
  <c r="N91" i="1"/>
  <c r="N99" i="1"/>
  <c r="N165" i="1"/>
  <c r="N172" i="1"/>
  <c r="N183" i="1"/>
  <c r="N207" i="1"/>
  <c r="N244" i="1"/>
  <c r="N255" i="1"/>
  <c r="N258" i="1"/>
  <c r="N267" i="1"/>
  <c r="N279" i="1"/>
  <c r="N291" i="1"/>
  <c r="JU38" i="1" l="1"/>
  <c r="JY38" i="1"/>
  <c r="JW61" i="1"/>
  <c r="JS61" i="1"/>
  <c r="JX192" i="1"/>
  <c r="JT192" i="1"/>
  <c r="JX178" i="1"/>
  <c r="JT178" i="1"/>
  <c r="JX162" i="1"/>
  <c r="JT162" i="1"/>
  <c r="JT149" i="1"/>
  <c r="JX149" i="1"/>
  <c r="JX107" i="1"/>
  <c r="JT107" i="1"/>
  <c r="JX90" i="1"/>
  <c r="JT90" i="1"/>
  <c r="JT77" i="1"/>
  <c r="JX77" i="1"/>
  <c r="JT62" i="1"/>
  <c r="JX62" i="1"/>
  <c r="JX49" i="1"/>
  <c r="JT49" i="1"/>
  <c r="JX35" i="1"/>
  <c r="JT35" i="1"/>
  <c r="JX21" i="1"/>
  <c r="JT21" i="1"/>
  <c r="JT4" i="1"/>
  <c r="JX4" i="1"/>
  <c r="JY283" i="1"/>
  <c r="JU283" i="1"/>
  <c r="JY266" i="1"/>
  <c r="JU266" i="1"/>
  <c r="JY253" i="1"/>
  <c r="JU253" i="1"/>
  <c r="JY235" i="1"/>
  <c r="JU235" i="1"/>
  <c r="JY220" i="1"/>
  <c r="JU220" i="1"/>
  <c r="JY205" i="1"/>
  <c r="JU205" i="1"/>
  <c r="JU189" i="1"/>
  <c r="JY189" i="1"/>
  <c r="JY175" i="1"/>
  <c r="JU175" i="1"/>
  <c r="JY162" i="1"/>
  <c r="JU162" i="1"/>
  <c r="JY146" i="1"/>
  <c r="JU146" i="1"/>
  <c r="JU128" i="1"/>
  <c r="JY128" i="1"/>
  <c r="JY115" i="1"/>
  <c r="JU115" i="1"/>
  <c r="JU102" i="1"/>
  <c r="JY102" i="1"/>
  <c r="JY85" i="1"/>
  <c r="JU85" i="1"/>
  <c r="JU69" i="1"/>
  <c r="JY69" i="1"/>
  <c r="JY52" i="1"/>
  <c r="JU52" i="1"/>
  <c r="JU32" i="1"/>
  <c r="JY32" i="1"/>
  <c r="JY16" i="1"/>
  <c r="JU16" i="1"/>
  <c r="JR279" i="1"/>
  <c r="JV279" i="1"/>
  <c r="JV87" i="1"/>
  <c r="JR87" i="1"/>
  <c r="JW250" i="1"/>
  <c r="JS250" i="1"/>
  <c r="JS131" i="1"/>
  <c r="JW131" i="1"/>
  <c r="JW19" i="1"/>
  <c r="JS19" i="1"/>
  <c r="JX246" i="1"/>
  <c r="JT246" i="1"/>
  <c r="JX185" i="1"/>
  <c r="JT185" i="1"/>
  <c r="JX112" i="1"/>
  <c r="JT112" i="1"/>
  <c r="JX29" i="1"/>
  <c r="JT29" i="1"/>
  <c r="JY270" i="1"/>
  <c r="JU270" i="1"/>
  <c r="JY219" i="1"/>
  <c r="JU219" i="1"/>
  <c r="JY149" i="1"/>
  <c r="JU149" i="1"/>
  <c r="JU96" i="1"/>
  <c r="JY96" i="1"/>
  <c r="JY48" i="1"/>
  <c r="JU48" i="1"/>
  <c r="JY12" i="1"/>
  <c r="JU12" i="1"/>
  <c r="JV287" i="1"/>
  <c r="JR287" i="1"/>
  <c r="JV274" i="1"/>
  <c r="JR274" i="1"/>
  <c r="JV261" i="1"/>
  <c r="JR261" i="1"/>
  <c r="JV247" i="1"/>
  <c r="JR247" i="1"/>
  <c r="JR234" i="1"/>
  <c r="JV234" i="1"/>
  <c r="JV218" i="1"/>
  <c r="JR218" i="1"/>
  <c r="JV205" i="1"/>
  <c r="JR205" i="1"/>
  <c r="JV193" i="1"/>
  <c r="JR193" i="1"/>
  <c r="JV180" i="1"/>
  <c r="JR180" i="1"/>
  <c r="JV167" i="1"/>
  <c r="JR167" i="1"/>
  <c r="JV154" i="1"/>
  <c r="JR154" i="1"/>
  <c r="JV142" i="1"/>
  <c r="JR142" i="1"/>
  <c r="JV130" i="1"/>
  <c r="JR130" i="1"/>
  <c r="JV118" i="1"/>
  <c r="JR118" i="1"/>
  <c r="JV106" i="1"/>
  <c r="JR106" i="1"/>
  <c r="JR93" i="1"/>
  <c r="JV93" i="1"/>
  <c r="JV78" i="1"/>
  <c r="JR78" i="1"/>
  <c r="JR63" i="1"/>
  <c r="JV63" i="1"/>
  <c r="JR51" i="1"/>
  <c r="JV51" i="1"/>
  <c r="JV38" i="1"/>
  <c r="JR38" i="1"/>
  <c r="JV25" i="1"/>
  <c r="JR25" i="1"/>
  <c r="JV13" i="1"/>
  <c r="JR13" i="1"/>
  <c r="JW291" i="1"/>
  <c r="JS291" i="1"/>
  <c r="JW279" i="1"/>
  <c r="JS279" i="1"/>
  <c r="JW266" i="1"/>
  <c r="JS266" i="1"/>
  <c r="JW252" i="1"/>
  <c r="JS252" i="1"/>
  <c r="JS237" i="1"/>
  <c r="JW237" i="1"/>
  <c r="JW221" i="1"/>
  <c r="JS221" i="1"/>
  <c r="JW207" i="1"/>
  <c r="JS207" i="1"/>
  <c r="JW194" i="1"/>
  <c r="JS194" i="1"/>
  <c r="JW182" i="1"/>
  <c r="JS182" i="1"/>
  <c r="JW167" i="1"/>
  <c r="JS167" i="1"/>
  <c r="JW155" i="1"/>
  <c r="JS155" i="1"/>
  <c r="JW140" i="1"/>
  <c r="JS140" i="1"/>
  <c r="JW126" i="1"/>
  <c r="JS126" i="1"/>
  <c r="JS113" i="1"/>
  <c r="JW113" i="1"/>
  <c r="JW101" i="1"/>
  <c r="JS101" i="1"/>
  <c r="JW86" i="1"/>
  <c r="JS86" i="1"/>
  <c r="JW73" i="1"/>
  <c r="JS73" i="1"/>
  <c r="JW58" i="1"/>
  <c r="JS58" i="1"/>
  <c r="JW43" i="1"/>
  <c r="JS43" i="1"/>
  <c r="JW31" i="1"/>
  <c r="JS31" i="1"/>
  <c r="JW18" i="1"/>
  <c r="JS18" i="1"/>
  <c r="JT283" i="1"/>
  <c r="JX283" i="1"/>
  <c r="JX270" i="1"/>
  <c r="JT270" i="1"/>
  <c r="JT255" i="1"/>
  <c r="JX255" i="1"/>
  <c r="JX240" i="1"/>
  <c r="JT240" i="1"/>
  <c r="JX227" i="1"/>
  <c r="JT227" i="1"/>
  <c r="JX204" i="1"/>
  <c r="JT204" i="1"/>
  <c r="JX191" i="1"/>
  <c r="JT191" i="1"/>
  <c r="JT177" i="1"/>
  <c r="JX177" i="1"/>
  <c r="JT161" i="1"/>
  <c r="JX161" i="1"/>
  <c r="JX146" i="1"/>
  <c r="JT146" i="1"/>
  <c r="JX132" i="1"/>
  <c r="JT132" i="1"/>
  <c r="JT119" i="1"/>
  <c r="JX119" i="1"/>
  <c r="JT104" i="1"/>
  <c r="JX104" i="1"/>
  <c r="JX89" i="1"/>
  <c r="JT89" i="1"/>
  <c r="JT75" i="1"/>
  <c r="JX75" i="1"/>
  <c r="JX61" i="1"/>
  <c r="JT61" i="1"/>
  <c r="JX48" i="1"/>
  <c r="JT48" i="1"/>
  <c r="JX34" i="1"/>
  <c r="JT34" i="1"/>
  <c r="JT20" i="1"/>
  <c r="JX20" i="1"/>
  <c r="JT3" i="1"/>
  <c r="JX3" i="1"/>
  <c r="JU282" i="1"/>
  <c r="JY282" i="1"/>
  <c r="JY265" i="1"/>
  <c r="JU265" i="1"/>
  <c r="JU250" i="1"/>
  <c r="JY250" i="1"/>
  <c r="JY233" i="1"/>
  <c r="JU233" i="1"/>
  <c r="JY218" i="1"/>
  <c r="JU218" i="1"/>
  <c r="JY202" i="1"/>
  <c r="JU202" i="1"/>
  <c r="JY188" i="1"/>
  <c r="JU188" i="1"/>
  <c r="JY174" i="1"/>
  <c r="JU174" i="1"/>
  <c r="JY161" i="1"/>
  <c r="JU161" i="1"/>
  <c r="JY143" i="1"/>
  <c r="JU143" i="1"/>
  <c r="JY127" i="1"/>
  <c r="JU127" i="1"/>
  <c r="JY114" i="1"/>
  <c r="JU114" i="1"/>
  <c r="JY100" i="1"/>
  <c r="JU100" i="1"/>
  <c r="JY81" i="1"/>
  <c r="JU81" i="1"/>
  <c r="JY68" i="1"/>
  <c r="JU68" i="1"/>
  <c r="JY51" i="1"/>
  <c r="JU51" i="1"/>
  <c r="JY31" i="1"/>
  <c r="JU31" i="1"/>
  <c r="JY15" i="1"/>
  <c r="JU15" i="1"/>
  <c r="JW259" i="1"/>
  <c r="JS259" i="1"/>
  <c r="JS189" i="1"/>
  <c r="JW189" i="1"/>
  <c r="JW108" i="1"/>
  <c r="JS108" i="1"/>
  <c r="JW38" i="1"/>
  <c r="JS38" i="1"/>
  <c r="JX250" i="1"/>
  <c r="JT250" i="1"/>
  <c r="JX155" i="1"/>
  <c r="JT155" i="1"/>
  <c r="JX70" i="1"/>
  <c r="JT70" i="1"/>
  <c r="JY277" i="1"/>
  <c r="JU277" i="1"/>
  <c r="JU154" i="1"/>
  <c r="JY154" i="1"/>
  <c r="JU109" i="1"/>
  <c r="JY109" i="1"/>
  <c r="JY59" i="1"/>
  <c r="JU59" i="1"/>
  <c r="JY42" i="1"/>
  <c r="JU42" i="1"/>
  <c r="JW74" i="1"/>
  <c r="JS74" i="1"/>
  <c r="JY131" i="1"/>
  <c r="JU131" i="1"/>
  <c r="JV253" i="1"/>
  <c r="JR253" i="1"/>
  <c r="JV199" i="1"/>
  <c r="JR199" i="1"/>
  <c r="JR148" i="1"/>
  <c r="JV148" i="1"/>
  <c r="JV84" i="1"/>
  <c r="JR84" i="1"/>
  <c r="JR5" i="1"/>
  <c r="JV5" i="1"/>
  <c r="JW231" i="1"/>
  <c r="JS231" i="1"/>
  <c r="JW146" i="1"/>
  <c r="JS146" i="1"/>
  <c r="JW66" i="1"/>
  <c r="JS66" i="1"/>
  <c r="JX289" i="1"/>
  <c r="JT289" i="1"/>
  <c r="JX184" i="1"/>
  <c r="JT184" i="1"/>
  <c r="JX82" i="1"/>
  <c r="JT82" i="1"/>
  <c r="JX26" i="1"/>
  <c r="JT26" i="1"/>
  <c r="JY258" i="1"/>
  <c r="JU258" i="1"/>
  <c r="JY181" i="1"/>
  <c r="JU181" i="1"/>
  <c r="JY136" i="1"/>
  <c r="JU136" i="1"/>
  <c r="JU121" i="1"/>
  <c r="JY121" i="1"/>
  <c r="JU108" i="1"/>
  <c r="JY108" i="1"/>
  <c r="JU90" i="1"/>
  <c r="JY90" i="1"/>
  <c r="JY75" i="1"/>
  <c r="JU75" i="1"/>
  <c r="JY57" i="1"/>
  <c r="JU57" i="1"/>
  <c r="JY39" i="1"/>
  <c r="JU39" i="1"/>
  <c r="JX293" i="1"/>
  <c r="JT293" i="1"/>
  <c r="JU240" i="1"/>
  <c r="JY240" i="1"/>
  <c r="JU25" i="1"/>
  <c r="JY25" i="1"/>
  <c r="JV227" i="1"/>
  <c r="JR227" i="1"/>
  <c r="JR147" i="1"/>
  <c r="JV147" i="1"/>
  <c r="JV56" i="1"/>
  <c r="JR56" i="1"/>
  <c r="JW271" i="1"/>
  <c r="JS271" i="1"/>
  <c r="JW187" i="1"/>
  <c r="JS187" i="1"/>
  <c r="JW118" i="1"/>
  <c r="JS118" i="1"/>
  <c r="JW65" i="1"/>
  <c r="JS65" i="1"/>
  <c r="JX275" i="1"/>
  <c r="JT275" i="1"/>
  <c r="JT182" i="1"/>
  <c r="JX182" i="1"/>
  <c r="JT111" i="1"/>
  <c r="JX111" i="1"/>
  <c r="JT39" i="1"/>
  <c r="JX39" i="1"/>
  <c r="JY273" i="1"/>
  <c r="JU273" i="1"/>
  <c r="JU179" i="1"/>
  <c r="JY179" i="1"/>
  <c r="JY120" i="1"/>
  <c r="JU120" i="1"/>
  <c r="JY89" i="1"/>
  <c r="JU89" i="1"/>
  <c r="JY21" i="1"/>
  <c r="JU21" i="1"/>
  <c r="JX147" i="1"/>
  <c r="JT147" i="1"/>
  <c r="JU180" i="1"/>
  <c r="JY180" i="1"/>
  <c r="JY24" i="1"/>
  <c r="JU24" i="1"/>
  <c r="JV265" i="1"/>
  <c r="JR265" i="1"/>
  <c r="JR238" i="1"/>
  <c r="JV238" i="1"/>
  <c r="JR197" i="1"/>
  <c r="JV197" i="1"/>
  <c r="JV146" i="1"/>
  <c r="JR146" i="1"/>
  <c r="JV97" i="1"/>
  <c r="JR97" i="1"/>
  <c r="JV17" i="1"/>
  <c r="JR17" i="1"/>
  <c r="JW229" i="1"/>
  <c r="JS229" i="1"/>
  <c r="JS132" i="1"/>
  <c r="JW132" i="1"/>
  <c r="JS23" i="1"/>
  <c r="JW23" i="1"/>
  <c r="JX211" i="1"/>
  <c r="JT211" i="1"/>
  <c r="JT124" i="1"/>
  <c r="JX124" i="1"/>
  <c r="JX53" i="1"/>
  <c r="JT53" i="1"/>
  <c r="JU272" i="1"/>
  <c r="JY272" i="1"/>
  <c r="JU178" i="1"/>
  <c r="JY178" i="1"/>
  <c r="JY105" i="1"/>
  <c r="JU105" i="1"/>
  <c r="JY55" i="1"/>
  <c r="JU55" i="1"/>
  <c r="JU37" i="1"/>
  <c r="JY37" i="1"/>
  <c r="JT267" i="1"/>
  <c r="JX267" i="1"/>
  <c r="JU234" i="1"/>
  <c r="JY234" i="1"/>
  <c r="JV290" i="1"/>
  <c r="JR290" i="1"/>
  <c r="JR184" i="1"/>
  <c r="JV184" i="1"/>
  <c r="JV54" i="1"/>
  <c r="JR54" i="1"/>
  <c r="JW143" i="1"/>
  <c r="JS143" i="1"/>
  <c r="JU164" i="1"/>
  <c r="JY164" i="1"/>
  <c r="JW88" i="1"/>
  <c r="JS88" i="1"/>
  <c r="JY187" i="1"/>
  <c r="JU187" i="1"/>
  <c r="JU173" i="1"/>
  <c r="JY173" i="1"/>
  <c r="JY160" i="1"/>
  <c r="JU160" i="1"/>
  <c r="JY141" i="1"/>
  <c r="JU141" i="1"/>
  <c r="JY126" i="1"/>
  <c r="JU126" i="1"/>
  <c r="JU113" i="1"/>
  <c r="JY113" i="1"/>
  <c r="JY98" i="1"/>
  <c r="JU98" i="1"/>
  <c r="JY80" i="1"/>
  <c r="JU80" i="1"/>
  <c r="JY67" i="1"/>
  <c r="JU67" i="1"/>
  <c r="JU50" i="1"/>
  <c r="JY50" i="1"/>
  <c r="JU30" i="1"/>
  <c r="JY30" i="1"/>
  <c r="JY14" i="1"/>
  <c r="JU14" i="1"/>
  <c r="JT99" i="1"/>
  <c r="JX99" i="1"/>
  <c r="JY192" i="1"/>
  <c r="JU192" i="1"/>
  <c r="JY82" i="1"/>
  <c r="JU82" i="1"/>
  <c r="JV295" i="1"/>
  <c r="JR295" i="1"/>
  <c r="JV269" i="1"/>
  <c r="JR269" i="1"/>
  <c r="JR241" i="1"/>
  <c r="JV241" i="1"/>
  <c r="JR213" i="1"/>
  <c r="JV213" i="1"/>
  <c r="JV188" i="1"/>
  <c r="JR188" i="1"/>
  <c r="JR161" i="1"/>
  <c r="JV161" i="1"/>
  <c r="JV149" i="1"/>
  <c r="JR149" i="1"/>
  <c r="JV125" i="1"/>
  <c r="JR125" i="1"/>
  <c r="JV113" i="1"/>
  <c r="JR113" i="1"/>
  <c r="JV85" i="1"/>
  <c r="JR85" i="1"/>
  <c r="JV71" i="1"/>
  <c r="JR71" i="1"/>
  <c r="JV46" i="1"/>
  <c r="JR46" i="1"/>
  <c r="JV32" i="1"/>
  <c r="JR32" i="1"/>
  <c r="JV7" i="1"/>
  <c r="JR7" i="1"/>
  <c r="JW274" i="1"/>
  <c r="JS274" i="1"/>
  <c r="JW232" i="1"/>
  <c r="JS232" i="1"/>
  <c r="JS201" i="1"/>
  <c r="JW201" i="1"/>
  <c r="JW162" i="1"/>
  <c r="JS162" i="1"/>
  <c r="JW135" i="1"/>
  <c r="JS135" i="1"/>
  <c r="JW93" i="1"/>
  <c r="JS93" i="1"/>
  <c r="JW67" i="1"/>
  <c r="JS67" i="1"/>
  <c r="JS26" i="1"/>
  <c r="JW26" i="1"/>
  <c r="JT290" i="1"/>
  <c r="JX290" i="1"/>
  <c r="JX277" i="1"/>
  <c r="JT277" i="1"/>
  <c r="JT234" i="1"/>
  <c r="JX234" i="1"/>
  <c r="JT199" i="1"/>
  <c r="JX199" i="1"/>
  <c r="JX169" i="1"/>
  <c r="JT169" i="1"/>
  <c r="JX127" i="1"/>
  <c r="JT127" i="1"/>
  <c r="JX96" i="1"/>
  <c r="JT96" i="1"/>
  <c r="JT56" i="1"/>
  <c r="JX56" i="1"/>
  <c r="JX10" i="1"/>
  <c r="JT10" i="1"/>
  <c r="JY244" i="1"/>
  <c r="JU244" i="1"/>
  <c r="JU197" i="1"/>
  <c r="JY197" i="1"/>
  <c r="JY137" i="1"/>
  <c r="JU137" i="1"/>
  <c r="JY76" i="1"/>
  <c r="JU76" i="1"/>
  <c r="JY7" i="1"/>
  <c r="JU7" i="1"/>
  <c r="JR183" i="1"/>
  <c r="JV183" i="1"/>
  <c r="JW178" i="1"/>
  <c r="JS178" i="1"/>
  <c r="JX296" i="1"/>
  <c r="JT296" i="1"/>
  <c r="JT160" i="1"/>
  <c r="JX160" i="1"/>
  <c r="JX88" i="1"/>
  <c r="JT88" i="1"/>
  <c r="JU241" i="1"/>
  <c r="JY241" i="1"/>
  <c r="JY191" i="1"/>
  <c r="JU191" i="1"/>
  <c r="JY34" i="1"/>
  <c r="JU34" i="1"/>
  <c r="JV294" i="1"/>
  <c r="JR294" i="1"/>
  <c r="JR268" i="1"/>
  <c r="JV268" i="1"/>
  <c r="JV240" i="1"/>
  <c r="JR240" i="1"/>
  <c r="JV212" i="1"/>
  <c r="JR212" i="1"/>
  <c r="JV187" i="1"/>
  <c r="JR187" i="1"/>
  <c r="JR160" i="1"/>
  <c r="JV160" i="1"/>
  <c r="JV136" i="1"/>
  <c r="JR136" i="1"/>
  <c r="JR112" i="1"/>
  <c r="JV112" i="1"/>
  <c r="JV70" i="1"/>
  <c r="JR70" i="1"/>
  <c r="JR45" i="1"/>
  <c r="JV45" i="1"/>
  <c r="JV19" i="1"/>
  <c r="JR19" i="1"/>
  <c r="JW285" i="1"/>
  <c r="JS285" i="1"/>
  <c r="JW258" i="1"/>
  <c r="JS258" i="1"/>
  <c r="JS200" i="1"/>
  <c r="JW200" i="1"/>
  <c r="JW161" i="1"/>
  <c r="JS161" i="1"/>
  <c r="JS119" i="1"/>
  <c r="JW119" i="1"/>
  <c r="JW92" i="1"/>
  <c r="JS92" i="1"/>
  <c r="JW51" i="1"/>
  <c r="JS51" i="1"/>
  <c r="JS25" i="1"/>
  <c r="JW25" i="1"/>
  <c r="JX276" i="1"/>
  <c r="JT276" i="1"/>
  <c r="JT249" i="1"/>
  <c r="JX249" i="1"/>
  <c r="JT213" i="1"/>
  <c r="JX213" i="1"/>
  <c r="JX168" i="1"/>
  <c r="JT168" i="1"/>
  <c r="JX154" i="1"/>
  <c r="JT154" i="1"/>
  <c r="JX126" i="1"/>
  <c r="JT126" i="1"/>
  <c r="JT113" i="1"/>
  <c r="JX113" i="1"/>
  <c r="JX69" i="1"/>
  <c r="JT69" i="1"/>
  <c r="JX40" i="1"/>
  <c r="JT40" i="1"/>
  <c r="JX9" i="1"/>
  <c r="JT9" i="1"/>
  <c r="JY274" i="1"/>
  <c r="JU274" i="1"/>
  <c r="JY243" i="1"/>
  <c r="JU243" i="1"/>
  <c r="JY211" i="1"/>
  <c r="JU211" i="1"/>
  <c r="JY196" i="1"/>
  <c r="JU196" i="1"/>
  <c r="JY153" i="1"/>
  <c r="JU153" i="1"/>
  <c r="JY23" i="1"/>
  <c r="JU23" i="1"/>
  <c r="JR172" i="1"/>
  <c r="JV172" i="1"/>
  <c r="JW175" i="1"/>
  <c r="JS175" i="1"/>
  <c r="JT218" i="1"/>
  <c r="JX218" i="1"/>
  <c r="JX76" i="1"/>
  <c r="JT76" i="1"/>
  <c r="JY185" i="1"/>
  <c r="JU185" i="1"/>
  <c r="JU63" i="1"/>
  <c r="JY63" i="1"/>
  <c r="JR280" i="1"/>
  <c r="JV280" i="1"/>
  <c r="JR252" i="1"/>
  <c r="JV252" i="1"/>
  <c r="JV211" i="1"/>
  <c r="JR211" i="1"/>
  <c r="JV186" i="1"/>
  <c r="JR186" i="1"/>
  <c r="JR159" i="1"/>
  <c r="JV159" i="1"/>
  <c r="JR123" i="1"/>
  <c r="JV123" i="1"/>
  <c r="JV111" i="1"/>
  <c r="JR111" i="1"/>
  <c r="JV98" i="1"/>
  <c r="JR98" i="1"/>
  <c r="JR69" i="1"/>
  <c r="JV69" i="1"/>
  <c r="JV43" i="1"/>
  <c r="JR43" i="1"/>
  <c r="JV18" i="1"/>
  <c r="JR18" i="1"/>
  <c r="JW296" i="1"/>
  <c r="JS296" i="1"/>
  <c r="JS257" i="1"/>
  <c r="JW257" i="1"/>
  <c r="JS242" i="1"/>
  <c r="JW242" i="1"/>
  <c r="JW230" i="1"/>
  <c r="JS230" i="1"/>
  <c r="JS199" i="1"/>
  <c r="JW199" i="1"/>
  <c r="JW173" i="1"/>
  <c r="JS173" i="1"/>
  <c r="JW145" i="1"/>
  <c r="JS145" i="1"/>
  <c r="JW106" i="1"/>
  <c r="JS106" i="1"/>
  <c r="JW79" i="1"/>
  <c r="JS79" i="1"/>
  <c r="JW36" i="1"/>
  <c r="JS36" i="1"/>
  <c r="JW10" i="1"/>
  <c r="JS10" i="1"/>
  <c r="JT248" i="1"/>
  <c r="JX248" i="1"/>
  <c r="JX197" i="1"/>
  <c r="JT197" i="1"/>
  <c r="JT153" i="1"/>
  <c r="JX153" i="1"/>
  <c r="JX125" i="1"/>
  <c r="JT125" i="1"/>
  <c r="JX81" i="1"/>
  <c r="JT81" i="1"/>
  <c r="JX54" i="1"/>
  <c r="JT54" i="1"/>
  <c r="JT8" i="1"/>
  <c r="JX8" i="1"/>
  <c r="JY242" i="1"/>
  <c r="JU242" i="1"/>
  <c r="JY210" i="1"/>
  <c r="JU210" i="1"/>
  <c r="JU152" i="1"/>
  <c r="JY152" i="1"/>
  <c r="JY56" i="1"/>
  <c r="JU56" i="1"/>
  <c r="JV210" i="1"/>
  <c r="JR210" i="1"/>
  <c r="JR171" i="1"/>
  <c r="JV171" i="1"/>
  <c r="JV134" i="1"/>
  <c r="JR134" i="1"/>
  <c r="JR110" i="1"/>
  <c r="JV110" i="1"/>
  <c r="JV68" i="1"/>
  <c r="JR68" i="1"/>
  <c r="JV42" i="1"/>
  <c r="JR42" i="1"/>
  <c r="JS295" i="1"/>
  <c r="JW295" i="1"/>
  <c r="JS270" i="1"/>
  <c r="JW270" i="1"/>
  <c r="JW241" i="1"/>
  <c r="JS241" i="1"/>
  <c r="JS198" i="1"/>
  <c r="JW198" i="1"/>
  <c r="JW172" i="1"/>
  <c r="JS172" i="1"/>
  <c r="JW144" i="1"/>
  <c r="JS144" i="1"/>
  <c r="JW117" i="1"/>
  <c r="JS117" i="1"/>
  <c r="JS90" i="1"/>
  <c r="JW90" i="1"/>
  <c r="JW63" i="1"/>
  <c r="JS63" i="1"/>
  <c r="JW35" i="1"/>
  <c r="JS35" i="1"/>
  <c r="JX287" i="1"/>
  <c r="JT287" i="1"/>
  <c r="JX260" i="1"/>
  <c r="JT260" i="1"/>
  <c r="JT231" i="1"/>
  <c r="JX231" i="1"/>
  <c r="JX181" i="1"/>
  <c r="JT181" i="1"/>
  <c r="JX152" i="1"/>
  <c r="JT152" i="1"/>
  <c r="JT110" i="1"/>
  <c r="JX110" i="1"/>
  <c r="JT80" i="1"/>
  <c r="JX80" i="1"/>
  <c r="JT38" i="1"/>
  <c r="JX38" i="1"/>
  <c r="JX7" i="1"/>
  <c r="JT7" i="1"/>
  <c r="JY256" i="1"/>
  <c r="JU256" i="1"/>
  <c r="JY223" i="1"/>
  <c r="JU223" i="1"/>
  <c r="JY209" i="1"/>
  <c r="JU209" i="1"/>
  <c r="JY194" i="1"/>
  <c r="JU194" i="1"/>
  <c r="JY151" i="1"/>
  <c r="JU151" i="1"/>
  <c r="JY134" i="1"/>
  <c r="JU134" i="1"/>
  <c r="JY88" i="1"/>
  <c r="JU88" i="1"/>
  <c r="JY4" i="1"/>
  <c r="JU4" i="1"/>
  <c r="JR99" i="1"/>
  <c r="JV99" i="1"/>
  <c r="JW154" i="1"/>
  <c r="JS154" i="1"/>
  <c r="JX208" i="1"/>
  <c r="JT208" i="1"/>
  <c r="JX51" i="1"/>
  <c r="JT51" i="1"/>
  <c r="JY167" i="1"/>
  <c r="JU167" i="1"/>
  <c r="JY60" i="1"/>
  <c r="JU60" i="1"/>
  <c r="JV277" i="1"/>
  <c r="JR277" i="1"/>
  <c r="JV250" i="1"/>
  <c r="JR250" i="1"/>
  <c r="JV221" i="1"/>
  <c r="JR221" i="1"/>
  <c r="JR196" i="1"/>
  <c r="JV196" i="1"/>
  <c r="JV157" i="1"/>
  <c r="JR157" i="1"/>
  <c r="JR133" i="1"/>
  <c r="JV133" i="1"/>
  <c r="JR109" i="1"/>
  <c r="JV109" i="1"/>
  <c r="JV81" i="1"/>
  <c r="JR81" i="1"/>
  <c r="JR41" i="1"/>
  <c r="JV41" i="1"/>
  <c r="JR16" i="1"/>
  <c r="JV16" i="1"/>
  <c r="JW269" i="1"/>
  <c r="JS269" i="1"/>
  <c r="JW240" i="1"/>
  <c r="JS240" i="1"/>
  <c r="JW210" i="1"/>
  <c r="JS210" i="1"/>
  <c r="JS185" i="1"/>
  <c r="JW185" i="1"/>
  <c r="JW158" i="1"/>
  <c r="JS158" i="1"/>
  <c r="JS116" i="1"/>
  <c r="JW116" i="1"/>
  <c r="JW89" i="1"/>
  <c r="JS89" i="1"/>
  <c r="JW62" i="1"/>
  <c r="JS62" i="1"/>
  <c r="JW34" i="1"/>
  <c r="JS34" i="1"/>
  <c r="JW7" i="1"/>
  <c r="JS7" i="1"/>
  <c r="JX273" i="1"/>
  <c r="JT273" i="1"/>
  <c r="JX245" i="1"/>
  <c r="JT245" i="1"/>
  <c r="JT230" i="1"/>
  <c r="JX230" i="1"/>
  <c r="JT194" i="1"/>
  <c r="JX194" i="1"/>
  <c r="JX164" i="1"/>
  <c r="JT164" i="1"/>
  <c r="JX137" i="1"/>
  <c r="JT137" i="1"/>
  <c r="JX109" i="1"/>
  <c r="JT109" i="1"/>
  <c r="JX92" i="1"/>
  <c r="JT92" i="1"/>
  <c r="JX66" i="1"/>
  <c r="JT66" i="1"/>
  <c r="JX52" i="1"/>
  <c r="JT52" i="1"/>
  <c r="JT23" i="1"/>
  <c r="JX23" i="1"/>
  <c r="JT6" i="1"/>
  <c r="JX6" i="1"/>
  <c r="JU269" i="1"/>
  <c r="JY269" i="1"/>
  <c r="JY255" i="1"/>
  <c r="JU255" i="1"/>
  <c r="JU237" i="1"/>
  <c r="JY237" i="1"/>
  <c r="JY207" i="1"/>
  <c r="JU207" i="1"/>
  <c r="JY193" i="1"/>
  <c r="JU193" i="1"/>
  <c r="JY150" i="1"/>
  <c r="JU150" i="1"/>
  <c r="JY117" i="1"/>
  <c r="JU117" i="1"/>
  <c r="JY87" i="1"/>
  <c r="JU87" i="1"/>
  <c r="JY54" i="1"/>
  <c r="JU54" i="1"/>
  <c r="JY3" i="1"/>
  <c r="JU3" i="1"/>
  <c r="JS262" i="1"/>
  <c r="JW262" i="1"/>
  <c r="JW49" i="1"/>
  <c r="JS49" i="1"/>
  <c r="JT207" i="1"/>
  <c r="JX207" i="1"/>
  <c r="JT47" i="1"/>
  <c r="JX47" i="1"/>
  <c r="JY229" i="1"/>
  <c r="JU229" i="1"/>
  <c r="JY101" i="1"/>
  <c r="JU101" i="1"/>
  <c r="JY58" i="1"/>
  <c r="JU58" i="1"/>
  <c r="JR289" i="1"/>
  <c r="JV289" i="1"/>
  <c r="JR263" i="1"/>
  <c r="JV263" i="1"/>
  <c r="JV236" i="1"/>
  <c r="JR236" i="1"/>
  <c r="JR195" i="1"/>
  <c r="JV195" i="1"/>
  <c r="JV169" i="1"/>
  <c r="JR169" i="1"/>
  <c r="JR144" i="1"/>
  <c r="JV144" i="1"/>
  <c r="JR108" i="1"/>
  <c r="JV108" i="1"/>
  <c r="JV66" i="1"/>
  <c r="JR66" i="1"/>
  <c r="JV27" i="1"/>
  <c r="JR27" i="1"/>
  <c r="JW281" i="1"/>
  <c r="JS281" i="1"/>
  <c r="JW227" i="1"/>
  <c r="JS227" i="1"/>
  <c r="JW169" i="1"/>
  <c r="JS169" i="1"/>
  <c r="JW115" i="1"/>
  <c r="JS115" i="1"/>
  <c r="JW60" i="1"/>
  <c r="JS60" i="1"/>
  <c r="JW21" i="1"/>
  <c r="JS21" i="1"/>
  <c r="JT285" i="1"/>
  <c r="JX285" i="1"/>
  <c r="JX258" i="1"/>
  <c r="JT258" i="1"/>
  <c r="JX229" i="1"/>
  <c r="JT229" i="1"/>
  <c r="JX193" i="1"/>
  <c r="JT193" i="1"/>
  <c r="JX163" i="1"/>
  <c r="JT163" i="1"/>
  <c r="JT134" i="1"/>
  <c r="JX134" i="1"/>
  <c r="JX108" i="1"/>
  <c r="JT108" i="1"/>
  <c r="JX91" i="1"/>
  <c r="JT91" i="1"/>
  <c r="JX65" i="1"/>
  <c r="JT65" i="1"/>
  <c r="JT50" i="1"/>
  <c r="JX50" i="1"/>
  <c r="JX22" i="1"/>
  <c r="JT22" i="1"/>
  <c r="JT5" i="1"/>
  <c r="JX5" i="1"/>
  <c r="JY268" i="1"/>
  <c r="JU268" i="1"/>
  <c r="JU254" i="1"/>
  <c r="JY254" i="1"/>
  <c r="JY221" i="1"/>
  <c r="JU221" i="1"/>
  <c r="JY206" i="1"/>
  <c r="JU206" i="1"/>
  <c r="JY190" i="1"/>
  <c r="JU190" i="1"/>
  <c r="JY176" i="1"/>
  <c r="JU176" i="1"/>
  <c r="JY148" i="1"/>
  <c r="JU148" i="1"/>
  <c r="JY129" i="1"/>
  <c r="JU129" i="1"/>
  <c r="JU116" i="1"/>
  <c r="JY116" i="1"/>
  <c r="JY103" i="1"/>
  <c r="JU103" i="1"/>
  <c r="JY86" i="1"/>
  <c r="JU86" i="1"/>
  <c r="JY70" i="1"/>
  <c r="JU70" i="1"/>
  <c r="JY53" i="1"/>
  <c r="JU53" i="1"/>
  <c r="JY33" i="1"/>
  <c r="JU33" i="1"/>
  <c r="JV291" i="1"/>
  <c r="JR291" i="1"/>
  <c r="JW261" i="1"/>
  <c r="JS261" i="1"/>
  <c r="JS46" i="1"/>
  <c r="JW46" i="1"/>
  <c r="JX196" i="1"/>
  <c r="JT196" i="1"/>
  <c r="JY271" i="1"/>
  <c r="JU271" i="1"/>
  <c r="JY99" i="1"/>
  <c r="JU99" i="1"/>
  <c r="JR275" i="1"/>
  <c r="JV275" i="1"/>
  <c r="JV235" i="1"/>
  <c r="JR235" i="1"/>
  <c r="JV194" i="1"/>
  <c r="JR194" i="1"/>
  <c r="JR143" i="1"/>
  <c r="JV143" i="1"/>
  <c r="JV94" i="1"/>
  <c r="JR94" i="1"/>
  <c r="JV26" i="1"/>
  <c r="JR26" i="1"/>
  <c r="JW226" i="1"/>
  <c r="JS226" i="1"/>
  <c r="JW102" i="1"/>
  <c r="JS102" i="1"/>
  <c r="JX133" i="1"/>
  <c r="JT133" i="1"/>
  <c r="JR267" i="1"/>
  <c r="JV267" i="1"/>
  <c r="JS249" i="1"/>
  <c r="JW249" i="1"/>
  <c r="JS13" i="1"/>
  <c r="JW13" i="1"/>
  <c r="JX243" i="1"/>
  <c r="JT243" i="1"/>
  <c r="JX106" i="1"/>
  <c r="JT106" i="1"/>
  <c r="JT27" i="1"/>
  <c r="JX27" i="1"/>
  <c r="JY215" i="1"/>
  <c r="JU215" i="1"/>
  <c r="JY147" i="1"/>
  <c r="JU147" i="1"/>
  <c r="JY95" i="1"/>
  <c r="JU95" i="1"/>
  <c r="JY11" i="1"/>
  <c r="JU11" i="1"/>
  <c r="JR286" i="1"/>
  <c r="JV286" i="1"/>
  <c r="JV273" i="1"/>
  <c r="JR273" i="1"/>
  <c r="JV260" i="1"/>
  <c r="JR260" i="1"/>
  <c r="JV233" i="1"/>
  <c r="JR233" i="1"/>
  <c r="JR217" i="1"/>
  <c r="JV217" i="1"/>
  <c r="JV204" i="1"/>
  <c r="JR204" i="1"/>
  <c r="JV192" i="1"/>
  <c r="JR192" i="1"/>
  <c r="JV179" i="1"/>
  <c r="JR179" i="1"/>
  <c r="JV166" i="1"/>
  <c r="JR166" i="1"/>
  <c r="JV141" i="1"/>
  <c r="JR141" i="1"/>
  <c r="JV129" i="1"/>
  <c r="JR129" i="1"/>
  <c r="JV117" i="1"/>
  <c r="JR117" i="1"/>
  <c r="JV105" i="1"/>
  <c r="JR105" i="1"/>
  <c r="JR92" i="1"/>
  <c r="JV92" i="1"/>
  <c r="JR75" i="1"/>
  <c r="JV75" i="1"/>
  <c r="JV62" i="1"/>
  <c r="JR62" i="1"/>
  <c r="JR50" i="1"/>
  <c r="JV50" i="1"/>
  <c r="JV37" i="1"/>
  <c r="JR37" i="1"/>
  <c r="JR24" i="1"/>
  <c r="JV24" i="1"/>
  <c r="JV12" i="1"/>
  <c r="JR12" i="1"/>
  <c r="JW290" i="1"/>
  <c r="JS290" i="1"/>
  <c r="JW278" i="1"/>
  <c r="JS278" i="1"/>
  <c r="JW251" i="1"/>
  <c r="JS251" i="1"/>
  <c r="JS236" i="1"/>
  <c r="JW236" i="1"/>
  <c r="JW220" i="1"/>
  <c r="JS220" i="1"/>
  <c r="JW206" i="1"/>
  <c r="JS206" i="1"/>
  <c r="JS193" i="1"/>
  <c r="JW193" i="1"/>
  <c r="JS181" i="1"/>
  <c r="JW181" i="1"/>
  <c r="JW166" i="1"/>
  <c r="JS166" i="1"/>
  <c r="JW151" i="1"/>
  <c r="JS151" i="1"/>
  <c r="JW139" i="1"/>
  <c r="JS139" i="1"/>
  <c r="JW125" i="1"/>
  <c r="JS125" i="1"/>
  <c r="JW112" i="1"/>
  <c r="JS112" i="1"/>
  <c r="JW100" i="1"/>
  <c r="JS100" i="1"/>
  <c r="JS85" i="1"/>
  <c r="JW85" i="1"/>
  <c r="JS72" i="1"/>
  <c r="JW72" i="1"/>
  <c r="JS56" i="1"/>
  <c r="JW56" i="1"/>
  <c r="JW42" i="1"/>
  <c r="JS42" i="1"/>
  <c r="JW30" i="1"/>
  <c r="JS30" i="1"/>
  <c r="JS17" i="1"/>
  <c r="JW17" i="1"/>
  <c r="JX295" i="1"/>
  <c r="JT295" i="1"/>
  <c r="JX282" i="1"/>
  <c r="JT282" i="1"/>
  <c r="JX269" i="1"/>
  <c r="JT269" i="1"/>
  <c r="JT254" i="1"/>
  <c r="JX254" i="1"/>
  <c r="JX239" i="1"/>
  <c r="JT239" i="1"/>
  <c r="JX220" i="1"/>
  <c r="JT220" i="1"/>
  <c r="JX203" i="1"/>
  <c r="JT203" i="1"/>
  <c r="JX190" i="1"/>
  <c r="JT190" i="1"/>
  <c r="JT176" i="1"/>
  <c r="JX176" i="1"/>
  <c r="JT159" i="1"/>
  <c r="JX159" i="1"/>
  <c r="JX145" i="1"/>
  <c r="JT145" i="1"/>
  <c r="JT131" i="1"/>
  <c r="JX131" i="1"/>
  <c r="JX118" i="1"/>
  <c r="JT118" i="1"/>
  <c r="JX103" i="1"/>
  <c r="JT103" i="1"/>
  <c r="JT87" i="1"/>
  <c r="JX87" i="1"/>
  <c r="JT74" i="1"/>
  <c r="JX74" i="1"/>
  <c r="JT60" i="1"/>
  <c r="JX60" i="1"/>
  <c r="JX46" i="1"/>
  <c r="JT46" i="1"/>
  <c r="JX33" i="1"/>
  <c r="JT33" i="1"/>
  <c r="JX19" i="1"/>
  <c r="JT19" i="1"/>
  <c r="JY295" i="1"/>
  <c r="JU295" i="1"/>
  <c r="JY281" i="1"/>
  <c r="JU281" i="1"/>
  <c r="JU264" i="1"/>
  <c r="JY264" i="1"/>
  <c r="JU249" i="1"/>
  <c r="JY249" i="1"/>
  <c r="JY232" i="1"/>
  <c r="JU232" i="1"/>
  <c r="JU217" i="1"/>
  <c r="JY217" i="1"/>
  <c r="JR76" i="1"/>
  <c r="JV76" i="1"/>
  <c r="JS9" i="1"/>
  <c r="JW9" i="1"/>
  <c r="JT105" i="1"/>
  <c r="JX105" i="1"/>
  <c r="JY145" i="1"/>
  <c r="JU145" i="1"/>
  <c r="JV285" i="1"/>
  <c r="JR285" i="1"/>
  <c r="JR232" i="1"/>
  <c r="JV232" i="1"/>
  <c r="JV178" i="1"/>
  <c r="JR178" i="1"/>
  <c r="JV140" i="1"/>
  <c r="JR140" i="1"/>
  <c r="JV116" i="1"/>
  <c r="JR116" i="1"/>
  <c r="JV74" i="1"/>
  <c r="JR74" i="1"/>
  <c r="JR49" i="1"/>
  <c r="JV49" i="1"/>
  <c r="JR23" i="1"/>
  <c r="JV23" i="1"/>
  <c r="JW289" i="1"/>
  <c r="JS289" i="1"/>
  <c r="JW264" i="1"/>
  <c r="JS264" i="1"/>
  <c r="JW248" i="1"/>
  <c r="JS248" i="1"/>
  <c r="JS219" i="1"/>
  <c r="JW219" i="1"/>
  <c r="JW205" i="1"/>
  <c r="JS205" i="1"/>
  <c r="JS180" i="1"/>
  <c r="JW180" i="1"/>
  <c r="JS165" i="1"/>
  <c r="JW165" i="1"/>
  <c r="JW138" i="1"/>
  <c r="JS138" i="1"/>
  <c r="JW124" i="1"/>
  <c r="JS124" i="1"/>
  <c r="JS99" i="1"/>
  <c r="JW99" i="1"/>
  <c r="JS71" i="1"/>
  <c r="JW71" i="1"/>
  <c r="JS55" i="1"/>
  <c r="JW55" i="1"/>
  <c r="JW29" i="1"/>
  <c r="JS29" i="1"/>
  <c r="JW16" i="1"/>
  <c r="JS16" i="1"/>
  <c r="JX280" i="1"/>
  <c r="JT280" i="1"/>
  <c r="JX268" i="1"/>
  <c r="JT268" i="1"/>
  <c r="JX238" i="1"/>
  <c r="JT238" i="1"/>
  <c r="JX217" i="1"/>
  <c r="JT217" i="1"/>
  <c r="JX189" i="1"/>
  <c r="JT189" i="1"/>
  <c r="JT158" i="1"/>
  <c r="JX158" i="1"/>
  <c r="JX130" i="1"/>
  <c r="JT130" i="1"/>
  <c r="JX117" i="1"/>
  <c r="JT117" i="1"/>
  <c r="JT86" i="1"/>
  <c r="JX86" i="1"/>
  <c r="JX59" i="1"/>
  <c r="JT59" i="1"/>
  <c r="JX32" i="1"/>
  <c r="JT32" i="1"/>
  <c r="JY294" i="1"/>
  <c r="JU294" i="1"/>
  <c r="JY262" i="1"/>
  <c r="JU262" i="1"/>
  <c r="JU231" i="1"/>
  <c r="JY231" i="1"/>
  <c r="JU200" i="1"/>
  <c r="JY200" i="1"/>
  <c r="JY172" i="1"/>
  <c r="JU172" i="1"/>
  <c r="JY140" i="1"/>
  <c r="JU140" i="1"/>
  <c r="JY112" i="1"/>
  <c r="JU112" i="1"/>
  <c r="JY79" i="1"/>
  <c r="JU79" i="1"/>
  <c r="JY66" i="1"/>
  <c r="JU66" i="1"/>
  <c r="JY29" i="1"/>
  <c r="JU29" i="1"/>
  <c r="JY10" i="1"/>
  <c r="JU10" i="1"/>
  <c r="JW5" i="1"/>
  <c r="JS5" i="1"/>
  <c r="JX17" i="1"/>
  <c r="JT17" i="1"/>
  <c r="JU144" i="1"/>
  <c r="JY144" i="1"/>
  <c r="JY41" i="1"/>
  <c r="JU41" i="1"/>
  <c r="JV271" i="1"/>
  <c r="JR271" i="1"/>
  <c r="JV257" i="1"/>
  <c r="JR257" i="1"/>
  <c r="JR243" i="1"/>
  <c r="JV243" i="1"/>
  <c r="JV231" i="1"/>
  <c r="JR231" i="1"/>
  <c r="JV215" i="1"/>
  <c r="JR215" i="1"/>
  <c r="JV202" i="1"/>
  <c r="JR202" i="1"/>
  <c r="JV190" i="1"/>
  <c r="JR190" i="1"/>
  <c r="JR177" i="1"/>
  <c r="JV177" i="1"/>
  <c r="JV163" i="1"/>
  <c r="JR163" i="1"/>
  <c r="JV151" i="1"/>
  <c r="JR151" i="1"/>
  <c r="JV139" i="1"/>
  <c r="JR139" i="1"/>
  <c r="JR115" i="1"/>
  <c r="JV115" i="1"/>
  <c r="JV103" i="1"/>
  <c r="JR103" i="1"/>
  <c r="JV89" i="1"/>
  <c r="JR89" i="1"/>
  <c r="JV73" i="1"/>
  <c r="JR73" i="1"/>
  <c r="JR60" i="1"/>
  <c r="JV60" i="1"/>
  <c r="JV48" i="1"/>
  <c r="JR48" i="1"/>
  <c r="JV35" i="1"/>
  <c r="JR35" i="1"/>
  <c r="JV22" i="1"/>
  <c r="JR22" i="1"/>
  <c r="JV10" i="1"/>
  <c r="JR10" i="1"/>
  <c r="JS288" i="1"/>
  <c r="JW288" i="1"/>
  <c r="JW276" i="1"/>
  <c r="JS276" i="1"/>
  <c r="JW263" i="1"/>
  <c r="JS263" i="1"/>
  <c r="JW246" i="1"/>
  <c r="JS246" i="1"/>
  <c r="JW234" i="1"/>
  <c r="JS234" i="1"/>
  <c r="JW218" i="1"/>
  <c r="JS218" i="1"/>
  <c r="JW204" i="1"/>
  <c r="JS204" i="1"/>
  <c r="JW191" i="1"/>
  <c r="JS191" i="1"/>
  <c r="JW179" i="1"/>
  <c r="JS179" i="1"/>
  <c r="JS164" i="1"/>
  <c r="JW164" i="1"/>
  <c r="JW149" i="1"/>
  <c r="JS149" i="1"/>
  <c r="JW137" i="1"/>
  <c r="JS137" i="1"/>
  <c r="JW123" i="1"/>
  <c r="JS123" i="1"/>
  <c r="JW110" i="1"/>
  <c r="JS110" i="1"/>
  <c r="JS97" i="1"/>
  <c r="JW97" i="1"/>
  <c r="JW83" i="1"/>
  <c r="JS83" i="1"/>
  <c r="JS70" i="1"/>
  <c r="JW70" i="1"/>
  <c r="JS54" i="1"/>
  <c r="JW54" i="1"/>
  <c r="JW40" i="1"/>
  <c r="JS40" i="1"/>
  <c r="JW28" i="1"/>
  <c r="JS28" i="1"/>
  <c r="JW15" i="1"/>
  <c r="JS15" i="1"/>
  <c r="JX292" i="1"/>
  <c r="JT292" i="1"/>
  <c r="JX279" i="1"/>
  <c r="JT279" i="1"/>
  <c r="JX265" i="1"/>
  <c r="JT265" i="1"/>
  <c r="JX252" i="1"/>
  <c r="JT252" i="1"/>
  <c r="JX237" i="1"/>
  <c r="JT237" i="1"/>
  <c r="JX216" i="1"/>
  <c r="JT216" i="1"/>
  <c r="JX201" i="1"/>
  <c r="JT201" i="1"/>
  <c r="JT188" i="1"/>
  <c r="JX188" i="1"/>
  <c r="JX173" i="1"/>
  <c r="JT173" i="1"/>
  <c r="JX157" i="1"/>
  <c r="JT157" i="1"/>
  <c r="JX143" i="1"/>
  <c r="JT143" i="1"/>
  <c r="JX129" i="1"/>
  <c r="JT129" i="1"/>
  <c r="JX116" i="1"/>
  <c r="JT116" i="1"/>
  <c r="JX98" i="1"/>
  <c r="JT98" i="1"/>
  <c r="JX85" i="1"/>
  <c r="JT85" i="1"/>
  <c r="JX72" i="1"/>
  <c r="JT72" i="1"/>
  <c r="JX58" i="1"/>
  <c r="JT58" i="1"/>
  <c r="JT44" i="1"/>
  <c r="JX44" i="1"/>
  <c r="JX31" i="1"/>
  <c r="JT31" i="1"/>
  <c r="JT14" i="1"/>
  <c r="JX14" i="1"/>
  <c r="JY293" i="1"/>
  <c r="JU293" i="1"/>
  <c r="JY279" i="1"/>
  <c r="JU279" i="1"/>
  <c r="JY261" i="1"/>
  <c r="JU261" i="1"/>
  <c r="JY247" i="1"/>
  <c r="JU247" i="1"/>
  <c r="JY230" i="1"/>
  <c r="JU230" i="1"/>
  <c r="JU214" i="1"/>
  <c r="JY214" i="1"/>
  <c r="JY199" i="1"/>
  <c r="JU199" i="1"/>
  <c r="JY184" i="1"/>
  <c r="JU184" i="1"/>
  <c r="JY171" i="1"/>
  <c r="JU171" i="1"/>
  <c r="JY158" i="1"/>
  <c r="JU158" i="1"/>
  <c r="JY139" i="1"/>
  <c r="JU139" i="1"/>
  <c r="JY124" i="1"/>
  <c r="JU124" i="1"/>
  <c r="JY111" i="1"/>
  <c r="JU111" i="1"/>
  <c r="JY93" i="1"/>
  <c r="JU93" i="1"/>
  <c r="JY78" i="1"/>
  <c r="JU78" i="1"/>
  <c r="JU65" i="1"/>
  <c r="JY65" i="1"/>
  <c r="JY44" i="1"/>
  <c r="JU44" i="1"/>
  <c r="JY28" i="1"/>
  <c r="JU28" i="1"/>
  <c r="JY9" i="1"/>
  <c r="JU9" i="1"/>
  <c r="JV207" i="1"/>
  <c r="JR207" i="1"/>
  <c r="JR6" i="1"/>
  <c r="JV6" i="1"/>
  <c r="JS202" i="1"/>
  <c r="JW202" i="1"/>
  <c r="JW94" i="1"/>
  <c r="JS94" i="1"/>
  <c r="JX221" i="1"/>
  <c r="JT221" i="1"/>
  <c r="JX165" i="1"/>
  <c r="JT165" i="1"/>
  <c r="JX12" i="1"/>
  <c r="JT12" i="1"/>
  <c r="JY245" i="1"/>
  <c r="JU245" i="1"/>
  <c r="JY132" i="1"/>
  <c r="JU132" i="1"/>
  <c r="JY35" i="1"/>
  <c r="JU35" i="1"/>
  <c r="JR282" i="1"/>
  <c r="JV282" i="1"/>
  <c r="JV254" i="1"/>
  <c r="JR254" i="1"/>
  <c r="JR229" i="1"/>
  <c r="JV229" i="1"/>
  <c r="JR200" i="1"/>
  <c r="JV200" i="1"/>
  <c r="JV175" i="1"/>
  <c r="JR175" i="1"/>
  <c r="JR137" i="1"/>
  <c r="JV137" i="1"/>
  <c r="JV101" i="1"/>
  <c r="JR101" i="1"/>
  <c r="JV58" i="1"/>
  <c r="JR58" i="1"/>
  <c r="JV20" i="1"/>
  <c r="JR20" i="1"/>
  <c r="JS286" i="1"/>
  <c r="JW286" i="1"/>
  <c r="JW244" i="1"/>
  <c r="JS244" i="1"/>
  <c r="JW216" i="1"/>
  <c r="JS216" i="1"/>
  <c r="JS176" i="1"/>
  <c r="JW176" i="1"/>
  <c r="JW147" i="1"/>
  <c r="JS147" i="1"/>
  <c r="JS120" i="1"/>
  <c r="JW120" i="1"/>
  <c r="JW81" i="1"/>
  <c r="JS81" i="1"/>
  <c r="JW52" i="1"/>
  <c r="JS52" i="1"/>
  <c r="JS12" i="1"/>
  <c r="JW12" i="1"/>
  <c r="JT263" i="1"/>
  <c r="JX263" i="1"/>
  <c r="JX214" i="1"/>
  <c r="JT214" i="1"/>
  <c r="JT186" i="1"/>
  <c r="JX186" i="1"/>
  <c r="JX141" i="1"/>
  <c r="JT141" i="1"/>
  <c r="JX114" i="1"/>
  <c r="JT114" i="1"/>
  <c r="JX83" i="1"/>
  <c r="JT83" i="1"/>
  <c r="JX42" i="1"/>
  <c r="JT42" i="1"/>
  <c r="JX28" i="1"/>
  <c r="JT28" i="1"/>
  <c r="JY291" i="1"/>
  <c r="JU291" i="1"/>
  <c r="JY259" i="1"/>
  <c r="JU259" i="1"/>
  <c r="JY226" i="1"/>
  <c r="JU226" i="1"/>
  <c r="JU212" i="1"/>
  <c r="JY212" i="1"/>
  <c r="JY182" i="1"/>
  <c r="JU182" i="1"/>
  <c r="JY169" i="1"/>
  <c r="JU169" i="1"/>
  <c r="JY122" i="1"/>
  <c r="JU122" i="1"/>
  <c r="JY91" i="1"/>
  <c r="JU91" i="1"/>
  <c r="JY26" i="1"/>
  <c r="JU26" i="1"/>
  <c r="JR4" i="1"/>
  <c r="JV4" i="1"/>
  <c r="JT219" i="1"/>
  <c r="JX219" i="1"/>
  <c r="JX11" i="1"/>
  <c r="JT11" i="1"/>
  <c r="JY71" i="1"/>
  <c r="JU71" i="1"/>
  <c r="JR281" i="1"/>
  <c r="JV281" i="1"/>
  <c r="JV228" i="1"/>
  <c r="JR228" i="1"/>
  <c r="JV174" i="1"/>
  <c r="JR174" i="1"/>
  <c r="JR124" i="1"/>
  <c r="JV124" i="1"/>
  <c r="JV100" i="1"/>
  <c r="JR100" i="1"/>
  <c r="JV57" i="1"/>
  <c r="JR57" i="1"/>
  <c r="JV31" i="1"/>
  <c r="JR31" i="1"/>
  <c r="JS272" i="1"/>
  <c r="JW272" i="1"/>
  <c r="JS243" i="1"/>
  <c r="JW243" i="1"/>
  <c r="JS215" i="1"/>
  <c r="JW215" i="1"/>
  <c r="JS188" i="1"/>
  <c r="JW188" i="1"/>
  <c r="JS174" i="1"/>
  <c r="JW174" i="1"/>
  <c r="JW134" i="1"/>
  <c r="JS134" i="1"/>
  <c r="JW107" i="1"/>
  <c r="JS107" i="1"/>
  <c r="JS80" i="1"/>
  <c r="JW80" i="1"/>
  <c r="JW37" i="1"/>
  <c r="JS37" i="1"/>
  <c r="JW11" i="1"/>
  <c r="JS11" i="1"/>
  <c r="JX262" i="1"/>
  <c r="JT262" i="1"/>
  <c r="JX233" i="1"/>
  <c r="JT233" i="1"/>
  <c r="JX198" i="1"/>
  <c r="JT198" i="1"/>
  <c r="JX140" i="1"/>
  <c r="JT140" i="1"/>
  <c r="JX95" i="1"/>
  <c r="JT95" i="1"/>
  <c r="JT55" i="1"/>
  <c r="JX55" i="1"/>
  <c r="JY290" i="1"/>
  <c r="JU290" i="1"/>
  <c r="JY225" i="1"/>
  <c r="JU225" i="1"/>
  <c r="JU168" i="1"/>
  <c r="JY168" i="1"/>
  <c r="JY6" i="1"/>
  <c r="JU6" i="1"/>
  <c r="JV3" i="1"/>
  <c r="JR3" i="1"/>
  <c r="JS68" i="1"/>
  <c r="JW68" i="1"/>
  <c r="JT148" i="1"/>
  <c r="JX148" i="1"/>
  <c r="JY288" i="1"/>
  <c r="JU288" i="1"/>
  <c r="JY130" i="1"/>
  <c r="JU130" i="1"/>
  <c r="JV293" i="1"/>
  <c r="JR293" i="1"/>
  <c r="JR266" i="1"/>
  <c r="JV266" i="1"/>
  <c r="JR239" i="1"/>
  <c r="JV239" i="1"/>
  <c r="JR198" i="1"/>
  <c r="JV198" i="1"/>
  <c r="JV173" i="1"/>
  <c r="JR173" i="1"/>
  <c r="JV135" i="1"/>
  <c r="JR135" i="1"/>
  <c r="JV83" i="1"/>
  <c r="JR83" i="1"/>
  <c r="JV30" i="1"/>
  <c r="JR30" i="1"/>
  <c r="JW284" i="1"/>
  <c r="JS284" i="1"/>
  <c r="JW212" i="1"/>
  <c r="JS212" i="1"/>
  <c r="JW160" i="1"/>
  <c r="JS160" i="1"/>
  <c r="JW133" i="1"/>
  <c r="JS133" i="1"/>
  <c r="JW91" i="1"/>
  <c r="JS91" i="1"/>
  <c r="JW50" i="1"/>
  <c r="JS50" i="1"/>
  <c r="JW24" i="1"/>
  <c r="JS24" i="1"/>
  <c r="JX288" i="1"/>
  <c r="JT288" i="1"/>
  <c r="JX261" i="1"/>
  <c r="JT261" i="1"/>
  <c r="JX232" i="1"/>
  <c r="JT232" i="1"/>
  <c r="JX212" i="1"/>
  <c r="JT212" i="1"/>
  <c r="JX167" i="1"/>
  <c r="JT167" i="1"/>
  <c r="JX139" i="1"/>
  <c r="JT139" i="1"/>
  <c r="JX94" i="1"/>
  <c r="JT94" i="1"/>
  <c r="JX68" i="1"/>
  <c r="JT68" i="1"/>
  <c r="JX25" i="1"/>
  <c r="JT25" i="1"/>
  <c r="JY289" i="1"/>
  <c r="JU289" i="1"/>
  <c r="JY257" i="1"/>
  <c r="JU257" i="1"/>
  <c r="JY224" i="1"/>
  <c r="JU224" i="1"/>
  <c r="JY195" i="1"/>
  <c r="JU195" i="1"/>
  <c r="JY166" i="1"/>
  <c r="JU166" i="1"/>
  <c r="JY135" i="1"/>
  <c r="JU135" i="1"/>
  <c r="JY106" i="1"/>
  <c r="JU106" i="1"/>
  <c r="JY74" i="1"/>
  <c r="JU74" i="1"/>
  <c r="JY5" i="1"/>
  <c r="JU5" i="1"/>
  <c r="JV165" i="1"/>
  <c r="JR165" i="1"/>
  <c r="JS170" i="1"/>
  <c r="JW170" i="1"/>
  <c r="JX281" i="1"/>
  <c r="JT281" i="1"/>
  <c r="JX209" i="1"/>
  <c r="JT209" i="1"/>
  <c r="JT63" i="1"/>
  <c r="JX63" i="1"/>
  <c r="JY287" i="1"/>
  <c r="JU287" i="1"/>
  <c r="JY239" i="1"/>
  <c r="JU239" i="1"/>
  <c r="JY119" i="1"/>
  <c r="JU119" i="1"/>
  <c r="JU61" i="1"/>
  <c r="JY61" i="1"/>
  <c r="JV292" i="1"/>
  <c r="JR292" i="1"/>
  <c r="JV278" i="1"/>
  <c r="JR278" i="1"/>
  <c r="JV251" i="1"/>
  <c r="JR251" i="1"/>
  <c r="JV226" i="1"/>
  <c r="JR226" i="1"/>
  <c r="JV185" i="1"/>
  <c r="JR185" i="1"/>
  <c r="JV158" i="1"/>
  <c r="JR158" i="1"/>
  <c r="JV122" i="1"/>
  <c r="JR122" i="1"/>
  <c r="JV82" i="1"/>
  <c r="JR82" i="1"/>
  <c r="JV55" i="1"/>
  <c r="JR55" i="1"/>
  <c r="JV29" i="1"/>
  <c r="JR29" i="1"/>
  <c r="JS283" i="1"/>
  <c r="JW283" i="1"/>
  <c r="JW256" i="1"/>
  <c r="JS256" i="1"/>
  <c r="JS211" i="1"/>
  <c r="JW211" i="1"/>
  <c r="JW186" i="1"/>
  <c r="JS186" i="1"/>
  <c r="JW159" i="1"/>
  <c r="JS159" i="1"/>
  <c r="JS105" i="1"/>
  <c r="JW105" i="1"/>
  <c r="JW78" i="1"/>
  <c r="JS78" i="1"/>
  <c r="JW48" i="1"/>
  <c r="JS48" i="1"/>
  <c r="JS8" i="1"/>
  <c r="JW8" i="1"/>
  <c r="JX274" i="1"/>
  <c r="JT274" i="1"/>
  <c r="JT247" i="1"/>
  <c r="JX247" i="1"/>
  <c r="JX195" i="1"/>
  <c r="JT195" i="1"/>
  <c r="JX166" i="1"/>
  <c r="JT166" i="1"/>
  <c r="JX138" i="1"/>
  <c r="JT138" i="1"/>
  <c r="JX93" i="1"/>
  <c r="JT93" i="1"/>
  <c r="JX67" i="1"/>
  <c r="JT67" i="1"/>
  <c r="JX24" i="1"/>
  <c r="JT24" i="1"/>
  <c r="JY286" i="1"/>
  <c r="JU286" i="1"/>
  <c r="JY238" i="1"/>
  <c r="JU238" i="1"/>
  <c r="JU165" i="1"/>
  <c r="JY165" i="1"/>
  <c r="JY118" i="1"/>
  <c r="JU118" i="1"/>
  <c r="JU73" i="1"/>
  <c r="JY73" i="1"/>
  <c r="JY20" i="1"/>
  <c r="JU20" i="1"/>
  <c r="JS273" i="1"/>
  <c r="JW273" i="1"/>
  <c r="JW57" i="1"/>
  <c r="JS57" i="1"/>
  <c r="JX136" i="1"/>
  <c r="JT136" i="1"/>
  <c r="JY276" i="1"/>
  <c r="JU276" i="1"/>
  <c r="JY107" i="1"/>
  <c r="JU107" i="1"/>
  <c r="JY22" i="1"/>
  <c r="JU22" i="1"/>
  <c r="JV264" i="1"/>
  <c r="JR264" i="1"/>
  <c r="JV237" i="1"/>
  <c r="JR237" i="1"/>
  <c r="JV209" i="1"/>
  <c r="JR209" i="1"/>
  <c r="JV170" i="1"/>
  <c r="JR170" i="1"/>
  <c r="JV145" i="1"/>
  <c r="JR145" i="1"/>
  <c r="JV121" i="1"/>
  <c r="JR121" i="1"/>
  <c r="JR96" i="1"/>
  <c r="JV96" i="1"/>
  <c r="JV67" i="1"/>
  <c r="JR67" i="1"/>
  <c r="JV28" i="1"/>
  <c r="JR28" i="1"/>
  <c r="JS294" i="1"/>
  <c r="JW294" i="1"/>
  <c r="JW282" i="1"/>
  <c r="JS282" i="1"/>
  <c r="JW255" i="1"/>
  <c r="JS255" i="1"/>
  <c r="JW228" i="1"/>
  <c r="JS228" i="1"/>
  <c r="JW197" i="1"/>
  <c r="JS197" i="1"/>
  <c r="JS171" i="1"/>
  <c r="JW171" i="1"/>
  <c r="JW130" i="1"/>
  <c r="JS130" i="1"/>
  <c r="JW104" i="1"/>
  <c r="JS104" i="1"/>
  <c r="JS77" i="1"/>
  <c r="JW77" i="1"/>
  <c r="JS47" i="1"/>
  <c r="JW47" i="1"/>
  <c r="JW22" i="1"/>
  <c r="JS22" i="1"/>
  <c r="JX286" i="1"/>
  <c r="JT286" i="1"/>
  <c r="JX259" i="1"/>
  <c r="JT259" i="1"/>
  <c r="JX210" i="1"/>
  <c r="JT210" i="1"/>
  <c r="JX180" i="1"/>
  <c r="JT180" i="1"/>
  <c r="JX151" i="1"/>
  <c r="JT151" i="1"/>
  <c r="JT122" i="1"/>
  <c r="JX122" i="1"/>
  <c r="JX79" i="1"/>
  <c r="JT79" i="1"/>
  <c r="JX37" i="1"/>
  <c r="JT37" i="1"/>
  <c r="JY285" i="1"/>
  <c r="JU285" i="1"/>
  <c r="JY222" i="1"/>
  <c r="JU222" i="1"/>
  <c r="JU177" i="1"/>
  <c r="JY177" i="1"/>
  <c r="JY133" i="1"/>
  <c r="JU133" i="1"/>
  <c r="JY104" i="1"/>
  <c r="JU104" i="1"/>
  <c r="JU72" i="1"/>
  <c r="JY72" i="1"/>
  <c r="JU36" i="1"/>
  <c r="JY36" i="1"/>
  <c r="JY19" i="1"/>
  <c r="JU19" i="1"/>
  <c r="JR91" i="1"/>
  <c r="JV91" i="1"/>
  <c r="JW153" i="1"/>
  <c r="JS153" i="1"/>
  <c r="JX266" i="1"/>
  <c r="JT266" i="1"/>
  <c r="JX135" i="1"/>
  <c r="JT135" i="1"/>
  <c r="JY275" i="1"/>
  <c r="JU275" i="1"/>
  <c r="JY156" i="1"/>
  <c r="JU156" i="1"/>
  <c r="JY17" i="1"/>
  <c r="JU17" i="1"/>
  <c r="JV276" i="1"/>
  <c r="JR276" i="1"/>
  <c r="JV249" i="1"/>
  <c r="JR249" i="1"/>
  <c r="JR220" i="1"/>
  <c r="JV220" i="1"/>
  <c r="JV208" i="1"/>
  <c r="JR208" i="1"/>
  <c r="JR182" i="1"/>
  <c r="JV182" i="1"/>
  <c r="JV156" i="1"/>
  <c r="JR156" i="1"/>
  <c r="JV132" i="1"/>
  <c r="JR132" i="1"/>
  <c r="JV120" i="1"/>
  <c r="JR120" i="1"/>
  <c r="JV95" i="1"/>
  <c r="JR95" i="1"/>
  <c r="JR80" i="1"/>
  <c r="JV80" i="1"/>
  <c r="JV53" i="1"/>
  <c r="JR53" i="1"/>
  <c r="JV40" i="1"/>
  <c r="JR40" i="1"/>
  <c r="JR15" i="1"/>
  <c r="JV15" i="1"/>
  <c r="JW293" i="1"/>
  <c r="JS293" i="1"/>
  <c r="JW268" i="1"/>
  <c r="JS268" i="1"/>
  <c r="JW254" i="1"/>
  <c r="JS254" i="1"/>
  <c r="JW239" i="1"/>
  <c r="JS239" i="1"/>
  <c r="JW209" i="1"/>
  <c r="JS209" i="1"/>
  <c r="JW196" i="1"/>
  <c r="JS196" i="1"/>
  <c r="JW184" i="1"/>
  <c r="JS184" i="1"/>
  <c r="JS157" i="1"/>
  <c r="JW157" i="1"/>
  <c r="JW142" i="1"/>
  <c r="JS142" i="1"/>
  <c r="JS129" i="1"/>
  <c r="JW129" i="1"/>
  <c r="JW103" i="1"/>
  <c r="JS103" i="1"/>
  <c r="JW76" i="1"/>
  <c r="JS76" i="1"/>
  <c r="JS45" i="1"/>
  <c r="JW45" i="1"/>
  <c r="JW33" i="1"/>
  <c r="JS33" i="1"/>
  <c r="JW6" i="1"/>
  <c r="JS6" i="1"/>
  <c r="JX272" i="1"/>
  <c r="JT272" i="1"/>
  <c r="JX244" i="1"/>
  <c r="JT244" i="1"/>
  <c r="JT206" i="1"/>
  <c r="JX206" i="1"/>
  <c r="JT179" i="1"/>
  <c r="JX179" i="1"/>
  <c r="JX150" i="1"/>
  <c r="JT150" i="1"/>
  <c r="JX121" i="1"/>
  <c r="JT121" i="1"/>
  <c r="JT78" i="1"/>
  <c r="JX78" i="1"/>
  <c r="JX36" i="1"/>
  <c r="JT36" i="1"/>
  <c r="JU284" i="1"/>
  <c r="JY284" i="1"/>
  <c r="JU236" i="1"/>
  <c r="JY236" i="1"/>
  <c r="JY163" i="1"/>
  <c r="JU163" i="1"/>
  <c r="JY18" i="1"/>
  <c r="JU18" i="1"/>
  <c r="JR88" i="1"/>
  <c r="JV88" i="1"/>
  <c r="JS152" i="1"/>
  <c r="JW152" i="1"/>
  <c r="JX257" i="1"/>
  <c r="JT257" i="1"/>
  <c r="JX123" i="1"/>
  <c r="JT123" i="1"/>
  <c r="JX41" i="1"/>
  <c r="JT41" i="1"/>
  <c r="JY228" i="1"/>
  <c r="JU228" i="1"/>
  <c r="JU155" i="1"/>
  <c r="JY155" i="1"/>
  <c r="JU49" i="1"/>
  <c r="JY49" i="1"/>
  <c r="JU13" i="1"/>
  <c r="JY13" i="1"/>
  <c r="JV288" i="1"/>
  <c r="JR288" i="1"/>
  <c r="JV262" i="1"/>
  <c r="JR262" i="1"/>
  <c r="JV248" i="1"/>
  <c r="JR248" i="1"/>
  <c r="JR219" i="1"/>
  <c r="JV219" i="1"/>
  <c r="JV206" i="1"/>
  <c r="JR206" i="1"/>
  <c r="JV181" i="1"/>
  <c r="JR181" i="1"/>
  <c r="JV168" i="1"/>
  <c r="JR168" i="1"/>
  <c r="JR155" i="1"/>
  <c r="JV155" i="1"/>
  <c r="JV131" i="1"/>
  <c r="JR131" i="1"/>
  <c r="JV119" i="1"/>
  <c r="JR119" i="1"/>
  <c r="JR107" i="1"/>
  <c r="JV107" i="1"/>
  <c r="JR79" i="1"/>
  <c r="JV79" i="1"/>
  <c r="JV65" i="1"/>
  <c r="JR65" i="1"/>
  <c r="JR52" i="1"/>
  <c r="JV52" i="1"/>
  <c r="JR39" i="1"/>
  <c r="JV39" i="1"/>
  <c r="JV14" i="1"/>
  <c r="JR14" i="1"/>
  <c r="JW292" i="1"/>
  <c r="JS292" i="1"/>
  <c r="JW280" i="1"/>
  <c r="JS280" i="1"/>
  <c r="JW267" i="1"/>
  <c r="JS267" i="1"/>
  <c r="JW253" i="1"/>
  <c r="JS253" i="1"/>
  <c r="JW238" i="1"/>
  <c r="JS238" i="1"/>
  <c r="JW208" i="1"/>
  <c r="JS208" i="1"/>
  <c r="JW195" i="1"/>
  <c r="JS195" i="1"/>
  <c r="JW183" i="1"/>
  <c r="JS183" i="1"/>
  <c r="JW168" i="1"/>
  <c r="JS168" i="1"/>
  <c r="JW156" i="1"/>
  <c r="JS156" i="1"/>
  <c r="JS141" i="1"/>
  <c r="JW141" i="1"/>
  <c r="JW127" i="1"/>
  <c r="JS127" i="1"/>
  <c r="JW114" i="1"/>
  <c r="JS114" i="1"/>
  <c r="JW87" i="1"/>
  <c r="JS87" i="1"/>
  <c r="JW75" i="1"/>
  <c r="JS75" i="1"/>
  <c r="JS59" i="1"/>
  <c r="JW59" i="1"/>
  <c r="JS44" i="1"/>
  <c r="JW44" i="1"/>
  <c r="JS32" i="1"/>
  <c r="JW32" i="1"/>
  <c r="JS20" i="1"/>
  <c r="JW20" i="1"/>
  <c r="JW4" i="1"/>
  <c r="JS4" i="1"/>
  <c r="JX284" i="1"/>
  <c r="JT284" i="1"/>
  <c r="JX271" i="1"/>
  <c r="JT271" i="1"/>
  <c r="JX256" i="1"/>
  <c r="JT256" i="1"/>
  <c r="JX241" i="1"/>
  <c r="JT241" i="1"/>
  <c r="JX228" i="1"/>
  <c r="JT228" i="1"/>
  <c r="JX205" i="1"/>
  <c r="JT205" i="1"/>
  <c r="JX120" i="1"/>
  <c r="JT120" i="1"/>
  <c r="JV77" i="1"/>
  <c r="JR77" i="1"/>
  <c r="JW128" i="1"/>
  <c r="JS128" i="1"/>
  <c r="JX183" i="1"/>
  <c r="JT183" i="1"/>
  <c r="JU267" i="1"/>
  <c r="JY267" i="1"/>
  <c r="JY47" i="1"/>
  <c r="JU47" i="1"/>
  <c r="JR246" i="1"/>
  <c r="JV246" i="1"/>
  <c r="JV153" i="1"/>
  <c r="JR153" i="1"/>
  <c r="JS265" i="1"/>
  <c r="JW265" i="1"/>
  <c r="JY201" i="1"/>
  <c r="JU201" i="1"/>
  <c r="JV258" i="1"/>
  <c r="JR258" i="1"/>
  <c r="JW247" i="1"/>
  <c r="JS247" i="1"/>
  <c r="JW122" i="1"/>
  <c r="JS122" i="1"/>
  <c r="JX242" i="1"/>
  <c r="JT242" i="1"/>
  <c r="JX174" i="1"/>
  <c r="JT174" i="1"/>
  <c r="JX18" i="1"/>
  <c r="JT18" i="1"/>
  <c r="JY263" i="1"/>
  <c r="JU263" i="1"/>
  <c r="JY208" i="1"/>
  <c r="JU208" i="1"/>
  <c r="JY94" i="1"/>
  <c r="JU94" i="1"/>
  <c r="JU46" i="1"/>
  <c r="JY46" i="1"/>
  <c r="JX64" i="1"/>
  <c r="JT64" i="1"/>
  <c r="JV272" i="1"/>
  <c r="JR272" i="1"/>
  <c r="JV259" i="1"/>
  <c r="JR259" i="1"/>
  <c r="JV245" i="1"/>
  <c r="JR245" i="1"/>
  <c r="JR216" i="1"/>
  <c r="JV216" i="1"/>
  <c r="JV203" i="1"/>
  <c r="JR203" i="1"/>
  <c r="JV191" i="1"/>
  <c r="JR191" i="1"/>
  <c r="JV164" i="1"/>
  <c r="JR164" i="1"/>
  <c r="JR152" i="1"/>
  <c r="JV152" i="1"/>
  <c r="JR128" i="1"/>
  <c r="JV128" i="1"/>
  <c r="JV104" i="1"/>
  <c r="JR104" i="1"/>
  <c r="JV90" i="1"/>
  <c r="JR90" i="1"/>
  <c r="JV61" i="1"/>
  <c r="JR61" i="1"/>
  <c r="JR36" i="1"/>
  <c r="JV36" i="1"/>
  <c r="JV11" i="1"/>
  <c r="JR11" i="1"/>
  <c r="JW277" i="1"/>
  <c r="JS277" i="1"/>
  <c r="JW235" i="1"/>
  <c r="JS235" i="1"/>
  <c r="JW192" i="1"/>
  <c r="JS192" i="1"/>
  <c r="JW150" i="1"/>
  <c r="JS150" i="1"/>
  <c r="JW111" i="1"/>
  <c r="JS111" i="1"/>
  <c r="JS84" i="1"/>
  <c r="JW84" i="1"/>
  <c r="JW41" i="1"/>
  <c r="JS41" i="1"/>
  <c r="JX294" i="1"/>
  <c r="JT294" i="1"/>
  <c r="JX253" i="1"/>
  <c r="JT253" i="1"/>
  <c r="JX202" i="1"/>
  <c r="JT202" i="1"/>
  <c r="JX175" i="1"/>
  <c r="JT175" i="1"/>
  <c r="JX144" i="1"/>
  <c r="JT144" i="1"/>
  <c r="JX101" i="1"/>
  <c r="JT101" i="1"/>
  <c r="JX73" i="1"/>
  <c r="JT73" i="1"/>
  <c r="JX45" i="1"/>
  <c r="JT45" i="1"/>
  <c r="JX16" i="1"/>
  <c r="JT16" i="1"/>
  <c r="JY280" i="1"/>
  <c r="JU280" i="1"/>
  <c r="JY248" i="1"/>
  <c r="JU248" i="1"/>
  <c r="JY216" i="1"/>
  <c r="JU216" i="1"/>
  <c r="JY186" i="1"/>
  <c r="JU186" i="1"/>
  <c r="JY159" i="1"/>
  <c r="JU159" i="1"/>
  <c r="JY125" i="1"/>
  <c r="JU125" i="1"/>
  <c r="JU97" i="1"/>
  <c r="JY97" i="1"/>
  <c r="JU45" i="1"/>
  <c r="JY45" i="1"/>
  <c r="JR255" i="1"/>
  <c r="JV255" i="1"/>
  <c r="JR44" i="1"/>
  <c r="JV44" i="1"/>
  <c r="JS214" i="1"/>
  <c r="JW214" i="1"/>
  <c r="JS98" i="1"/>
  <c r="JW98" i="1"/>
  <c r="JT235" i="1"/>
  <c r="JX235" i="1"/>
  <c r="JX172" i="1"/>
  <c r="JT172" i="1"/>
  <c r="JX102" i="1"/>
  <c r="JT102" i="1"/>
  <c r="JY252" i="1"/>
  <c r="JU252" i="1"/>
  <c r="JY204" i="1"/>
  <c r="JU204" i="1"/>
  <c r="JY84" i="1"/>
  <c r="JU84" i="1"/>
  <c r="JR284" i="1"/>
  <c r="JV284" i="1"/>
  <c r="JR127" i="1"/>
  <c r="JV127" i="1"/>
  <c r="JV244" i="1"/>
  <c r="JR244" i="1"/>
  <c r="JV33" i="1"/>
  <c r="JR33" i="1"/>
  <c r="JW213" i="1"/>
  <c r="JS213" i="1"/>
  <c r="JS95" i="1"/>
  <c r="JW95" i="1"/>
  <c r="JW3" i="1"/>
  <c r="JS3" i="1"/>
  <c r="JX226" i="1"/>
  <c r="JT226" i="1"/>
  <c r="JX171" i="1"/>
  <c r="JT171" i="1"/>
  <c r="JX100" i="1"/>
  <c r="JT100" i="1"/>
  <c r="JX15" i="1"/>
  <c r="JT15" i="1"/>
  <c r="JY251" i="1"/>
  <c r="JU251" i="1"/>
  <c r="JY203" i="1"/>
  <c r="JU203" i="1"/>
  <c r="JY142" i="1"/>
  <c r="JU142" i="1"/>
  <c r="JY83" i="1"/>
  <c r="JU83" i="1"/>
  <c r="JY40" i="1"/>
  <c r="JU40" i="1"/>
  <c r="JR296" i="1"/>
  <c r="JV296" i="1"/>
  <c r="JV283" i="1"/>
  <c r="JR283" i="1"/>
  <c r="JV270" i="1"/>
  <c r="JR270" i="1"/>
  <c r="JR256" i="1"/>
  <c r="JV256" i="1"/>
  <c r="JV242" i="1"/>
  <c r="JR242" i="1"/>
  <c r="JR230" i="1"/>
  <c r="JV230" i="1"/>
  <c r="JR214" i="1"/>
  <c r="JV214" i="1"/>
  <c r="JR201" i="1"/>
  <c r="JV201" i="1"/>
  <c r="JV189" i="1"/>
  <c r="JR189" i="1"/>
  <c r="JV176" i="1"/>
  <c r="JR176" i="1"/>
  <c r="JR162" i="1"/>
  <c r="JV162" i="1"/>
  <c r="JV150" i="1"/>
  <c r="JR150" i="1"/>
  <c r="JR138" i="1"/>
  <c r="JV138" i="1"/>
  <c r="JV126" i="1"/>
  <c r="JR126" i="1"/>
  <c r="JR114" i="1"/>
  <c r="JV114" i="1"/>
  <c r="JV102" i="1"/>
  <c r="JR102" i="1"/>
  <c r="JV86" i="1"/>
  <c r="JR86" i="1"/>
  <c r="JV72" i="1"/>
  <c r="JR72" i="1"/>
  <c r="JV59" i="1"/>
  <c r="JR59" i="1"/>
  <c r="JV47" i="1"/>
  <c r="JR47" i="1"/>
  <c r="JV34" i="1"/>
  <c r="JR34" i="1"/>
  <c r="JV21" i="1"/>
  <c r="JR21" i="1"/>
  <c r="JV8" i="1"/>
  <c r="JR8" i="1"/>
  <c r="JW287" i="1"/>
  <c r="JS287" i="1"/>
  <c r="JW275" i="1"/>
  <c r="JS275" i="1"/>
  <c r="JS260" i="1"/>
  <c r="JW260" i="1"/>
  <c r="JW245" i="1"/>
  <c r="JS245" i="1"/>
  <c r="JS233" i="1"/>
  <c r="JW233" i="1"/>
  <c r="JW217" i="1"/>
  <c r="JS217" i="1"/>
  <c r="JS203" i="1"/>
  <c r="JW203" i="1"/>
  <c r="JW190" i="1"/>
  <c r="JS190" i="1"/>
  <c r="JW177" i="1"/>
  <c r="JS177" i="1"/>
  <c r="JW163" i="1"/>
  <c r="JS163" i="1"/>
  <c r="JW148" i="1"/>
  <c r="JS148" i="1"/>
  <c r="JW136" i="1"/>
  <c r="JS136" i="1"/>
  <c r="JS121" i="1"/>
  <c r="JW121" i="1"/>
  <c r="JW109" i="1"/>
  <c r="JS109" i="1"/>
  <c r="JW96" i="1"/>
  <c r="JS96" i="1"/>
  <c r="JS82" i="1"/>
  <c r="JW82" i="1"/>
  <c r="JS69" i="1"/>
  <c r="JW69" i="1"/>
  <c r="JW53" i="1"/>
  <c r="JS53" i="1"/>
  <c r="JW39" i="1"/>
  <c r="JS39" i="1"/>
  <c r="JS27" i="1"/>
  <c r="JW27" i="1"/>
  <c r="JW14" i="1"/>
  <c r="JS14" i="1"/>
  <c r="JT291" i="1"/>
  <c r="JX291" i="1"/>
  <c r="JT278" i="1"/>
  <c r="JX278" i="1"/>
  <c r="JX264" i="1"/>
  <c r="JT264" i="1"/>
  <c r="JT251" i="1"/>
  <c r="JX251" i="1"/>
  <c r="JX236" i="1"/>
  <c r="JT236" i="1"/>
  <c r="JX215" i="1"/>
  <c r="JT215" i="1"/>
  <c r="JX200" i="1"/>
  <c r="JT200" i="1"/>
  <c r="JX187" i="1"/>
  <c r="JT187" i="1"/>
  <c r="JX170" i="1"/>
  <c r="JT170" i="1"/>
  <c r="JX156" i="1"/>
  <c r="JT156" i="1"/>
  <c r="JX142" i="1"/>
  <c r="JT142" i="1"/>
  <c r="JX128" i="1"/>
  <c r="JT128" i="1"/>
  <c r="JX115" i="1"/>
  <c r="JT115" i="1"/>
  <c r="JX97" i="1"/>
  <c r="JT97" i="1"/>
  <c r="JX84" i="1"/>
  <c r="JT84" i="1"/>
  <c r="JX71" i="1"/>
  <c r="JT71" i="1"/>
  <c r="JX57" i="1"/>
  <c r="JT57" i="1"/>
  <c r="JX43" i="1"/>
  <c r="JT43" i="1"/>
  <c r="JX30" i="1"/>
  <c r="JT30" i="1"/>
  <c r="JX13" i="1"/>
  <c r="JT13" i="1"/>
  <c r="JY292" i="1"/>
  <c r="JU292" i="1"/>
  <c r="JY278" i="1"/>
  <c r="JU278" i="1"/>
  <c r="JU260" i="1"/>
  <c r="JY260" i="1"/>
  <c r="JY246" i="1"/>
  <c r="JU246" i="1"/>
  <c r="JU227" i="1"/>
  <c r="JY227" i="1"/>
  <c r="JU213" i="1"/>
  <c r="JY213" i="1"/>
  <c r="JY198" i="1"/>
  <c r="JU198" i="1"/>
  <c r="JU183" i="1"/>
  <c r="JY183" i="1"/>
  <c r="JY170" i="1"/>
  <c r="JU170" i="1"/>
  <c r="JY157" i="1"/>
  <c r="JU157" i="1"/>
  <c r="JU138" i="1"/>
  <c r="JY138" i="1"/>
  <c r="JY123" i="1"/>
  <c r="JU123" i="1"/>
  <c r="JU110" i="1"/>
  <c r="JY110" i="1"/>
  <c r="JU92" i="1"/>
  <c r="JY92" i="1"/>
  <c r="JU77" i="1"/>
  <c r="JY77" i="1"/>
  <c r="JY62" i="1"/>
  <c r="JU62" i="1"/>
  <c r="JY43" i="1"/>
  <c r="JU43" i="1"/>
  <c r="JY27" i="1"/>
  <c r="JU27" i="1"/>
  <c r="JY8" i="1"/>
  <c r="JU8" i="1"/>
  <c r="N64" i="1"/>
  <c r="JX2" i="1"/>
  <c r="JT2" i="1"/>
  <c r="O64" i="1"/>
  <c r="Q64" i="1"/>
  <c r="JU2" i="1"/>
  <c r="JR2" i="1"/>
  <c r="JV2" i="1"/>
  <c r="JS2" i="1"/>
  <c r="E154" i="1"/>
  <c r="D154" i="1"/>
  <c r="C154" i="1"/>
  <c r="B154" i="1"/>
  <c r="BE266" i="1"/>
  <c r="JR64" i="1" l="1"/>
  <c r="JV64" i="1"/>
  <c r="JY64" i="1"/>
  <c r="JU64" i="1"/>
  <c r="JW64" i="1"/>
  <c r="JS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tc={172589CC-C336-409F-811E-0DFC357E38DC}</author>
    <author>tc={070A93FC-D77A-4601-9774-632168C8ADFF}</author>
    <author>tc={8412270A-09B9-4EC6-ABA1-70BEDECB55F8}</author>
    <author>tc={2EBD155E-15D4-466E-B94E-C53A84183A01}</author>
    <author>tc={89B48762-3C0A-421B-921D-02E2BD1B34B1}</author>
    <author>tc={50FEB53C-84FC-4F79-91C4-04CC6D9DF07B}</author>
    <author>tc={019B37CD-1DC3-4146-8390-A795D19AF5BC}</author>
    <author>tc={52C47B07-EFCE-4055-B3EB-9EDF16B94D8A}</author>
    <author>tc={3DD8FD25-8F16-47C3-80D3-5BA61E449EC7}</author>
    <author>tc={86C664DE-0CDC-4A5A-B5AC-2E00A174BC67}</author>
    <author>tc={D6DE59E7-C080-49CF-A289-634C7477A8EC}</author>
    <author>tc={C0C43156-EF25-4BC0-83EA-CAFA11373CF4}</author>
    <author>tc={A82073D0-155D-4B12-916D-E4401B9F9BD6}</author>
    <author>tc={32D3E48B-3D63-460A-A4CD-626B0E3C7329}</author>
    <author>tc={8927EEEE-DDEC-4BAE-9B5E-DB9EE07382EC}</author>
    <author>tc={09BFF8AD-7DF8-4944-9A3F-DE20708993F0}</author>
    <author>tc={004EDCB0-CD36-4EE7-8D3B-72893A169D8E}</author>
    <author>tc={9DFB03B0-4CF7-4221-A096-400B6B8A6F92}</author>
  </authors>
  <commentList>
    <comment ref="V1" authorId="0" shapeId="0" xr:uid="{172589CC-C336-409F-811E-0DFC357E38DC}">
      <text>
        <t>[Threaded comment]
Your version of Excel allows you to read this threaded comment; however, any edits to it will get removed if the file is opened in a newer version of Excel. Learn more: https://go.microsoft.com/fwlink/?linkid=870924
Comment:
    In-vessel composting</t>
      </text>
    </comment>
    <comment ref="W1" authorId="1" shapeId="0" xr:uid="{070A93FC-D77A-4601-9774-632168C8ADFF}">
      <text>
        <t>[Threaded comment]
Your version of Excel allows you to read this threaded comment; however, any edits to it will get removed if the file is opened in a newer version of Excel. Learn more: https://go.microsoft.com/fwlink/?linkid=870924
Comment:
    Windrow composting</t>
      </text>
    </comment>
    <comment ref="Y1" authorId="2" shapeId="0" xr:uid="{8412270A-09B9-4EC6-ABA1-70BEDECB55F8}">
      <text>
        <t>[Threaded comment]
Your version of Excel allows you to read this threaded comment; however, any edits to it will get removed if the file is opened in a newer version of Excel. Learn more: https://go.microsoft.com/fwlink/?linkid=870924
Comment:
    In-vessel composting</t>
      </text>
    </comment>
    <comment ref="Z1" authorId="3" shapeId="0" xr:uid="{2EBD155E-15D4-466E-B94E-C53A84183A01}">
      <text>
        <t>[Threaded comment]
Your version of Excel allows you to read this threaded comment; however, any edits to it will get removed if the file is opened in a newer version of Excel. Learn more: https://go.microsoft.com/fwlink/?linkid=870924
Comment:
    Windrow composting</t>
      </text>
    </comment>
    <comment ref="AT1" authorId="4" shapeId="0" xr:uid="{89B48762-3C0A-421B-921D-02E2BD1B34B1}">
      <text>
        <t>[Threaded comment]
Your version of Excel allows you to read this threaded comment; however, any edits to it will get removed if the file is opened in a newer version of Excel. Learn more: https://go.microsoft.com/fwlink/?linkid=870924
Comment:
    In-vessel composting</t>
      </text>
    </comment>
    <comment ref="AU1" authorId="5" shapeId="0" xr:uid="{50FEB53C-84FC-4F79-91C4-04CC6D9DF07B}">
      <text>
        <t>[Threaded comment]
Your version of Excel allows you to read this threaded comment; however, any edits to it will get removed if the file is opened in a newer version of Excel. Learn more: https://go.microsoft.com/fwlink/?linkid=870924
Comment:
    Windrow composting</t>
      </text>
    </comment>
    <comment ref="AX1" authorId="6" shapeId="0" xr:uid="{019B37CD-1DC3-4146-8390-A795D19AF5BC}">
      <text>
        <t>[Threaded comment]
Your version of Excel allows you to read this threaded comment; however, any edits to it will get removed if the file is opened in a newer version of Excel. Learn more: https://go.microsoft.com/fwlink/?linkid=870924
Comment:
    In-vessel composting</t>
      </text>
    </comment>
    <comment ref="AY1" authorId="7" shapeId="0" xr:uid="{52C47B07-EFCE-4055-B3EB-9EDF16B94D8A}">
      <text>
        <t>[Threaded comment]
Your version of Excel allows you to read this threaded comment; however, any edits to it will get removed if the file is opened in a newer version of Excel. Learn more: https://go.microsoft.com/fwlink/?linkid=870924
Comment:
    Windrow composting</t>
      </text>
    </comment>
    <comment ref="JR1" authorId="8" shapeId="0" xr:uid="{3DD8FD25-8F16-47C3-80D3-5BA61E449EC7}">
      <text>
        <t>[Threaded comment]
Your version of Excel allows you to read this threaded comment; however, any edits to it will get removed if the file is opened in a newer version of Excel. Learn more: https://go.microsoft.com/fwlink/?linkid=870924
Comment:
    27%</t>
      </text>
    </comment>
    <comment ref="JV1" authorId="9" shapeId="0" xr:uid="{86C664DE-0CDC-4A5A-B5AC-2E00A174BC67}">
      <text>
        <t>[Threaded comment]
Your version of Excel allows you to read this threaded comment; however, any edits to it will get removed if the file is opened in a newer version of Excel. Learn more: https://go.microsoft.com/fwlink/?linkid=870924
Comment:
    5%</t>
      </text>
    </comment>
    <comment ref="AS31" authorId="10" shapeId="0" xr:uid="{D6DE59E7-C080-49CF-A289-634C7477A8EC}">
      <text>
        <t xml:space="preserve">[Threaded comment]
Your version of Excel allows you to read this threaded comment; however, any edits to it will get removed if the file is opened in a newer version of Excel. Learn more: https://go.microsoft.com/fwlink/?linkid=870924
Comment:
    For the 2023 WasteDataFlow reporting cycle, Bristol City Council did not complete its waste returns, so its 2023 figures are absent from the official dataset. Value is estimated, based on 2020–22 mean </t>
      </text>
    </comment>
    <comment ref="A37" authorId="11" shapeId="0" xr:uid="{C0C43156-EF25-4BC0-83EA-CAFA11373CF4}">
      <text>
        <t>[Threaded comment]
Your version of Excel allows you to read this threaded comment; however, any edits to it will get removed if the file is opened in a newer version of Excel. Learn more: https://go.microsoft.com/fwlink/?linkid=870924
Comment:
    Previous councils added to Buckinghamshire: Wycombe District council + South Bucks District Council + Ayelsbury Vale District Council</t>
      </text>
    </comment>
    <comment ref="A64" authorId="12" shapeId="0" xr:uid="{A82073D0-155D-4B12-916D-E4401B9F9BD6}">
      <text>
        <t>[Threaded comment]
Your version of Excel allows you to read this threaded comment; however, any edits to it will get removed if the file is opened in a newer version of Excel. Learn more: https://go.microsoft.com/fwlink/?linkid=870924
Comment:
    Previously: Allerdale borough +Copeland borough + Carlise City + Cumbria</t>
      </text>
    </comment>
    <comment ref="A154" authorId="13" shapeId="0" xr:uid="{32D3E48B-3D63-460A-A4CD-626B0E3C7329}">
      <text>
        <t>[Threaded comment]
Your version of Excel allows you to read this threaded comment; however, any edits to it will get removed if the file is opened in a newer version of Excel. Learn more: https://go.microsoft.com/fwlink/?linkid=870924
Comment:
    And barbegh</t>
      </text>
    </comment>
    <comment ref="A171" authorId="14" shapeId="0" xr:uid="{8927EEEE-DDEC-4BAE-9B5E-DB9EE07382EC}">
      <text>
        <t>[Threaded comment]
Your version of Excel allows you to read this threaded comment; however, any edits to it will get removed if the file is opened in a newer version of Excel. Learn more: https://go.microsoft.com/fwlink/?linkid=870924
Comment:
    Previously: Corby borough, east northamptonshire, kettering borough, Wellingborough</t>
      </text>
    </comment>
    <comment ref="A176" authorId="15" shapeId="0" xr:uid="{09BFF8AD-7DF8-4944-9A3F-DE20708993F0}">
      <text>
        <t>[Threaded comment]
Your version of Excel allows you to read this threaded comment; however, any edits to it will get removed if the file is opened in a newer version of Excel. Learn more: https://go.microsoft.com/fwlink/?linkid=870924
Comment:
    Previously: Craven District, Hambleton District, Harrogate, Richmondshire District, Ryedale district, Scarborough borough, Selby district, and North Yorkshire</t>
      </text>
    </comment>
    <comment ref="A278" authorId="16" shapeId="0" xr:uid="{004EDCB0-CD36-4EE7-8D3B-72893A169D8E}">
      <text>
        <t>[Threaded comment]
Your version of Excel allows you to read this threaded comment; however, any edits to it will get removed if the file is opened in a newer version of Excel. Learn more: https://go.microsoft.com/fwlink/?linkid=870924
Comment:
    Previously: Daventry council, Northampton borough, south northhamptonshire</t>
      </text>
    </comment>
    <comment ref="A282" authorId="17" shapeId="0" xr:uid="{9DFB03B0-4CF7-4221-A096-400B6B8A6F92}">
      <text>
        <t>[Threaded comment]
Your version of Excel allows you to read this threaded comment; however, any edits to it will get removed if the file is opened in a newer version of Excel. Learn more: https://go.microsoft.com/fwlink/?linkid=870924
Comment:
    Previously: Barrow borough, Eden District, South Lakeland District</t>
      </text>
    </comment>
  </commentList>
</comments>
</file>

<file path=xl/sharedStrings.xml><?xml version="1.0" encoding="utf-8"?>
<sst xmlns="http://schemas.openxmlformats.org/spreadsheetml/2006/main" count="580" uniqueCount="580">
  <si>
    <t>Council Name</t>
  </si>
  <si>
    <t>population_2020</t>
  </si>
  <si>
    <t>population_2021</t>
  </si>
  <si>
    <t>population_2022</t>
  </si>
  <si>
    <t>population_2023</t>
  </si>
  <si>
    <t>FoodCollected_2020</t>
  </si>
  <si>
    <t>FoodCollected_2021</t>
  </si>
  <si>
    <t>FoodCollected_2022</t>
  </si>
  <si>
    <t>FoodCollected_2023</t>
  </si>
  <si>
    <t>Adur</t>
  </si>
  <si>
    <t>Amber Valley</t>
  </si>
  <si>
    <t>Arun</t>
  </si>
  <si>
    <t>Ashfield</t>
  </si>
  <si>
    <t>Ashford</t>
  </si>
  <si>
    <t>Barking and Dagenham</t>
  </si>
  <si>
    <t>Barnet</t>
  </si>
  <si>
    <t>Barnsley</t>
  </si>
  <si>
    <t>Basildon</t>
  </si>
  <si>
    <t>Basingstoke and Deane</t>
  </si>
  <si>
    <t>Bassetlaw</t>
  </si>
  <si>
    <t>Bath and North East Somerset</t>
  </si>
  <si>
    <t>Bedford</t>
  </si>
  <si>
    <t>Bexley</t>
  </si>
  <si>
    <t>Birmingham</t>
  </si>
  <si>
    <t>Blaby</t>
  </si>
  <si>
    <t>Blackburn with Darwen</t>
  </si>
  <si>
    <t>Blackpool</t>
  </si>
  <si>
    <t>Bolsover</t>
  </si>
  <si>
    <t>Bolton</t>
  </si>
  <si>
    <t>Boston</t>
  </si>
  <si>
    <t>Bournemouth, Christchurch and Poole</t>
  </si>
  <si>
    <t>Bracknell Forest</t>
  </si>
  <si>
    <t>Bradford</t>
  </si>
  <si>
    <t>Braintree</t>
  </si>
  <si>
    <t>Breckland</t>
  </si>
  <si>
    <t>Brent</t>
  </si>
  <si>
    <t>Brentwood</t>
  </si>
  <si>
    <t>Brighton and Hove</t>
  </si>
  <si>
    <t>Bristol, City of</t>
  </si>
  <si>
    <t>Broadland</t>
  </si>
  <si>
    <t>Bromley</t>
  </si>
  <si>
    <t>Bromsgrove</t>
  </si>
  <si>
    <t>Broxbourne</t>
  </si>
  <si>
    <t>Broxtowe</t>
  </si>
  <si>
    <t>Buckinghamshire</t>
  </si>
  <si>
    <t>Burnley</t>
  </si>
  <si>
    <t>Bury</t>
  </si>
  <si>
    <t>Calderdale</t>
  </si>
  <si>
    <t>Cambridge</t>
  </si>
  <si>
    <t>Camden</t>
  </si>
  <si>
    <t>Cannock Chase</t>
  </si>
  <si>
    <t>Canterbury</t>
  </si>
  <si>
    <t>Castle Point</t>
  </si>
  <si>
    <t>Central Bedfordshire</t>
  </si>
  <si>
    <t>Charnwood</t>
  </si>
  <si>
    <t>Chelmsford</t>
  </si>
  <si>
    <t>Cheltenham</t>
  </si>
  <si>
    <t>Cherwell</t>
  </si>
  <si>
    <t>Cheshire East</t>
  </si>
  <si>
    <t>Cheshire West and Chester</t>
  </si>
  <si>
    <t>Chesterfield</t>
  </si>
  <si>
    <t>Chichester</t>
  </si>
  <si>
    <t>Chorley</t>
  </si>
  <si>
    <t>City of London</t>
  </si>
  <si>
    <t>Colchester</t>
  </si>
  <si>
    <t>Cornwall</t>
  </si>
  <si>
    <t>Cotswold</t>
  </si>
  <si>
    <t>County Durham</t>
  </si>
  <si>
    <t>Coventry</t>
  </si>
  <si>
    <t>Crawley</t>
  </si>
  <si>
    <t>Croydon</t>
  </si>
  <si>
    <t>Cumberland</t>
  </si>
  <si>
    <t>Dacorum</t>
  </si>
  <si>
    <t>Darlington</t>
  </si>
  <si>
    <t>Dartford</t>
  </si>
  <si>
    <t>Derby</t>
  </si>
  <si>
    <t>Derbyshire Dales</t>
  </si>
  <si>
    <t>Doncaster</t>
  </si>
  <si>
    <t>Dorset</t>
  </si>
  <si>
    <t>Dover</t>
  </si>
  <si>
    <t>Dudley</t>
  </si>
  <si>
    <t>Ealing</t>
  </si>
  <si>
    <t>East Cambridgeshire</t>
  </si>
  <si>
    <t>East Devon</t>
  </si>
  <si>
    <t>East Hampshire</t>
  </si>
  <si>
    <t>East Hertfordshire</t>
  </si>
  <si>
    <t>East Lindsey</t>
  </si>
  <si>
    <t>East Riding of Yorkshire</t>
  </si>
  <si>
    <t>East Staffordshire</t>
  </si>
  <si>
    <t>East Suffolk</t>
  </si>
  <si>
    <t>Eastbourne</t>
  </si>
  <si>
    <t>Eastleigh</t>
  </si>
  <si>
    <t>Elmbridge</t>
  </si>
  <si>
    <t>Enfield</t>
  </si>
  <si>
    <t>Epping Forest</t>
  </si>
  <si>
    <t>Epsom and Ewell</t>
  </si>
  <si>
    <t>Erewash</t>
  </si>
  <si>
    <t>Exeter</t>
  </si>
  <si>
    <t>Fareham</t>
  </si>
  <si>
    <t>Fenland</t>
  </si>
  <si>
    <t>Folkestone and Hythe</t>
  </si>
  <si>
    <t>Forest of Dean</t>
  </si>
  <si>
    <t>Fylde</t>
  </si>
  <si>
    <t>Gateshead</t>
  </si>
  <si>
    <t>Gedling</t>
  </si>
  <si>
    <t>Gloucester</t>
  </si>
  <si>
    <t>Gosport</t>
  </si>
  <si>
    <t>Gravesham</t>
  </si>
  <si>
    <t>Great Yarmouth</t>
  </si>
  <si>
    <t>Greenwich</t>
  </si>
  <si>
    <t>Guildford</t>
  </si>
  <si>
    <t>Hackney</t>
  </si>
  <si>
    <t>Halton</t>
  </si>
  <si>
    <t>Hammersmith and Fulham</t>
  </si>
  <si>
    <t>Harborough</t>
  </si>
  <si>
    <t>Haringey</t>
  </si>
  <si>
    <t>Harlow</t>
  </si>
  <si>
    <t>Harrow</t>
  </si>
  <si>
    <t>Hart</t>
  </si>
  <si>
    <t>Hartlepool</t>
  </si>
  <si>
    <t>Hastings</t>
  </si>
  <si>
    <t>Havant</t>
  </si>
  <si>
    <t>Havering</t>
  </si>
  <si>
    <t>Herefordshire, County of</t>
  </si>
  <si>
    <t>Hertsmere</t>
  </si>
  <si>
    <t>High Peak</t>
  </si>
  <si>
    <t>Hillingdon</t>
  </si>
  <si>
    <t>Hinckley and Bosworth</t>
  </si>
  <si>
    <t>Horsham</t>
  </si>
  <si>
    <t>Hounslow</t>
  </si>
  <si>
    <t>Huntingdonshire</t>
  </si>
  <si>
    <t>Hyndburn</t>
  </si>
  <si>
    <t>Ipswich</t>
  </si>
  <si>
    <t>Isle of Wight</t>
  </si>
  <si>
    <t>Isles of Scilly</t>
  </si>
  <si>
    <t>Islington</t>
  </si>
  <si>
    <t>Kensington and Chelsea</t>
  </si>
  <si>
    <t>King's Lynn and West Norfolk</t>
  </si>
  <si>
    <t>Kingston upon Hull, City of</t>
  </si>
  <si>
    <t>Kingston upon Thames</t>
  </si>
  <si>
    <t>Kirklees</t>
  </si>
  <si>
    <t>Knowsley</t>
  </si>
  <si>
    <t>Lambeth</t>
  </si>
  <si>
    <t>Lancaster</t>
  </si>
  <si>
    <t>Leeds</t>
  </si>
  <si>
    <t>Leicester</t>
  </si>
  <si>
    <t>Lewes</t>
  </si>
  <si>
    <t>Lewisham</t>
  </si>
  <si>
    <t>Lichfield</t>
  </si>
  <si>
    <t>Lincoln</t>
  </si>
  <si>
    <t>Liverpool</t>
  </si>
  <si>
    <t>Luton</t>
  </si>
  <si>
    <t>Maidstone</t>
  </si>
  <si>
    <t>Maldon</t>
  </si>
  <si>
    <t>Malvern Hills</t>
  </si>
  <si>
    <t>Manchester</t>
  </si>
  <si>
    <t>Mansfield</t>
  </si>
  <si>
    <t>Medway</t>
  </si>
  <si>
    <t>Melton</t>
  </si>
  <si>
    <t>Merton</t>
  </si>
  <si>
    <t>Mid Devon</t>
  </si>
  <si>
    <t>Mid Suffolk</t>
  </si>
  <si>
    <t>Mid Sussex</t>
  </si>
  <si>
    <t>Middlesbrough</t>
  </si>
  <si>
    <t>Milton Keynes</t>
  </si>
  <si>
    <t>Mole Valley</t>
  </si>
  <si>
    <t>New Forest</t>
  </si>
  <si>
    <t>Newark and Sherwood</t>
  </si>
  <si>
    <t>Newcastle upon Tyne</t>
  </si>
  <si>
    <t>Newcastle-under-Lyme</t>
  </si>
  <si>
    <t>Newham</t>
  </si>
  <si>
    <t>North Devon</t>
  </si>
  <si>
    <t>North East Derbyshire</t>
  </si>
  <si>
    <t>North East Lincolnshire</t>
  </si>
  <si>
    <t>North Hertfordshire</t>
  </si>
  <si>
    <t>North Kesteven</t>
  </si>
  <si>
    <t>North Lincolnshire</t>
  </si>
  <si>
    <t>North Norfolk</t>
  </si>
  <si>
    <t>North Northamptonshire</t>
  </si>
  <si>
    <t>North Somerset</t>
  </si>
  <si>
    <t>North Tyneside</t>
  </si>
  <si>
    <t>North Warwickshire</t>
  </si>
  <si>
    <t>North West Leicestershire</t>
  </si>
  <si>
    <t>North Yorkshire</t>
  </si>
  <si>
    <t>Northumberland</t>
  </si>
  <si>
    <t>Norwich</t>
  </si>
  <si>
    <t>Nottingham</t>
  </si>
  <si>
    <t>Nuneaton and Bedworth</t>
  </si>
  <si>
    <t>Oadby and Wigston</t>
  </si>
  <si>
    <t>Oldham</t>
  </si>
  <si>
    <t>Oxford</t>
  </si>
  <si>
    <t>Pendle</t>
  </si>
  <si>
    <t>Peterborough</t>
  </si>
  <si>
    <t>Plymouth</t>
  </si>
  <si>
    <t>Portsmouth</t>
  </si>
  <si>
    <t>Preston</t>
  </si>
  <si>
    <t>Reading</t>
  </si>
  <si>
    <t>Redbridge</t>
  </si>
  <si>
    <t>Redcar and Cleveland</t>
  </si>
  <si>
    <t>Redditch</t>
  </si>
  <si>
    <t>Reigate and Banstead</t>
  </si>
  <si>
    <t>Ribble Valley</t>
  </si>
  <si>
    <t>Richmond upon Thames</t>
  </si>
  <si>
    <t>Rochdale</t>
  </si>
  <si>
    <t>Rochford</t>
  </si>
  <si>
    <t>Rossendale</t>
  </si>
  <si>
    <t>Rother</t>
  </si>
  <si>
    <t>Rotherham</t>
  </si>
  <si>
    <t>Rugby</t>
  </si>
  <si>
    <t>Runnymede</t>
  </si>
  <si>
    <t>Rushcliffe</t>
  </si>
  <si>
    <t>Rushmoor</t>
  </si>
  <si>
    <t>Rutland</t>
  </si>
  <si>
    <t>Salford</t>
  </si>
  <si>
    <t>Sandwell</t>
  </si>
  <si>
    <t>Sefton</t>
  </si>
  <si>
    <t>Sevenoaks</t>
  </si>
  <si>
    <t>Sheffield</t>
  </si>
  <si>
    <t>Shropshire</t>
  </si>
  <si>
    <t>Slough</t>
  </si>
  <si>
    <t>Solihull</t>
  </si>
  <si>
    <t>Somerset</t>
  </si>
  <si>
    <t>South Cambridgeshire</t>
  </si>
  <si>
    <t>South Derbyshire</t>
  </si>
  <si>
    <t>South Gloucestershire</t>
  </si>
  <si>
    <t>South Hams</t>
  </si>
  <si>
    <t>South Holland</t>
  </si>
  <si>
    <t>South Kesteven</t>
  </si>
  <si>
    <t>South Norfolk</t>
  </si>
  <si>
    <t>South Oxfordshire</t>
  </si>
  <si>
    <t>South Ribble</t>
  </si>
  <si>
    <t>South Staffordshire</t>
  </si>
  <si>
    <t>South Tyneside</t>
  </si>
  <si>
    <t>Southampton</t>
  </si>
  <si>
    <t>Southend-on-Sea</t>
  </si>
  <si>
    <t>Southwark</t>
  </si>
  <si>
    <t>Spelthorne</t>
  </si>
  <si>
    <t>St Albans</t>
  </si>
  <si>
    <t>St. Helens</t>
  </si>
  <si>
    <t>Stafford</t>
  </si>
  <si>
    <t>Staffordshire Moorlands</t>
  </si>
  <si>
    <t>Stevenage</t>
  </si>
  <si>
    <t>Stockport</t>
  </si>
  <si>
    <t>Stockton-on-Tees</t>
  </si>
  <si>
    <t>Stoke-on-Trent</t>
  </si>
  <si>
    <t>Stratford-on-Avon</t>
  </si>
  <si>
    <t>Stroud</t>
  </si>
  <si>
    <t>Sunderland</t>
  </si>
  <si>
    <t>Surrey Heath</t>
  </si>
  <si>
    <t>Sutton</t>
  </si>
  <si>
    <t>Swale</t>
  </si>
  <si>
    <t>Swindon</t>
  </si>
  <si>
    <t>Tameside</t>
  </si>
  <si>
    <t>Tamworth</t>
  </si>
  <si>
    <t>Tandridge</t>
  </si>
  <si>
    <t>Teignbridge</t>
  </si>
  <si>
    <t>Telford and Wrekin</t>
  </si>
  <si>
    <t>Tendring</t>
  </si>
  <si>
    <t>Test Valley</t>
  </si>
  <si>
    <t>Tewkesbury</t>
  </si>
  <si>
    <t>Thanet</t>
  </si>
  <si>
    <t>Three Rivers</t>
  </si>
  <si>
    <t>Thurrock</t>
  </si>
  <si>
    <t>Tonbridge and Malling</t>
  </si>
  <si>
    <t>Torbay</t>
  </si>
  <si>
    <t>Torridge</t>
  </si>
  <si>
    <t>Tower Hamlets</t>
  </si>
  <si>
    <t>Trafford</t>
  </si>
  <si>
    <t>Tunbridge Wells</t>
  </si>
  <si>
    <t>Uttlesford</t>
  </si>
  <si>
    <t>Vale of White Horse</t>
  </si>
  <si>
    <t>Wakefield</t>
  </si>
  <si>
    <t>Walsall</t>
  </si>
  <si>
    <t>Waltham Forest</t>
  </si>
  <si>
    <t>Wandsworth</t>
  </si>
  <si>
    <t>Warrington</t>
  </si>
  <si>
    <t>Warwick</t>
  </si>
  <si>
    <t>Watford</t>
  </si>
  <si>
    <t>Waverley</t>
  </si>
  <si>
    <t>Wealden</t>
  </si>
  <si>
    <t>Welwyn Hatfield</t>
  </si>
  <si>
    <t>West Berkshire</t>
  </si>
  <si>
    <t>West Devon</t>
  </si>
  <si>
    <t>West Lancashire</t>
  </si>
  <si>
    <t>West Lindsey</t>
  </si>
  <si>
    <t>West Northamptonshire</t>
  </si>
  <si>
    <t>West Oxfordshire</t>
  </si>
  <si>
    <t>West Suffolk</t>
  </si>
  <si>
    <t>Westminster</t>
  </si>
  <si>
    <t>Westmorland and Furness</t>
  </si>
  <si>
    <t>Wigan</t>
  </si>
  <si>
    <t>Wiltshire</t>
  </si>
  <si>
    <t>Winchester</t>
  </si>
  <si>
    <t>Windsor and Maidenhead</t>
  </si>
  <si>
    <t>Wirral</t>
  </si>
  <si>
    <t>Woking</t>
  </si>
  <si>
    <t>Wokingham</t>
  </si>
  <si>
    <t>Wolverhampton</t>
  </si>
  <si>
    <t>Worcester</t>
  </si>
  <si>
    <t>Worthing</t>
  </si>
  <si>
    <t>Wychavon</t>
  </si>
  <si>
    <t>Wyre</t>
  </si>
  <si>
    <t>Wyre Forest</t>
  </si>
  <si>
    <t>York</t>
  </si>
  <si>
    <t>FoodAD_2020</t>
  </si>
  <si>
    <t>FoodCompostedIV_2020</t>
  </si>
  <si>
    <t>FoodCompostedW_2021</t>
  </si>
  <si>
    <t>FoodCompostedIV_2021</t>
  </si>
  <si>
    <t>FoodAD_2021</t>
  </si>
  <si>
    <t>FoodCompostedW_2020</t>
  </si>
  <si>
    <t>FoodCompostedIV_2022</t>
  </si>
  <si>
    <t>FoodCompostedW_2022</t>
  </si>
  <si>
    <t>FoodAD_2022</t>
  </si>
  <si>
    <t>FoodCompostedW_2023</t>
  </si>
  <si>
    <t>FoodAD_2023</t>
  </si>
  <si>
    <t>FoodCompostedIV_2023</t>
  </si>
  <si>
    <t>GardenCollected_2020</t>
  </si>
  <si>
    <t>GardenCollected_2021</t>
  </si>
  <si>
    <t>GardenCollected_2022</t>
  </si>
  <si>
    <t>GardenCollected_2023</t>
  </si>
  <si>
    <t>GardenCompostedIV_2020</t>
  </si>
  <si>
    <t>GardenCompostedW_2020</t>
  </si>
  <si>
    <t>GardenAD_2020</t>
  </si>
  <si>
    <t>GardenCompostedIV_2021</t>
  </si>
  <si>
    <t>GardenCompostedW_2021</t>
  </si>
  <si>
    <t>GardenAD_2021</t>
  </si>
  <si>
    <t>GardenCompostedIV_2022</t>
  </si>
  <si>
    <t>GardenCompostedW_2022</t>
  </si>
  <si>
    <t>GardenCompostedIV_2023</t>
  </si>
  <si>
    <t>GardenCompostedW_2023</t>
  </si>
  <si>
    <t>GardenAD_2023</t>
  </si>
  <si>
    <t>GardenRecycled_2021</t>
  </si>
  <si>
    <t>GardenRecycled_2020</t>
  </si>
  <si>
    <t>GardenRecycled_2022</t>
  </si>
  <si>
    <t>GardenRecycled_2023</t>
  </si>
  <si>
    <t>Residual_2020</t>
  </si>
  <si>
    <t>Residual_2021</t>
  </si>
  <si>
    <t>Residual_2022</t>
  </si>
  <si>
    <t>Residual_2023</t>
  </si>
  <si>
    <t>TotalRecCollec2020</t>
  </si>
  <si>
    <t>TotalRecCollec2021</t>
  </si>
  <si>
    <t>TotalRecCollec2022</t>
  </si>
  <si>
    <t>TotalRecCollec2023</t>
  </si>
  <si>
    <t>TotalCollected2020</t>
  </si>
  <si>
    <t>TotalCollected2021</t>
  </si>
  <si>
    <t>TotalCollected2022</t>
  </si>
  <si>
    <t>TotalCollected2023</t>
  </si>
  <si>
    <t>AvoidFood2023</t>
  </si>
  <si>
    <t>AvoidFood2022</t>
  </si>
  <si>
    <t>AvoidFood2021</t>
  </si>
  <si>
    <t>AvoidFood2020</t>
  </si>
  <si>
    <t>AvoidGarden2020</t>
  </si>
  <si>
    <t>AvoidGarden2021</t>
  </si>
  <si>
    <t>AvoidGarden2022</t>
  </si>
  <si>
    <t>AvoidGarden2023</t>
  </si>
  <si>
    <t>PaperCardCollected_2020</t>
  </si>
  <si>
    <t>PaperCardCollected_2021</t>
  </si>
  <si>
    <t>PaperCardCollected_2022</t>
  </si>
  <si>
    <t>PaperCardCollected_2023</t>
  </si>
  <si>
    <t>PaperCardRecycled_2020</t>
  </si>
  <si>
    <t>PaperCardRecycled_2021</t>
  </si>
  <si>
    <t>PaperCardRecycled_2022</t>
  </si>
  <si>
    <t>PaperCardRecycled_2023</t>
  </si>
  <si>
    <t>PaperCardEfW_2020</t>
  </si>
  <si>
    <t>PaperCardEfW_2021</t>
  </si>
  <si>
    <t>PaperCardEfW_2022</t>
  </si>
  <si>
    <t>PaperCardEfW_2023</t>
  </si>
  <si>
    <t>PaperCardReuse_2020</t>
  </si>
  <si>
    <t>PaperCardReuse_2021</t>
  </si>
  <si>
    <t>PaperCardReuse_2022</t>
  </si>
  <si>
    <t>PaperCardReuse_2023</t>
  </si>
  <si>
    <t>PaperCardLandfill_2020</t>
  </si>
  <si>
    <t>PaperCardLandfill_2021</t>
  </si>
  <si>
    <t>PaperCardLandfill_2022</t>
  </si>
  <si>
    <t>PaperCardLandfill_2023</t>
  </si>
  <si>
    <t>PaperCardRDF_MHT_2020</t>
  </si>
  <si>
    <t>PaperCardRDF_MHT_2022</t>
  </si>
  <si>
    <t>PaperCardRDF_MHT_2023</t>
  </si>
  <si>
    <t>PaperCardRDF_MHT_2021</t>
  </si>
  <si>
    <t>PlasticsCollected_2020</t>
  </si>
  <si>
    <t>PlasticsCollected_2021</t>
  </si>
  <si>
    <t>PlasticsCollected_2022</t>
  </si>
  <si>
    <t>PlasticsCollected_2023</t>
  </si>
  <si>
    <t>PlasticsRecycled_2020</t>
  </si>
  <si>
    <t>PlasticsRecycled_2021</t>
  </si>
  <si>
    <t>PlasticsRecycled_2022</t>
  </si>
  <si>
    <t>PlasticsRecycled_2023</t>
  </si>
  <si>
    <t>PlasticsReuse_2020</t>
  </si>
  <si>
    <t>PlasticsReuse_2021</t>
  </si>
  <si>
    <t>PlasticsReuse_2022</t>
  </si>
  <si>
    <t>PlasticsReuse_2023</t>
  </si>
  <si>
    <t>PlasticsEfW_2020</t>
  </si>
  <si>
    <t>PlasticsEfW_2021</t>
  </si>
  <si>
    <t>PlasticsEfW_2022</t>
  </si>
  <si>
    <t>PlasticsEfW_2023</t>
  </si>
  <si>
    <t>PlasticsLandfill_2020</t>
  </si>
  <si>
    <t>PlasticsLandfill_2021</t>
  </si>
  <si>
    <t>PlasticsLandfill_2022</t>
  </si>
  <si>
    <t>PlasticsLandfill_2023</t>
  </si>
  <si>
    <t>GlassCollected_2020</t>
  </si>
  <si>
    <t>GlassCollected_2021</t>
  </si>
  <si>
    <t>GlassCollected_2022</t>
  </si>
  <si>
    <t>GlassCollected_2023</t>
  </si>
  <si>
    <t>GlassRecycled_2020</t>
  </si>
  <si>
    <t>GlassRecycled_2021</t>
  </si>
  <si>
    <t>GlassRecycled_2022</t>
  </si>
  <si>
    <t>GlassRecycled_2023</t>
  </si>
  <si>
    <t>GlassReuse_2020</t>
  </si>
  <si>
    <t>GlassReuse_2021</t>
  </si>
  <si>
    <t>GlassReuse_2022</t>
  </si>
  <si>
    <t>GlassReuse_2023</t>
  </si>
  <si>
    <t>GlassEfW_2020</t>
  </si>
  <si>
    <t>GlassEfW_2021</t>
  </si>
  <si>
    <t>GlassEfW_2022</t>
  </si>
  <si>
    <t>GlassEfW_2023</t>
  </si>
  <si>
    <t>GlassLandfill_2020</t>
  </si>
  <si>
    <t>GlassLandfill_2021</t>
  </si>
  <si>
    <t>GlassLandfill_2022</t>
  </si>
  <si>
    <t>GlassLandfill_2023</t>
  </si>
  <si>
    <t>GlassRDF_MHT_2023</t>
  </si>
  <si>
    <t>GlassRDF_MHT_2020</t>
  </si>
  <si>
    <t>GlassRDF_MHT_2021</t>
  </si>
  <si>
    <t>GlassRDF_MHT_2022</t>
  </si>
  <si>
    <t>MetalsCollected_2020</t>
  </si>
  <si>
    <t>MetalsCollected_2021</t>
  </si>
  <si>
    <t>MetalsCollected_2022</t>
  </si>
  <si>
    <t>MetalsCollected_2023</t>
  </si>
  <si>
    <t>MetalsRecycled_2020</t>
  </si>
  <si>
    <t>MetalsRecycled_2021</t>
  </si>
  <si>
    <t>MetalsRecycled_2022</t>
  </si>
  <si>
    <t>MetalsRecycled_2023</t>
  </si>
  <si>
    <t>MetalsReuse_2020</t>
  </si>
  <si>
    <t>MetalsReuse_2021</t>
  </si>
  <si>
    <t>MetalsReuse_2022</t>
  </si>
  <si>
    <t>MetalsReuse_2023</t>
  </si>
  <si>
    <t>MetalsEfW_2020</t>
  </si>
  <si>
    <t>MetalsEfW_2021</t>
  </si>
  <si>
    <t>MetalsEfW_2022</t>
  </si>
  <si>
    <t>MetalsEfW_2023</t>
  </si>
  <si>
    <t>MetalsLandfill_2020</t>
  </si>
  <si>
    <t>MetalsLandfill_2021</t>
  </si>
  <si>
    <t>MetalsLandfill_2022</t>
  </si>
  <si>
    <t>MetalsLandfill_2023</t>
  </si>
  <si>
    <t>TextilesCollected_2020</t>
  </si>
  <si>
    <t>TextilesCollected_2021</t>
  </si>
  <si>
    <t>TextilesCollected_2022</t>
  </si>
  <si>
    <t>TextilesCollected_2023</t>
  </si>
  <si>
    <t>TextilesRecycled_2020</t>
  </si>
  <si>
    <t>TextilesRecycled_2021</t>
  </si>
  <si>
    <t>TextilesRecycled_2022</t>
  </si>
  <si>
    <t>TextilesRecycled_2023</t>
  </si>
  <si>
    <t>TextilesReuse_2020</t>
  </si>
  <si>
    <t>TextilesReuse_2021</t>
  </si>
  <si>
    <t>TextilesReuse_2022</t>
  </si>
  <si>
    <t>TextilesReuse_2023</t>
  </si>
  <si>
    <t>TextilesRDF_MHT_2020</t>
  </si>
  <si>
    <t>TextilesRDF_MHT_2021</t>
  </si>
  <si>
    <t>TextilesRDF_MHT_2022</t>
  </si>
  <si>
    <t>TextilesRDF_MHT_2023</t>
  </si>
  <si>
    <t>TextilesEfW_2020</t>
  </si>
  <si>
    <t>TextilesEfW_2021</t>
  </si>
  <si>
    <t>TextilesEfW_2022</t>
  </si>
  <si>
    <t>TextilesEfW_2023</t>
  </si>
  <si>
    <t>TextilesLandfill_2020</t>
  </si>
  <si>
    <t>TextilesLandfill_2021</t>
  </si>
  <si>
    <t>TextilesLandfill_2022</t>
  </si>
  <si>
    <t>TextilesLandfill_2023</t>
  </si>
  <si>
    <t>WEEECollected_2020</t>
  </si>
  <si>
    <t>WEEECollected_2021</t>
  </si>
  <si>
    <t>WEEECollected_2022</t>
  </si>
  <si>
    <t>WEEECollected_2023</t>
  </si>
  <si>
    <t>WEEERecycled_2020</t>
  </si>
  <si>
    <t>WEEERecycled_2021</t>
  </si>
  <si>
    <t>WEEERecycled_2022</t>
  </si>
  <si>
    <t>WEEERecycled_2023</t>
  </si>
  <si>
    <t>WEEEReuse_2020</t>
  </si>
  <si>
    <t>WEEEReuse_2021</t>
  </si>
  <si>
    <t>WEEEReuse_2022</t>
  </si>
  <si>
    <t>WEEEReuse_2023</t>
  </si>
  <si>
    <t>WEEERDF_MHT_2020</t>
  </si>
  <si>
    <t>WEEERDF_MHT_2021</t>
  </si>
  <si>
    <t>WEEERDF_MHT_2022</t>
  </si>
  <si>
    <t>WEEERDF_MHT_2023</t>
  </si>
  <si>
    <t>WEEEEfW_2020</t>
  </si>
  <si>
    <t>WEEEEfW_2021</t>
  </si>
  <si>
    <t>WEEEEfW_2022</t>
  </si>
  <si>
    <t>WEEEEfW_2023</t>
  </si>
  <si>
    <t>WEEEIncNoEnergy_2020</t>
  </si>
  <si>
    <t>WEEEIncNoEnergy_2021</t>
  </si>
  <si>
    <t>WEEEIncNoEnergy_2022</t>
  </si>
  <si>
    <t>WEEEIncNoEnergy_2023</t>
  </si>
  <si>
    <t>WEEELandfill_2020</t>
  </si>
  <si>
    <t>WEEELandfill_2021</t>
  </si>
  <si>
    <t>WEEELandfill_2022</t>
  </si>
  <si>
    <t>WEEELandfill_2023</t>
  </si>
  <si>
    <t>WoodCollected_2020</t>
  </si>
  <si>
    <t>WoodCollected_2021</t>
  </si>
  <si>
    <t>WoodCollected_2022</t>
  </si>
  <si>
    <t>WoodCollected_2023</t>
  </si>
  <si>
    <t>WoodRecycled_2020</t>
  </si>
  <si>
    <t>WoodRecycled_2021</t>
  </si>
  <si>
    <t>WoodRecycled_2022</t>
  </si>
  <si>
    <t>WoodRecycled_2023</t>
  </si>
  <si>
    <t>WoodReuse_2020</t>
  </si>
  <si>
    <t>WoodReuse_2021</t>
  </si>
  <si>
    <t>WoodReuse_2022</t>
  </si>
  <si>
    <t>WoodReuse_2023</t>
  </si>
  <si>
    <t>WoodRDF_MHT_2020</t>
  </si>
  <si>
    <t>WoodRDF_MHT_2021</t>
  </si>
  <si>
    <t>WoodRDF_MHT_2022</t>
  </si>
  <si>
    <t>WoodRDF_MHT_2023</t>
  </si>
  <si>
    <t>WoodEfW_2020</t>
  </si>
  <si>
    <t>WoodEfW_2021</t>
  </si>
  <si>
    <t>WoodEfW_2022</t>
  </si>
  <si>
    <t>WoodEfW_2023</t>
  </si>
  <si>
    <t>WoodIncNoEnergy_2020</t>
  </si>
  <si>
    <t>WoodIncNoEnergy_2021</t>
  </si>
  <si>
    <t>WoodIncNoEnergy_2022</t>
  </si>
  <si>
    <t>WoodIncNoEnergy_2023</t>
  </si>
  <si>
    <t>WoodLandfill_2020</t>
  </si>
  <si>
    <t>WoodLandfill_2021</t>
  </si>
  <si>
    <t>WoodLandfill_2022</t>
  </si>
  <si>
    <t>WoodLandfill_2023</t>
  </si>
  <si>
    <t>WoodCompostedIV_2020</t>
  </si>
  <si>
    <t>WoodCompostedIV_2021</t>
  </si>
  <si>
    <t>WoodCompostedIV_2022</t>
  </si>
  <si>
    <t>WoodCompostedIV_2023</t>
  </si>
  <si>
    <t>WoodCompostedW_2020</t>
  </si>
  <si>
    <t>WoodCompostedW_2021</t>
  </si>
  <si>
    <t>WoodCompostedW_2022</t>
  </si>
  <si>
    <t>WoodCompostedW_2023</t>
  </si>
  <si>
    <t>FoodEfW_2020</t>
  </si>
  <si>
    <t>FoodEfW_2021</t>
  </si>
  <si>
    <t>FoodEfW_2022</t>
  </si>
  <si>
    <t>FoodEfW_2023</t>
  </si>
  <si>
    <t>FoodLandfill_2020</t>
  </si>
  <si>
    <t>FoodLandfill_2021</t>
  </si>
  <si>
    <t>FoodLandfill_2022</t>
  </si>
  <si>
    <t>FoodLandfill_2023</t>
  </si>
  <si>
    <t>GardenEfW_2020</t>
  </si>
  <si>
    <t>GardenLandfill_2020</t>
  </si>
  <si>
    <t>GardenEfW_2021</t>
  </si>
  <si>
    <t>GardenLandfill_2021</t>
  </si>
  <si>
    <t>GardenEfW_2022</t>
  </si>
  <si>
    <t>GardenLandfill_2022</t>
  </si>
  <si>
    <t>GardenEfW_2023</t>
  </si>
  <si>
    <t>GardenLandfill_2023</t>
  </si>
  <si>
    <t>GardenIncNoEnergy_2020</t>
  </si>
  <si>
    <t>GardenIncNoEnergy_2021</t>
  </si>
  <si>
    <t>GardenIncNoEnergy_2022</t>
  </si>
  <si>
    <t>GardenIncNoEnergy_2023</t>
  </si>
  <si>
    <t>OtherRecyclablesCollected_2020</t>
  </si>
  <si>
    <t>OtherRecyclablesCollected_2021</t>
  </si>
  <si>
    <t>OtherRecyclablesCollected_2022</t>
  </si>
  <si>
    <t>OtherRecyclablesCollected_2023</t>
  </si>
  <si>
    <t>OtherRecyclablesRecycled_2020</t>
  </si>
  <si>
    <t>OtherRecyclablesRecycled_2021</t>
  </si>
  <si>
    <t>OtherRecyclablesRecycled_2022</t>
  </si>
  <si>
    <t>OtherRecyclablesRecycled_2023</t>
  </si>
  <si>
    <t>OtherRecyclablesReuse_2020</t>
  </si>
  <si>
    <t>OtherRecyclablesReuse_2021</t>
  </si>
  <si>
    <t>OtherRecyclablesReuse_2022</t>
  </si>
  <si>
    <t>OtherRecyclablesReuse_2023</t>
  </si>
  <si>
    <t>OtherRecyclablesRDF_MHT_2020</t>
  </si>
  <si>
    <t>OtherRecyclablesRDF_MHT_2021</t>
  </si>
  <si>
    <t>OtherRecyclablesRDF_MHT_2022</t>
  </si>
  <si>
    <t>OtherRecyclablesRDF_MHT_2023</t>
  </si>
  <si>
    <t>OtherRecyclablesEfW_2020</t>
  </si>
  <si>
    <t>OtherRecyclablesEfW_2021</t>
  </si>
  <si>
    <t>OtherRecyclablesEfW_2022</t>
  </si>
  <si>
    <t>OtherRecyclablesEfW_2023</t>
  </si>
  <si>
    <t>OtherRecyclablesIncNoEnergy_2022</t>
  </si>
  <si>
    <t>OtherRecyclablesIncNoEnergy_2023</t>
  </si>
  <si>
    <t>OtherRecyclablesIncNoEnergy_2020</t>
  </si>
  <si>
    <t>OtherRecyclablesIncNoEnergy_2021</t>
  </si>
  <si>
    <t>OtherRecyclablesLandfill_2020</t>
  </si>
  <si>
    <t>OtherRecyclablesLandfill_2021</t>
  </si>
  <si>
    <t>OtherRecyclablesLandfill_2022</t>
  </si>
  <si>
    <t>OtherRecyclablesLandfill_2023</t>
  </si>
  <si>
    <t xml:space="preserve">Avodiable Fractions in Residual   Avodiable Fractions in Residual   Avodiable Fractions in Residual   Avodiable Fractions in ReAvodiable Fractions in Residual sidual Avodiable Fractions in Residual  Avodiable Fractions in Residual Avodiable Fractions in Residual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</si>
</sst>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sz val="8"/>
      <name val="Aptos Narrow"/>
      <family val="2"/>
      <scheme val="minor"/>
    </font>
    <font>
      <i/>
      <sz val="4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xf numFmtId="0" fontId="1" fillId="2" borderId="0" xfId="0" applyFont="1" applyFill="1"/>
    <xf numFmtId="0" fontId="0" fillId="2" borderId="0" xfId="0" applyFill="1" applyAlignment="1">
      <alignment horizontal="center"/>
    </xf>
    <xf numFmtId="0" fontId="0" fillId="2" borderId="0" xfId="0" applyFill="1"/>
    <xf numFmtId="0" fontId="1" fillId="3" borderId="0" xfId="0" applyFont="1" applyFill="1"/>
    <xf numFmtId="0" fontId="0" fillId="3" borderId="0" xfId="0" applyFill="1" applyAlignment="1">
      <alignment horizontal="center"/>
    </xf>
    <xf numFmtId="0" fontId="0" fillId="3" borderId="0" xfId="0" applyFill="1"/>
    <xf numFmtId="0" fontId="3" fillId="0" borderId="0" xfId="0" applyFont="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2623\Downloads\TotalCollected_JanDec_2020_2023_byAuthority_REBUILT.xlsx" TargetMode="External"/><Relationship Id="rId1" Type="http://schemas.openxmlformats.org/officeDocument/2006/relationships/externalLinkPath" Target="file:///C:\Users\sa2623\Downloads\TotalCollected_JanDec_2020_2023_byAuthority_REBUI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Collected"/>
    </sheetNames>
    <sheetDataSet>
      <sheetData sheetId="0">
        <row r="12">
          <cell r="B12">
            <v>9988.73</v>
          </cell>
          <cell r="C12">
            <v>14196.35</v>
          </cell>
          <cell r="D12">
            <v>11954.42</v>
          </cell>
          <cell r="E12">
            <v>3026.12</v>
          </cell>
        </row>
        <row r="79">
          <cell r="B79">
            <v>38309.899999999987</v>
          </cell>
          <cell r="C79">
            <v>9230.83</v>
          </cell>
          <cell r="D79">
            <v>0</v>
          </cell>
        </row>
        <row r="102">
          <cell r="B102">
            <v>13030.1</v>
          </cell>
          <cell r="C102">
            <v>12762.99</v>
          </cell>
          <cell r="D102">
            <v>12081.138000000001</v>
          </cell>
          <cell r="E102">
            <v>2288.29</v>
          </cell>
        </row>
        <row r="208">
          <cell r="B208">
            <v>63877.785000000003</v>
          </cell>
          <cell r="C208">
            <v>14998.13</v>
          </cell>
        </row>
        <row r="263">
          <cell r="B263">
            <v>21882.16</v>
          </cell>
          <cell r="C263">
            <v>21280.22</v>
          </cell>
          <cell r="D263">
            <v>20723.939999999999</v>
          </cell>
          <cell r="E263">
            <v>3413.24</v>
          </cell>
        </row>
        <row r="265">
          <cell r="B265">
            <v>40574.991999999998</v>
          </cell>
          <cell r="C265">
            <v>8983</v>
          </cell>
          <cell r="D265">
            <v>0</v>
          </cell>
        </row>
        <row r="347">
          <cell r="B347">
            <v>14738.85</v>
          </cell>
        </row>
      </sheetData>
    </sheetDataSet>
  </externalBook>
</externalLink>
</file>

<file path=xl/persons/person.xml><?xml version="1.0" encoding="utf-8"?>
<personList xmlns="http://schemas.microsoft.com/office/spreadsheetml/2018/threadedcomments" xmlns:x="http://schemas.openxmlformats.org/spreadsheetml/2006/main">
  <person displayName="AlKhoori, Saeed" id="{D3913316-7940-4E74-BDE4-ACC19EB6A8F1}" userId="S::sa2623@ic.ac.uk::11958d46-0a57-47ff-9320-4dd9477ee72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1" dT="2026-02-03T22:09:54.61" personId="{D3913316-7940-4E74-BDE4-ACC19EB6A8F1}" id="{172589CC-C336-409F-811E-0DFC357E38DC}">
    <text>In-vessel composting</text>
  </threadedComment>
  <threadedComment ref="W1" dT="2026-02-03T23:57:28.63" personId="{D3913316-7940-4E74-BDE4-ACC19EB6A8F1}" id="{070A93FC-D77A-4601-9774-632168C8ADFF}">
    <text>Windrow composting</text>
  </threadedComment>
  <threadedComment ref="Y1" dT="2026-02-03T22:09:54.61" personId="{D3913316-7940-4E74-BDE4-ACC19EB6A8F1}" id="{8412270A-09B9-4EC6-ABA1-70BEDECB55F8}">
    <text>In-vessel composting</text>
  </threadedComment>
  <threadedComment ref="Z1" dT="2026-02-03T23:57:28.63" personId="{D3913316-7940-4E74-BDE4-ACC19EB6A8F1}" id="{2EBD155E-15D4-466E-B94E-C53A84183A01}">
    <text>Windrow composting</text>
  </threadedComment>
  <threadedComment ref="AT1" dT="2026-02-03T22:09:54.61" personId="{D3913316-7940-4E74-BDE4-ACC19EB6A8F1}" id="{89B48762-3C0A-421B-921D-02E2BD1B34B1}">
    <text>In-vessel composting</text>
  </threadedComment>
  <threadedComment ref="AU1" dT="2026-02-03T23:57:28.63" personId="{D3913316-7940-4E74-BDE4-ACC19EB6A8F1}" id="{50FEB53C-84FC-4F79-91C4-04CC6D9DF07B}">
    <text>Windrow composting</text>
  </threadedComment>
  <threadedComment ref="AX1" dT="2026-02-03T22:09:54.61" personId="{D3913316-7940-4E74-BDE4-ACC19EB6A8F1}" id="{019B37CD-1DC3-4146-8390-A795D19AF5BC}">
    <text>In-vessel composting</text>
  </threadedComment>
  <threadedComment ref="AY1" dT="2026-02-03T23:57:28.63" personId="{D3913316-7940-4E74-BDE4-ACC19EB6A8F1}" id="{52C47B07-EFCE-4055-B3EB-9EDF16B94D8A}">
    <text>Windrow composting</text>
  </threadedComment>
  <threadedComment ref="JR1" dT="2026-02-16T18:30:39.21" personId="{D3913316-7940-4E74-BDE4-ACC19EB6A8F1}" id="{3DD8FD25-8F16-47C3-80D3-5BA61E449EC7}">
    <text>27%</text>
  </threadedComment>
  <threadedComment ref="JV1" dT="2026-02-16T18:30:47.10" personId="{D3913316-7940-4E74-BDE4-ACC19EB6A8F1}" id="{86C664DE-0CDC-4A5A-B5AC-2E00A174BC67}">
    <text>5%</text>
  </threadedComment>
  <threadedComment ref="AS31" dT="2026-02-10T11:44:02.09" personId="{D3913316-7940-4E74-BDE4-ACC19EB6A8F1}" id="{D6DE59E7-C080-49CF-A289-634C7477A8EC}">
    <text xml:space="preserve">For the 2023 WasteDataFlow reporting cycle, Bristol City Council did not complete its waste returns, so its 2023 figures are absent from the official dataset. Value is estimated, based on 2020–22 mean </text>
  </threadedComment>
  <threadedComment ref="A37" dT="2026-02-24T20:45:51.56" personId="{D3913316-7940-4E74-BDE4-ACC19EB6A8F1}" id="{C0C43156-EF25-4BC0-83EA-CAFA11373CF4}">
    <text>Previous councils added to Buckinghamshire: Wycombe District council + South Bucks District Council + Ayelsbury Vale District Council</text>
  </threadedComment>
  <threadedComment ref="A64" dT="2026-02-08T22:25:15.32" personId="{D3913316-7940-4E74-BDE4-ACC19EB6A8F1}" id="{A82073D0-155D-4B12-916D-E4401B9F9BD6}">
    <text>Previously: Allerdale borough +Copeland borough + Carlise City + Cumbria</text>
  </threadedComment>
  <threadedComment ref="A154" dT="2026-02-09T22:11:03.48" personId="{D3913316-7940-4E74-BDE4-ACC19EB6A8F1}" id="{32D3E48B-3D63-460A-A4CD-626B0E3C7329}">
    <text>And barbegh</text>
  </threadedComment>
  <threadedComment ref="A171" dT="2026-02-11T19:33:51.35" personId="{D3913316-7940-4E74-BDE4-ACC19EB6A8F1}" id="{8927EEEE-DDEC-4BAE-9B5E-DB9EE07382EC}">
    <text>Previously: Corby borough, east northamptonshire, kettering borough, Wellingborough</text>
  </threadedComment>
  <threadedComment ref="A176" dT="2026-02-08T23:25:10.41" personId="{D3913316-7940-4E74-BDE4-ACC19EB6A8F1}" id="{09BFF8AD-7DF8-4944-9A3F-DE20708993F0}">
    <text>Previously: Craven District, Hambleton District, Harrogate, Richmondshire District, Ryedale district, Scarborough borough, Selby district, and North Yorkshire</text>
  </threadedComment>
  <threadedComment ref="A278" dT="2026-02-11T19:29:53.80" personId="{D3913316-7940-4E74-BDE4-ACC19EB6A8F1}" id="{004EDCB0-CD36-4EE7-8D3B-72893A169D8E}">
    <text>Previously: Daventry council, Northampton borough, south northhamptonshire</text>
  </threadedComment>
  <threadedComment ref="A282" dT="2026-02-09T14:48:51.14" personId="{D3913316-7940-4E74-BDE4-ACC19EB6A8F1}" id="{9DFB03B0-4CF7-4221-A096-400B6B8A6F92}">
    <text>Previously: Barrow borough, Eden District, South Lakeland District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CB3DE-3F2F-4587-8AEF-B6D950480D8A}">
  <dimension ref="A1:JY300"/>
  <sheetViews>
    <sheetView tabSelected="1" zoomScale="56" zoomScaleNormal="56" workbookViewId="0">
      <pane xSplit="1" topLeftCell="AL1" activePane="topRight" state="frozen"/>
      <selection pane="topRight" activeCell="CT190" sqref="A1:XFD1048576"/>
    </sheetView>
  </sheetViews>
  <sheetFormatPr defaultRowHeight="14.5" x14ac:dyDescent="0.35"/>
  <cols>
    <col min="1" max="1" width="34.81640625" bestFit="1" customWidth="1"/>
    <col min="2" max="5" width="20.90625" style="1" customWidth="1"/>
    <col min="6" max="9" width="23.36328125" style="1" customWidth="1"/>
    <col min="10" max="13" width="22.7265625" style="1" customWidth="1"/>
    <col min="14" max="17" width="19.453125" style="1" customWidth="1"/>
    <col min="18" max="21" width="23" style="1" customWidth="1"/>
    <col min="22" max="23" width="26.1796875" style="1" customWidth="1"/>
    <col min="24" max="24" width="17.26953125" style="1" customWidth="1"/>
    <col min="25" max="26" width="26.1796875" style="1" customWidth="1"/>
    <col min="27" max="27" width="17.26953125" style="1" customWidth="1"/>
    <col min="28" max="29" width="26.1796875" style="1" customWidth="1"/>
    <col min="30" max="30" width="17.26953125" style="1" customWidth="1"/>
    <col min="31" max="32" width="26.1796875" style="1" customWidth="1"/>
    <col min="33" max="33" width="17.26953125" style="1" customWidth="1"/>
    <col min="34" max="37" width="24.81640625" style="1" customWidth="1"/>
    <col min="38" max="38" width="27.6328125" style="1" customWidth="1"/>
    <col min="39" max="41" width="25.1796875" customWidth="1"/>
    <col min="42" max="44" width="24.08984375" style="1" customWidth="1"/>
    <col min="45" max="45" width="24.90625" style="1" customWidth="1"/>
    <col min="46" max="47" width="28.1796875" style="1" customWidth="1"/>
    <col min="48" max="48" width="24.453125" style="1" customWidth="1"/>
    <col min="49" max="49" width="19.26953125" style="1" customWidth="1"/>
    <col min="50" max="51" width="28.1796875" style="1" customWidth="1"/>
    <col min="52" max="52" width="24.453125" style="1" customWidth="1"/>
    <col min="53" max="53" width="19.26953125" style="1" customWidth="1"/>
    <col min="54" max="55" width="28.1796875" style="1" customWidth="1"/>
    <col min="56" max="56" width="24.453125" style="1" customWidth="1"/>
    <col min="57" max="57" width="27.26953125" style="1" customWidth="1"/>
    <col min="58" max="58" width="27.36328125" style="1" customWidth="1"/>
    <col min="59" max="59" width="23.6328125" style="1" customWidth="1"/>
    <col min="60" max="60" width="19.26953125" style="1" customWidth="1"/>
    <col min="61" max="61" width="26.81640625" style="1" customWidth="1"/>
    <col min="62" max="62" width="26.7265625" style="1" customWidth="1"/>
    <col min="63" max="63" width="29.54296875" style="1" customWidth="1"/>
    <col min="64" max="64" width="26.81640625" style="1" customWidth="1"/>
    <col min="65" max="65" width="26.7265625" style="1" customWidth="1"/>
    <col min="66" max="66" width="29.54296875" style="1" customWidth="1"/>
    <col min="67" max="67" width="26.81640625" customWidth="1"/>
    <col min="68" max="68" width="26.7265625" customWidth="1"/>
    <col min="69" max="69" width="29.54296875" customWidth="1"/>
    <col min="70" max="70" width="26" customWidth="1"/>
    <col min="71" max="71" width="28.08984375" customWidth="1"/>
    <col min="72" max="72" width="30.90625" customWidth="1"/>
    <col min="73" max="76" width="22.7265625" customWidth="1"/>
    <col min="77" max="80" width="28.6328125" customWidth="1"/>
    <col min="81" max="84" width="19.6328125" customWidth="1"/>
    <col min="85" max="88" width="22.7265625" customWidth="1"/>
    <col min="89" max="89" width="28.6328125" customWidth="1"/>
    <col min="90" max="92" width="17.7265625" customWidth="1"/>
    <col min="93" max="96" width="20.54296875" customWidth="1"/>
    <col min="97" max="100" width="22.7265625" bestFit="1" customWidth="1"/>
    <col min="101" max="104" width="28.6328125" customWidth="1"/>
    <col min="105" max="107" width="19.6328125" bestFit="1" customWidth="1"/>
    <col min="108" max="108" width="17.54296875" bestFit="1" customWidth="1"/>
    <col min="109" max="112" width="15.453125" bestFit="1" customWidth="1"/>
    <col min="113" max="268" width="28.6328125" customWidth="1"/>
    <col min="269" max="272" width="30.7265625" bestFit="1" customWidth="1"/>
    <col min="273" max="277" width="28.6328125" customWidth="1"/>
    <col min="278" max="278" width="13.453125" style="1" customWidth="1"/>
    <col min="279" max="281" width="13.453125" style="1" bestFit="1" customWidth="1"/>
    <col min="282" max="285" width="21.7265625" bestFit="1" customWidth="1"/>
  </cols>
  <sheetData>
    <row r="1" spans="1:285" x14ac:dyDescent="0.35">
      <c r="A1" t="s">
        <v>0</v>
      </c>
      <c r="B1" s="1" t="s">
        <v>1</v>
      </c>
      <c r="C1" s="1" t="s">
        <v>2</v>
      </c>
      <c r="D1" s="1" t="s">
        <v>3</v>
      </c>
      <c r="E1" s="1" t="s">
        <v>4</v>
      </c>
      <c r="F1" s="1" t="s">
        <v>343</v>
      </c>
      <c r="G1" s="1" t="s">
        <v>344</v>
      </c>
      <c r="H1" s="1" t="s">
        <v>345</v>
      </c>
      <c r="I1" s="1" t="s">
        <v>346</v>
      </c>
      <c r="J1" s="1" t="s">
        <v>339</v>
      </c>
      <c r="K1" s="1" t="s">
        <v>340</v>
      </c>
      <c r="L1" s="1" t="s">
        <v>341</v>
      </c>
      <c r="M1" s="1" t="s">
        <v>342</v>
      </c>
      <c r="N1" s="1" t="s">
        <v>335</v>
      </c>
      <c r="O1" s="1" t="s">
        <v>336</v>
      </c>
      <c r="P1" s="1" t="s">
        <v>337</v>
      </c>
      <c r="Q1" s="1" t="s">
        <v>338</v>
      </c>
      <c r="R1" s="1" t="s">
        <v>5</v>
      </c>
      <c r="S1" s="1" t="s">
        <v>6</v>
      </c>
      <c r="T1" s="1" t="s">
        <v>7</v>
      </c>
      <c r="U1" s="1" t="s">
        <v>8</v>
      </c>
      <c r="V1" s="1" t="s">
        <v>305</v>
      </c>
      <c r="W1" s="1" t="s">
        <v>309</v>
      </c>
      <c r="X1" s="1" t="s">
        <v>304</v>
      </c>
      <c r="Y1" s="1" t="s">
        <v>307</v>
      </c>
      <c r="Z1" s="1" t="s">
        <v>306</v>
      </c>
      <c r="AA1" s="1" t="s">
        <v>308</v>
      </c>
      <c r="AB1" s="1" t="s">
        <v>310</v>
      </c>
      <c r="AC1" s="1" t="s">
        <v>311</v>
      </c>
      <c r="AD1" s="1" t="s">
        <v>312</v>
      </c>
      <c r="AE1" s="1" t="s">
        <v>315</v>
      </c>
      <c r="AF1" s="1" t="s">
        <v>313</v>
      </c>
      <c r="AG1" s="1" t="s">
        <v>314</v>
      </c>
      <c r="AH1" s="1" t="s">
        <v>531</v>
      </c>
      <c r="AI1" s="1" t="s">
        <v>532</v>
      </c>
      <c r="AJ1" s="1" t="s">
        <v>533</v>
      </c>
      <c r="AK1" s="1" t="s">
        <v>534</v>
      </c>
      <c r="AL1" s="1" t="s">
        <v>535</v>
      </c>
      <c r="AM1" s="1" t="s">
        <v>536</v>
      </c>
      <c r="AN1" s="1" t="s">
        <v>537</v>
      </c>
      <c r="AO1" s="1" t="s">
        <v>538</v>
      </c>
      <c r="AP1" s="1" t="s">
        <v>316</v>
      </c>
      <c r="AQ1" s="1" t="s">
        <v>317</v>
      </c>
      <c r="AR1" s="1" t="s">
        <v>318</v>
      </c>
      <c r="AS1" s="1" t="s">
        <v>319</v>
      </c>
      <c r="AT1" s="1" t="s">
        <v>320</v>
      </c>
      <c r="AU1" s="1" t="s">
        <v>321</v>
      </c>
      <c r="AV1" s="1" t="s">
        <v>332</v>
      </c>
      <c r="AW1" s="1" t="s">
        <v>322</v>
      </c>
      <c r="AX1" s="1" t="s">
        <v>323</v>
      </c>
      <c r="AY1" s="1" t="s">
        <v>324</v>
      </c>
      <c r="AZ1" s="1" t="s">
        <v>331</v>
      </c>
      <c r="BA1" s="1" t="s">
        <v>325</v>
      </c>
      <c r="BB1" s="1" t="s">
        <v>326</v>
      </c>
      <c r="BC1" s="1" t="s">
        <v>327</v>
      </c>
      <c r="BD1" s="1" t="s">
        <v>333</v>
      </c>
      <c r="BE1" s="1" t="s">
        <v>328</v>
      </c>
      <c r="BF1" s="1" t="s">
        <v>329</v>
      </c>
      <c r="BG1" s="1" t="s">
        <v>334</v>
      </c>
      <c r="BH1" s="1" t="s">
        <v>330</v>
      </c>
      <c r="BI1" s="1" t="s">
        <v>539</v>
      </c>
      <c r="BJ1" s="1" t="s">
        <v>547</v>
      </c>
      <c r="BK1" s="1" t="s">
        <v>540</v>
      </c>
      <c r="BL1" s="1" t="s">
        <v>541</v>
      </c>
      <c r="BM1" s="1" t="s">
        <v>548</v>
      </c>
      <c r="BN1" s="1" t="s">
        <v>542</v>
      </c>
      <c r="BO1" s="1" t="s">
        <v>543</v>
      </c>
      <c r="BP1" s="1" t="s">
        <v>549</v>
      </c>
      <c r="BQ1" s="1" t="s">
        <v>544</v>
      </c>
      <c r="BR1" s="1" t="s">
        <v>545</v>
      </c>
      <c r="BS1" s="1" t="s">
        <v>550</v>
      </c>
      <c r="BT1" s="1" t="s">
        <v>546</v>
      </c>
      <c r="BU1" s="1" t="s">
        <v>355</v>
      </c>
      <c r="BV1" s="1" t="s">
        <v>356</v>
      </c>
      <c r="BW1" s="1" t="s">
        <v>357</v>
      </c>
      <c r="BX1" s="1" t="s">
        <v>358</v>
      </c>
      <c r="BY1" s="1" t="s">
        <v>359</v>
      </c>
      <c r="BZ1" s="1" t="s">
        <v>360</v>
      </c>
      <c r="CA1" s="1" t="s">
        <v>361</v>
      </c>
      <c r="CB1" s="1" t="s">
        <v>362</v>
      </c>
      <c r="CC1" s="1" t="s">
        <v>367</v>
      </c>
      <c r="CD1" s="1" t="s">
        <v>368</v>
      </c>
      <c r="CE1" s="1" t="s">
        <v>369</v>
      </c>
      <c r="CF1" s="1" t="s">
        <v>370</v>
      </c>
      <c r="CG1" s="1" t="s">
        <v>375</v>
      </c>
      <c r="CH1" s="1" t="s">
        <v>378</v>
      </c>
      <c r="CI1" s="1" t="s">
        <v>376</v>
      </c>
      <c r="CJ1" s="1" t="s">
        <v>377</v>
      </c>
      <c r="CK1" s="1" t="s">
        <v>363</v>
      </c>
      <c r="CL1" s="1" t="s">
        <v>364</v>
      </c>
      <c r="CM1" s="1" t="s">
        <v>365</v>
      </c>
      <c r="CN1" s="1" t="s">
        <v>366</v>
      </c>
      <c r="CO1" s="1" t="s">
        <v>371</v>
      </c>
      <c r="CP1" s="1" t="s">
        <v>372</v>
      </c>
      <c r="CQ1" s="1" t="s">
        <v>373</v>
      </c>
      <c r="CR1" s="1" t="s">
        <v>374</v>
      </c>
      <c r="CS1" s="1" t="s">
        <v>379</v>
      </c>
      <c r="CT1" s="1" t="s">
        <v>380</v>
      </c>
      <c r="CU1" s="1" t="s">
        <v>381</v>
      </c>
      <c r="CV1" s="1" t="s">
        <v>382</v>
      </c>
      <c r="CW1" s="1" t="s">
        <v>383</v>
      </c>
      <c r="CX1" s="1" t="s">
        <v>384</v>
      </c>
      <c r="CY1" s="1" t="s">
        <v>385</v>
      </c>
      <c r="CZ1" s="1" t="s">
        <v>386</v>
      </c>
      <c r="DA1" s="1" t="s">
        <v>387</v>
      </c>
      <c r="DB1" s="1" t="s">
        <v>388</v>
      </c>
      <c r="DC1" s="1" t="s">
        <v>389</v>
      </c>
      <c r="DD1" s="1" t="s">
        <v>390</v>
      </c>
      <c r="DE1" s="1" t="s">
        <v>391</v>
      </c>
      <c r="DF1" s="1" t="s">
        <v>392</v>
      </c>
      <c r="DG1" s="1" t="s">
        <v>393</v>
      </c>
      <c r="DH1" s="1" t="s">
        <v>394</v>
      </c>
      <c r="DI1" s="1" t="s">
        <v>395</v>
      </c>
      <c r="DJ1" s="1" t="s">
        <v>396</v>
      </c>
      <c r="DK1" s="1" t="s">
        <v>397</v>
      </c>
      <c r="DL1" s="1" t="s">
        <v>398</v>
      </c>
      <c r="DM1" s="1" t="s">
        <v>399</v>
      </c>
      <c r="DN1" s="1" t="s">
        <v>400</v>
      </c>
      <c r="DO1" s="1" t="s">
        <v>401</v>
      </c>
      <c r="DP1" s="1" t="s">
        <v>402</v>
      </c>
      <c r="DQ1" s="1" t="s">
        <v>403</v>
      </c>
      <c r="DR1" s="1" t="s">
        <v>404</v>
      </c>
      <c r="DS1" s="1" t="s">
        <v>405</v>
      </c>
      <c r="DT1" s="1" t="s">
        <v>406</v>
      </c>
      <c r="DU1" s="1" t="s">
        <v>407</v>
      </c>
      <c r="DV1" s="1" t="s">
        <v>408</v>
      </c>
      <c r="DW1" s="1" t="s">
        <v>409</v>
      </c>
      <c r="DX1" s="1" t="s">
        <v>410</v>
      </c>
      <c r="DY1" s="1" t="s">
        <v>420</v>
      </c>
      <c r="DZ1" s="1" t="s">
        <v>421</v>
      </c>
      <c r="EA1" s="1" t="s">
        <v>422</v>
      </c>
      <c r="EB1" s="1" t="s">
        <v>419</v>
      </c>
      <c r="EC1" s="1" t="s">
        <v>411</v>
      </c>
      <c r="ED1" s="1" t="s">
        <v>412</v>
      </c>
      <c r="EE1" s="1" t="s">
        <v>413</v>
      </c>
      <c r="EF1" s="1" t="s">
        <v>414</v>
      </c>
      <c r="EG1" s="1" t="s">
        <v>415</v>
      </c>
      <c r="EH1" s="1" t="s">
        <v>416</v>
      </c>
      <c r="EI1" s="1" t="s">
        <v>417</v>
      </c>
      <c r="EJ1" s="1" t="s">
        <v>418</v>
      </c>
      <c r="EK1" s="1" t="s">
        <v>423</v>
      </c>
      <c r="EL1" s="1" t="s">
        <v>424</v>
      </c>
      <c r="EM1" s="1" t="s">
        <v>425</v>
      </c>
      <c r="EN1" s="1" t="s">
        <v>426</v>
      </c>
      <c r="EO1" s="1" t="s">
        <v>427</v>
      </c>
      <c r="EP1" s="1" t="s">
        <v>428</v>
      </c>
      <c r="EQ1" s="1" t="s">
        <v>429</v>
      </c>
      <c r="ER1" s="1" t="s">
        <v>430</v>
      </c>
      <c r="ES1" s="1" t="s">
        <v>431</v>
      </c>
      <c r="ET1" s="1" t="s">
        <v>432</v>
      </c>
      <c r="EU1" s="1" t="s">
        <v>433</v>
      </c>
      <c r="EV1" s="1" t="s">
        <v>434</v>
      </c>
      <c r="EW1" s="1" t="s">
        <v>435</v>
      </c>
      <c r="EX1" s="1" t="s">
        <v>436</v>
      </c>
      <c r="EY1" s="1" t="s">
        <v>437</v>
      </c>
      <c r="EZ1" s="1" t="s">
        <v>438</v>
      </c>
      <c r="FA1" s="1" t="s">
        <v>439</v>
      </c>
      <c r="FB1" s="1" t="s">
        <v>440</v>
      </c>
      <c r="FC1" s="1" t="s">
        <v>441</v>
      </c>
      <c r="FD1" s="1" t="s">
        <v>442</v>
      </c>
      <c r="FE1" s="1" t="s">
        <v>443</v>
      </c>
      <c r="FF1" s="1" t="s">
        <v>444</v>
      </c>
      <c r="FG1" s="1" t="s">
        <v>445</v>
      </c>
      <c r="FH1" s="1" t="s">
        <v>446</v>
      </c>
      <c r="FI1" s="1" t="s">
        <v>447</v>
      </c>
      <c r="FJ1" s="1" t="s">
        <v>448</v>
      </c>
      <c r="FK1" s="1" t="s">
        <v>449</v>
      </c>
      <c r="FL1" s="1" t="s">
        <v>450</v>
      </c>
      <c r="FM1" s="1" t="s">
        <v>451</v>
      </c>
      <c r="FN1" s="1" t="s">
        <v>452</v>
      </c>
      <c r="FO1" s="1" t="s">
        <v>453</v>
      </c>
      <c r="FP1" s="1" t="s">
        <v>454</v>
      </c>
      <c r="FQ1" s="1" t="s">
        <v>455</v>
      </c>
      <c r="FR1" s="1" t="s">
        <v>456</v>
      </c>
      <c r="FS1" s="1" t="s">
        <v>457</v>
      </c>
      <c r="FT1" s="1" t="s">
        <v>458</v>
      </c>
      <c r="FU1" s="1" t="s">
        <v>459</v>
      </c>
      <c r="FV1" s="1" t="s">
        <v>460</v>
      </c>
      <c r="FW1" s="1" t="s">
        <v>461</v>
      </c>
      <c r="FX1" s="1" t="s">
        <v>462</v>
      </c>
      <c r="FY1" s="1" t="s">
        <v>463</v>
      </c>
      <c r="FZ1" s="1" t="s">
        <v>464</v>
      </c>
      <c r="GA1" s="1" t="s">
        <v>465</v>
      </c>
      <c r="GB1" s="1" t="s">
        <v>466</v>
      </c>
      <c r="GC1" s="1" t="s">
        <v>467</v>
      </c>
      <c r="GD1" s="1" t="s">
        <v>468</v>
      </c>
      <c r="GE1" s="1" t="s">
        <v>469</v>
      </c>
      <c r="GF1" s="1" t="s">
        <v>470</v>
      </c>
      <c r="GG1" s="1" t="s">
        <v>471</v>
      </c>
      <c r="GH1" s="1" t="s">
        <v>472</v>
      </c>
      <c r="GI1" s="1" t="s">
        <v>473</v>
      </c>
      <c r="GJ1" s="1" t="s">
        <v>474</v>
      </c>
      <c r="GK1" s="1" t="s">
        <v>475</v>
      </c>
      <c r="GL1" s="1" t="s">
        <v>476</v>
      </c>
      <c r="GM1" s="1" t="s">
        <v>477</v>
      </c>
      <c r="GN1" s="1" t="s">
        <v>478</v>
      </c>
      <c r="GO1" s="1" t="s">
        <v>479</v>
      </c>
      <c r="GP1" s="1" t="s">
        <v>480</v>
      </c>
      <c r="GQ1" s="1" t="s">
        <v>481</v>
      </c>
      <c r="GR1" s="1" t="s">
        <v>482</v>
      </c>
      <c r="GS1" s="1" t="s">
        <v>483</v>
      </c>
      <c r="GT1" s="1" t="s">
        <v>484</v>
      </c>
      <c r="GU1" s="1" t="s">
        <v>485</v>
      </c>
      <c r="GV1" s="1" t="s">
        <v>486</v>
      </c>
      <c r="GW1" s="1" t="s">
        <v>487</v>
      </c>
      <c r="GX1" s="1" t="s">
        <v>488</v>
      </c>
      <c r="GY1" s="1" t="s">
        <v>489</v>
      </c>
      <c r="GZ1" s="1" t="s">
        <v>490</v>
      </c>
      <c r="HA1" s="1" t="s">
        <v>491</v>
      </c>
      <c r="HB1" s="1" t="s">
        <v>492</v>
      </c>
      <c r="HC1" s="1" t="s">
        <v>493</v>
      </c>
      <c r="HD1" s="1" t="s">
        <v>494</v>
      </c>
      <c r="HE1" s="1" t="s">
        <v>495</v>
      </c>
      <c r="HF1" s="1" t="s">
        <v>496</v>
      </c>
      <c r="HG1" s="1" t="s">
        <v>497</v>
      </c>
      <c r="HH1" s="1" t="s">
        <v>498</v>
      </c>
      <c r="HI1" s="1" t="s">
        <v>499</v>
      </c>
      <c r="HJ1" s="1" t="s">
        <v>500</v>
      </c>
      <c r="HK1" s="1" t="s">
        <v>501</v>
      </c>
      <c r="HL1" s="1" t="s">
        <v>502</v>
      </c>
      <c r="HM1" s="1" t="s">
        <v>503</v>
      </c>
      <c r="HN1" s="1" t="s">
        <v>504</v>
      </c>
      <c r="HO1" s="1" t="s">
        <v>505</v>
      </c>
      <c r="HP1" s="1" t="s">
        <v>506</v>
      </c>
      <c r="HQ1" s="1" t="s">
        <v>523</v>
      </c>
      <c r="HR1" s="1" t="s">
        <v>524</v>
      </c>
      <c r="HS1" s="1" t="s">
        <v>525</v>
      </c>
      <c r="HT1" s="1" t="s">
        <v>526</v>
      </c>
      <c r="HU1" s="1" t="s">
        <v>527</v>
      </c>
      <c r="HV1" s="1" t="s">
        <v>528</v>
      </c>
      <c r="HW1" s="1" t="s">
        <v>529</v>
      </c>
      <c r="HX1" s="1" t="s">
        <v>530</v>
      </c>
      <c r="HY1" s="1" t="s">
        <v>507</v>
      </c>
      <c r="HZ1" s="1" t="s">
        <v>508</v>
      </c>
      <c r="IA1" s="1" t="s">
        <v>509</v>
      </c>
      <c r="IB1" s="1" t="s">
        <v>510</v>
      </c>
      <c r="IC1" s="1" t="s">
        <v>511</v>
      </c>
      <c r="ID1" s="1" t="s">
        <v>512</v>
      </c>
      <c r="IE1" s="1" t="s">
        <v>513</v>
      </c>
      <c r="IF1" s="1" t="s">
        <v>514</v>
      </c>
      <c r="IG1" s="1" t="s">
        <v>515</v>
      </c>
      <c r="IH1" s="1" t="s">
        <v>516</v>
      </c>
      <c r="II1" s="1" t="s">
        <v>517</v>
      </c>
      <c r="IJ1" s="1" t="s">
        <v>518</v>
      </c>
      <c r="IK1" s="1" t="s">
        <v>519</v>
      </c>
      <c r="IL1" s="1" t="s">
        <v>520</v>
      </c>
      <c r="IM1" s="1" t="s">
        <v>521</v>
      </c>
      <c r="IN1" s="1" t="s">
        <v>522</v>
      </c>
      <c r="IO1" s="1" t="s">
        <v>551</v>
      </c>
      <c r="IP1" s="1" t="s">
        <v>552</v>
      </c>
      <c r="IQ1" s="1" t="s">
        <v>553</v>
      </c>
      <c r="IR1" s="1" t="s">
        <v>554</v>
      </c>
      <c r="IS1" s="1" t="s">
        <v>555</v>
      </c>
      <c r="IT1" s="1" t="s">
        <v>556</v>
      </c>
      <c r="IU1" s="1" t="s">
        <v>557</v>
      </c>
      <c r="IV1" s="1" t="s">
        <v>558</v>
      </c>
      <c r="IW1" s="1" t="s">
        <v>559</v>
      </c>
      <c r="IX1" s="1" t="s">
        <v>560</v>
      </c>
      <c r="IY1" s="1" t="s">
        <v>561</v>
      </c>
      <c r="IZ1" s="1" t="s">
        <v>562</v>
      </c>
      <c r="JA1" s="1" t="s">
        <v>563</v>
      </c>
      <c r="JB1" s="1" t="s">
        <v>564</v>
      </c>
      <c r="JC1" s="1" t="s">
        <v>565</v>
      </c>
      <c r="JD1" s="1" t="s">
        <v>566</v>
      </c>
      <c r="JE1" s="1" t="s">
        <v>567</v>
      </c>
      <c r="JF1" s="1" t="s">
        <v>568</v>
      </c>
      <c r="JG1" s="1" t="s">
        <v>569</v>
      </c>
      <c r="JH1" s="1" t="s">
        <v>570</v>
      </c>
      <c r="JI1" s="1" t="s">
        <v>573</v>
      </c>
      <c r="JJ1" s="1" t="s">
        <v>574</v>
      </c>
      <c r="JK1" s="1" t="s">
        <v>571</v>
      </c>
      <c r="JL1" s="1" t="s">
        <v>572</v>
      </c>
      <c r="JM1" s="1" t="s">
        <v>575</v>
      </c>
      <c r="JN1" s="1" t="s">
        <v>576</v>
      </c>
      <c r="JO1" s="1" t="s">
        <v>577</v>
      </c>
      <c r="JP1" s="1" t="s">
        <v>578</v>
      </c>
      <c r="JQ1" s="9" t="s">
        <v>579</v>
      </c>
      <c r="JR1" s="1" t="s">
        <v>350</v>
      </c>
      <c r="JS1" s="1" t="s">
        <v>349</v>
      </c>
      <c r="JT1" s="1" t="s">
        <v>348</v>
      </c>
      <c r="JU1" s="1" t="s">
        <v>347</v>
      </c>
      <c r="JV1" s="1" t="s">
        <v>351</v>
      </c>
      <c r="JW1" s="1" t="s">
        <v>352</v>
      </c>
      <c r="JX1" s="1" t="s">
        <v>353</v>
      </c>
      <c r="JY1" s="1" t="s">
        <v>354</v>
      </c>
    </row>
    <row r="2" spans="1:285" x14ac:dyDescent="0.35">
      <c r="A2" s="2" t="s">
        <v>9</v>
      </c>
      <c r="B2" s="1">
        <v>64550</v>
      </c>
      <c r="C2" s="1">
        <v>64632</v>
      </c>
      <c r="D2" s="1">
        <v>64760</v>
      </c>
      <c r="E2" s="1">
        <v>64688</v>
      </c>
      <c r="F2" s="1">
        <v>26473.616000000002</v>
      </c>
      <c r="G2" s="1">
        <v>22600.894</v>
      </c>
      <c r="H2" s="1">
        <v>18530.588</v>
      </c>
      <c r="I2" s="1">
        <v>18232.412</v>
      </c>
      <c r="J2" s="1">
        <f>R2+AP2+BU2+CS2+DM2+EK2+FE2+GC2+HE2+IO2</f>
        <v>19124.585999999999</v>
      </c>
      <c r="K2" s="1">
        <f>S2+AQ2+BV2+CT2+DN2+EL2+FF2+GD2+HF2+IP2</f>
        <v>15406.874</v>
      </c>
      <c r="L2" s="1">
        <f>T2+AR2+BW2+CU2+DO2+EM2+FG2+GE2+HG2+IQ2</f>
        <v>12138.438</v>
      </c>
      <c r="M2" s="1">
        <f>U2+AS2+BX2+CV2+DP2+EN2+FH2+GF2+HH2+IR2</f>
        <v>12061.322000000002</v>
      </c>
      <c r="N2" s="1">
        <f>F2-J2</f>
        <v>7349.0300000000025</v>
      </c>
      <c r="O2" s="1">
        <f>G2-K2</f>
        <v>7194.02</v>
      </c>
      <c r="P2" s="1">
        <f>H2-L2</f>
        <v>6392.15</v>
      </c>
      <c r="Q2" s="1">
        <f>I2-M2</f>
        <v>6171.0899999999983</v>
      </c>
      <c r="R2" s="1">
        <v>0</v>
      </c>
      <c r="S2" s="1">
        <v>4.12</v>
      </c>
      <c r="T2" s="1">
        <v>12.03</v>
      </c>
      <c r="U2" s="1">
        <v>16.8</v>
      </c>
      <c r="V2" s="1">
        <v>0</v>
      </c>
      <c r="W2" s="1">
        <v>0</v>
      </c>
      <c r="X2" s="1">
        <v>0</v>
      </c>
      <c r="Y2" s="1">
        <v>0</v>
      </c>
      <c r="Z2" s="1">
        <v>0</v>
      </c>
      <c r="AA2" s="1">
        <v>4.12</v>
      </c>
      <c r="AB2" s="1">
        <v>0</v>
      </c>
      <c r="AC2" s="1">
        <v>0</v>
      </c>
      <c r="AD2" s="1">
        <v>2.2200000000000002</v>
      </c>
      <c r="AE2" s="1">
        <v>0</v>
      </c>
      <c r="AF2" s="1">
        <v>0</v>
      </c>
      <c r="AG2" s="1">
        <v>15.729999999999999</v>
      </c>
      <c r="AH2" s="1">
        <v>0</v>
      </c>
      <c r="AI2" s="1">
        <v>0</v>
      </c>
      <c r="AJ2" s="1">
        <v>0</v>
      </c>
      <c r="AK2" s="1">
        <v>0</v>
      </c>
      <c r="AL2" s="1">
        <v>0</v>
      </c>
      <c r="AM2" s="1">
        <v>0</v>
      </c>
      <c r="AN2" s="1">
        <v>0</v>
      </c>
      <c r="AO2" s="1">
        <v>1.07</v>
      </c>
      <c r="AP2" s="1">
        <v>2451.3000000000002</v>
      </c>
      <c r="AQ2" s="1">
        <v>2907.5200000000004</v>
      </c>
      <c r="AR2" s="1">
        <v>2200.2000000000003</v>
      </c>
      <c r="AS2" s="1">
        <v>2680.21</v>
      </c>
      <c r="AT2" s="1">
        <v>0</v>
      </c>
      <c r="AU2" s="1">
        <v>2451.3000000000002</v>
      </c>
      <c r="AV2" s="1">
        <v>0</v>
      </c>
      <c r="AW2" s="1">
        <v>0</v>
      </c>
      <c r="AX2" s="1">
        <v>0</v>
      </c>
      <c r="AY2" s="1">
        <v>2907.5200000000004</v>
      </c>
      <c r="AZ2" s="1">
        <v>0</v>
      </c>
      <c r="BA2" s="1">
        <v>0</v>
      </c>
      <c r="BB2" s="1">
        <v>0</v>
      </c>
      <c r="BC2" s="1">
        <v>2200.2000000000003</v>
      </c>
      <c r="BD2" s="1">
        <v>0</v>
      </c>
      <c r="BE2" s="1">
        <v>0</v>
      </c>
      <c r="BF2" s="1">
        <v>2680.21</v>
      </c>
      <c r="BG2" s="1">
        <v>0</v>
      </c>
      <c r="BH2" s="1">
        <v>0</v>
      </c>
      <c r="BI2" s="1">
        <v>0</v>
      </c>
      <c r="BJ2" s="1">
        <v>0</v>
      </c>
      <c r="BK2" s="1">
        <v>0</v>
      </c>
      <c r="BL2" s="1">
        <v>0</v>
      </c>
      <c r="BM2" s="1">
        <v>0</v>
      </c>
      <c r="BN2" s="1">
        <v>0</v>
      </c>
      <c r="BO2" s="1">
        <v>0</v>
      </c>
      <c r="BP2" s="1">
        <v>0</v>
      </c>
      <c r="BQ2" s="1">
        <v>0</v>
      </c>
      <c r="BR2" s="1">
        <v>0</v>
      </c>
      <c r="BS2" s="1">
        <v>0</v>
      </c>
      <c r="BT2" s="1">
        <v>0</v>
      </c>
      <c r="BU2" s="1">
        <v>8729.23</v>
      </c>
      <c r="BV2" s="1">
        <v>6344.59</v>
      </c>
      <c r="BW2" s="1">
        <v>7320.89</v>
      </c>
      <c r="BX2" s="1">
        <v>6748.44</v>
      </c>
      <c r="BY2" s="1">
        <v>8729.23</v>
      </c>
      <c r="BZ2" s="1">
        <v>6344.59</v>
      </c>
      <c r="CA2" s="1">
        <v>7320.89</v>
      </c>
      <c r="CB2" s="1">
        <v>6748.44</v>
      </c>
      <c r="CC2" s="1">
        <v>0</v>
      </c>
      <c r="CD2" s="1">
        <v>0</v>
      </c>
      <c r="CE2" s="1">
        <v>0</v>
      </c>
      <c r="CF2" s="1">
        <v>0</v>
      </c>
      <c r="CG2" s="1">
        <v>0</v>
      </c>
      <c r="CH2" s="1">
        <v>0</v>
      </c>
      <c r="CI2" s="1">
        <v>0</v>
      </c>
      <c r="CJ2" s="1">
        <v>0</v>
      </c>
      <c r="CK2" s="1">
        <v>0</v>
      </c>
      <c r="CL2" s="1">
        <v>0</v>
      </c>
      <c r="CM2" s="1">
        <v>0</v>
      </c>
      <c r="CN2" s="1">
        <v>0</v>
      </c>
      <c r="CO2" s="1">
        <v>0</v>
      </c>
      <c r="CP2" s="1">
        <v>0</v>
      </c>
      <c r="CQ2" s="1">
        <v>0</v>
      </c>
      <c r="CR2" s="1">
        <v>0</v>
      </c>
      <c r="CS2" s="1">
        <v>3871.39</v>
      </c>
      <c r="CT2" s="1">
        <v>2915.39</v>
      </c>
      <c r="CU2" s="1">
        <v>404.67</v>
      </c>
      <c r="CV2" s="1">
        <v>433.67</v>
      </c>
      <c r="CW2" s="1">
        <v>3871.39</v>
      </c>
      <c r="CX2" s="1">
        <v>2915.25</v>
      </c>
      <c r="CY2" s="1">
        <v>403.89</v>
      </c>
      <c r="CZ2" s="1">
        <v>432.6</v>
      </c>
      <c r="DA2" s="1">
        <v>0</v>
      </c>
      <c r="DB2" s="1">
        <v>0</v>
      </c>
      <c r="DC2" s="1">
        <v>0</v>
      </c>
      <c r="DD2" s="1">
        <v>0</v>
      </c>
      <c r="DE2" s="1">
        <v>0</v>
      </c>
      <c r="DF2" s="1">
        <v>0</v>
      </c>
      <c r="DG2" s="1">
        <v>0</v>
      </c>
      <c r="DH2" s="1">
        <v>0</v>
      </c>
      <c r="DI2" s="1">
        <v>0</v>
      </c>
      <c r="DJ2" s="1">
        <v>0.14000000000000001</v>
      </c>
      <c r="DK2" s="1">
        <v>0.78</v>
      </c>
      <c r="DL2" s="1">
        <v>1.07</v>
      </c>
      <c r="DM2" s="1">
        <v>2008.08</v>
      </c>
      <c r="DN2" s="1">
        <v>1920.51</v>
      </c>
      <c r="DO2" s="1">
        <v>1580.9</v>
      </c>
      <c r="DP2" s="1">
        <v>1425.21</v>
      </c>
      <c r="DQ2" s="1">
        <v>2008.08</v>
      </c>
      <c r="DR2" s="1">
        <v>1920.51</v>
      </c>
      <c r="DS2" s="1">
        <v>1580.9</v>
      </c>
      <c r="DT2" s="1">
        <v>1425.21</v>
      </c>
      <c r="DU2" s="1">
        <v>0</v>
      </c>
      <c r="DV2" s="1">
        <v>0</v>
      </c>
      <c r="DW2" s="1">
        <v>0</v>
      </c>
      <c r="DX2" s="1">
        <v>0</v>
      </c>
      <c r="DY2" s="1">
        <v>0</v>
      </c>
      <c r="DZ2" s="1">
        <v>0</v>
      </c>
      <c r="EA2" s="1">
        <v>0</v>
      </c>
      <c r="EB2" s="1">
        <v>0</v>
      </c>
      <c r="EC2" s="1">
        <v>0</v>
      </c>
      <c r="ED2" s="1">
        <v>0</v>
      </c>
      <c r="EE2" s="1">
        <v>0</v>
      </c>
      <c r="EF2" s="1">
        <v>0</v>
      </c>
      <c r="EG2" s="1">
        <v>0</v>
      </c>
      <c r="EH2" s="1">
        <v>0</v>
      </c>
      <c r="EI2" s="1">
        <v>0</v>
      </c>
      <c r="EJ2" s="1">
        <v>0</v>
      </c>
      <c r="EK2" s="1">
        <v>1739.68</v>
      </c>
      <c r="EL2" s="1">
        <v>1083.77</v>
      </c>
      <c r="EM2" s="1">
        <v>303.91000000000003</v>
      </c>
      <c r="EN2" s="1">
        <v>414.50599999999997</v>
      </c>
      <c r="EO2" s="1">
        <v>1739.68</v>
      </c>
      <c r="EP2" s="1">
        <v>1083.77</v>
      </c>
      <c r="EQ2" s="1">
        <v>303.91000000000003</v>
      </c>
      <c r="ER2" s="1">
        <v>414.50599999999997</v>
      </c>
      <c r="ES2" s="1">
        <v>0</v>
      </c>
      <c r="ET2" s="1">
        <v>0</v>
      </c>
      <c r="EU2" s="1">
        <v>0</v>
      </c>
      <c r="EV2" s="1">
        <v>0</v>
      </c>
      <c r="EW2" s="1">
        <v>0</v>
      </c>
      <c r="EX2" s="1">
        <v>0</v>
      </c>
      <c r="EY2" s="1">
        <v>0</v>
      </c>
      <c r="EZ2" s="1">
        <v>0</v>
      </c>
      <c r="FA2" s="1">
        <v>0</v>
      </c>
      <c r="FB2" s="1">
        <v>0</v>
      </c>
      <c r="FC2" s="1">
        <v>0</v>
      </c>
      <c r="FD2" s="1">
        <v>0</v>
      </c>
      <c r="FE2" s="1">
        <v>17.571999999999999</v>
      </c>
      <c r="FF2" s="1">
        <v>31.108000000000001</v>
      </c>
      <c r="FG2" s="1">
        <v>38.988</v>
      </c>
      <c r="FH2" s="1">
        <v>37.073999999999998</v>
      </c>
      <c r="FI2" s="1">
        <v>17.571999999999999</v>
      </c>
      <c r="FJ2" s="1">
        <v>31.108000000000001</v>
      </c>
      <c r="FK2" s="1">
        <v>38.988</v>
      </c>
      <c r="FL2" s="1">
        <v>37.073999999999998</v>
      </c>
      <c r="FM2" s="1">
        <v>0</v>
      </c>
      <c r="FN2" s="1">
        <v>0</v>
      </c>
      <c r="FO2" s="1">
        <v>0</v>
      </c>
      <c r="FP2" s="1">
        <v>0</v>
      </c>
      <c r="FQ2" s="1">
        <v>0</v>
      </c>
      <c r="FR2" s="1">
        <v>0</v>
      </c>
      <c r="FS2" s="1">
        <v>0</v>
      </c>
      <c r="FT2" s="1">
        <v>0</v>
      </c>
      <c r="FU2" s="1">
        <v>0</v>
      </c>
      <c r="FV2" s="1">
        <v>0</v>
      </c>
      <c r="FW2" s="1">
        <v>0</v>
      </c>
      <c r="FX2" s="1">
        <v>0</v>
      </c>
      <c r="FY2" s="1">
        <v>0</v>
      </c>
      <c r="FZ2" s="1">
        <v>0</v>
      </c>
      <c r="GA2" s="1">
        <v>0</v>
      </c>
      <c r="GB2" s="1">
        <v>0</v>
      </c>
      <c r="GC2" s="1">
        <v>109.214</v>
      </c>
      <c r="GD2" s="1">
        <v>47.636000000000003</v>
      </c>
      <c r="GE2" s="1">
        <v>55.04</v>
      </c>
      <c r="GF2" s="1">
        <v>175.90199999999999</v>
      </c>
      <c r="GG2" s="1">
        <v>109.214</v>
      </c>
      <c r="GH2" s="1">
        <v>47.636000000000003</v>
      </c>
      <c r="GI2" s="1">
        <v>55.04</v>
      </c>
      <c r="GJ2" s="1">
        <v>175.90199999999999</v>
      </c>
      <c r="GK2" s="1">
        <v>0</v>
      </c>
      <c r="GL2" s="1">
        <v>0</v>
      </c>
      <c r="GM2" s="1">
        <v>0</v>
      </c>
      <c r="GN2" s="1">
        <v>0</v>
      </c>
      <c r="GO2" s="1">
        <v>0</v>
      </c>
      <c r="GP2" s="1">
        <v>0</v>
      </c>
      <c r="GQ2" s="1">
        <v>0</v>
      </c>
      <c r="GR2" s="1">
        <v>0</v>
      </c>
      <c r="GS2" s="1">
        <v>0</v>
      </c>
      <c r="GT2" s="1">
        <v>0</v>
      </c>
      <c r="GU2" s="1">
        <v>0</v>
      </c>
      <c r="GV2" s="1">
        <v>0</v>
      </c>
      <c r="GW2" s="1">
        <v>0</v>
      </c>
      <c r="GX2" s="1">
        <v>0</v>
      </c>
      <c r="GY2" s="1">
        <v>0</v>
      </c>
      <c r="GZ2" s="1">
        <v>0</v>
      </c>
      <c r="HA2" s="1">
        <v>0</v>
      </c>
      <c r="HB2" s="1">
        <v>0</v>
      </c>
      <c r="HC2" s="1">
        <v>0</v>
      </c>
      <c r="HD2" s="1">
        <v>0</v>
      </c>
      <c r="HE2" s="1">
        <v>0</v>
      </c>
      <c r="HF2" s="1">
        <v>0</v>
      </c>
      <c r="HG2" s="1">
        <v>0</v>
      </c>
      <c r="HH2" s="1">
        <v>0</v>
      </c>
      <c r="HI2" s="1">
        <v>0</v>
      </c>
      <c r="HJ2" s="1">
        <v>0</v>
      </c>
      <c r="HK2" s="1">
        <v>0</v>
      </c>
      <c r="HL2" s="1">
        <v>0</v>
      </c>
      <c r="HM2" s="1">
        <v>0</v>
      </c>
      <c r="HN2" s="1">
        <v>0</v>
      </c>
      <c r="HO2" s="1">
        <v>0</v>
      </c>
      <c r="HP2" s="1">
        <v>0</v>
      </c>
      <c r="HQ2" s="1">
        <v>0</v>
      </c>
      <c r="HR2" s="1">
        <v>0</v>
      </c>
      <c r="HS2" s="1">
        <v>0</v>
      </c>
      <c r="HT2" s="1">
        <v>0</v>
      </c>
      <c r="HU2" s="1">
        <v>0</v>
      </c>
      <c r="HV2" s="1">
        <v>0</v>
      </c>
      <c r="HW2" s="1">
        <v>0</v>
      </c>
      <c r="HX2" s="1">
        <v>0</v>
      </c>
      <c r="HY2" s="1">
        <v>0</v>
      </c>
      <c r="HZ2" s="1">
        <v>0</v>
      </c>
      <c r="IA2" s="1">
        <v>0</v>
      </c>
      <c r="IB2" s="1">
        <v>0</v>
      </c>
      <c r="IC2" s="1">
        <v>0</v>
      </c>
      <c r="ID2" s="1">
        <v>0</v>
      </c>
      <c r="IE2" s="1">
        <v>0</v>
      </c>
      <c r="IF2" s="1">
        <v>0</v>
      </c>
      <c r="IG2" s="1">
        <v>0</v>
      </c>
      <c r="IH2" s="1">
        <v>0</v>
      </c>
      <c r="II2" s="1">
        <v>0</v>
      </c>
      <c r="IJ2" s="1">
        <v>0</v>
      </c>
      <c r="IK2" s="1">
        <v>0</v>
      </c>
      <c r="IL2" s="1">
        <v>0</v>
      </c>
      <c r="IM2" s="1">
        <v>0</v>
      </c>
      <c r="IN2" s="1">
        <v>0</v>
      </c>
      <c r="IO2" s="1">
        <v>198.12</v>
      </c>
      <c r="IP2" s="1">
        <v>152.22999999999999</v>
      </c>
      <c r="IQ2" s="1">
        <v>221.81</v>
      </c>
      <c r="IR2" s="1">
        <v>129.51</v>
      </c>
      <c r="IS2" s="1">
        <v>198.12</v>
      </c>
      <c r="IT2" s="1">
        <v>152.22999999999999</v>
      </c>
      <c r="IU2" s="1">
        <v>221.81</v>
      </c>
      <c r="IV2" s="1">
        <v>129.51</v>
      </c>
      <c r="IW2" s="1">
        <v>0</v>
      </c>
      <c r="IX2" s="1">
        <v>0</v>
      </c>
      <c r="IY2" s="1">
        <v>0</v>
      </c>
      <c r="IZ2" s="1">
        <v>0</v>
      </c>
      <c r="JA2" s="1">
        <v>0</v>
      </c>
      <c r="JB2" s="1">
        <v>0</v>
      </c>
      <c r="JC2" s="1">
        <v>0</v>
      </c>
      <c r="JD2" s="1">
        <v>0</v>
      </c>
      <c r="JE2" s="1">
        <v>0</v>
      </c>
      <c r="JF2" s="1">
        <v>0</v>
      </c>
      <c r="JG2" s="1">
        <v>0</v>
      </c>
      <c r="JH2" s="1">
        <v>0</v>
      </c>
      <c r="JI2" s="1">
        <v>0</v>
      </c>
      <c r="JJ2" s="1">
        <v>0</v>
      </c>
      <c r="JK2" s="1">
        <v>0</v>
      </c>
      <c r="JL2" s="1">
        <v>0</v>
      </c>
      <c r="JM2" s="1">
        <v>0</v>
      </c>
      <c r="JN2" s="1">
        <v>0</v>
      </c>
      <c r="JO2" s="1">
        <v>0</v>
      </c>
      <c r="JP2" s="1">
        <v>0</v>
      </c>
      <c r="JQ2" s="9"/>
      <c r="JR2" s="1">
        <f t="shared" ref="JR2:JR33" si="0">27%*N2</f>
        <v>1984.2381000000007</v>
      </c>
      <c r="JS2" s="1">
        <f t="shared" ref="JS2:JS33" si="1">27%*O2</f>
        <v>1942.3854000000003</v>
      </c>
      <c r="JT2" s="1">
        <f t="shared" ref="JT2:JT33" si="2">27%*P2</f>
        <v>1725.8805</v>
      </c>
      <c r="JU2" s="1">
        <f t="shared" ref="JU2:JU33" si="3">27%*Q2</f>
        <v>1666.1942999999997</v>
      </c>
      <c r="JV2" s="1">
        <f t="shared" ref="JV2:JV33" si="4">5%*N2</f>
        <v>367.45150000000012</v>
      </c>
      <c r="JW2" s="1">
        <f t="shared" ref="JW2:JW33" si="5">5%*O2</f>
        <v>359.70100000000002</v>
      </c>
      <c r="JX2" s="1">
        <f t="shared" ref="JX2:JX33" si="6">5%*P2</f>
        <v>319.60750000000002</v>
      </c>
      <c r="JY2" s="1">
        <f t="shared" ref="JY2:JY33" si="7">5%*Q2</f>
        <v>308.55449999999996</v>
      </c>
    </row>
    <row r="3" spans="1:285" x14ac:dyDescent="0.35">
      <c r="A3" s="2" t="s">
        <v>10</v>
      </c>
      <c r="B3" s="1">
        <v>125953</v>
      </c>
      <c r="C3" s="1">
        <v>126442</v>
      </c>
      <c r="D3" s="1">
        <v>127031</v>
      </c>
      <c r="E3" s="1">
        <v>128408</v>
      </c>
      <c r="F3" s="1">
        <v>34368.65</v>
      </c>
      <c r="G3" s="1">
        <v>34636.624000000003</v>
      </c>
      <c r="H3" s="1">
        <v>34238.65</v>
      </c>
      <c r="I3" s="1">
        <v>32797.447999999997</v>
      </c>
      <c r="J3" s="1">
        <f t="shared" ref="J3:J66" si="8">R3+AP3+BU3+CS3+DM3+EK3+FE3+GC3+HE3+IO3</f>
        <v>21964.170000000002</v>
      </c>
      <c r="K3" s="1">
        <f t="shared" ref="K3:K66" si="9">S3+AQ3+BV3+CT3+DN3+EL3+FF3+GD3+HF3+IP3</f>
        <v>21486.664000000001</v>
      </c>
      <c r="L3" s="1">
        <f t="shared" ref="L3:L66" si="10">T3+AR3+BW3+CU3+DO3+EM3+FG3+GE3+HG3+IQ3</f>
        <v>21419.030000000002</v>
      </c>
      <c r="M3" s="1">
        <f t="shared" ref="M3:M66" si="11">U3+AS3+BX3+CV3+DP3+EN3+FH3+GF3+HH3+IR3</f>
        <v>20388.607000000004</v>
      </c>
      <c r="N3" s="1">
        <f t="shared" ref="N3:N66" si="12">F3-J3</f>
        <v>12404.48</v>
      </c>
      <c r="O3" s="1">
        <f t="shared" ref="O3:O66" si="13">G3-K3</f>
        <v>13149.960000000003</v>
      </c>
      <c r="P3" s="1">
        <f t="shared" ref="P3:P66" si="14">H3-L3</f>
        <v>12819.619999999999</v>
      </c>
      <c r="Q3" s="1">
        <f t="shared" ref="Q3:Q66" si="15">I3-M3</f>
        <v>12408.840999999993</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1">
        <v>0</v>
      </c>
      <c r="AL3" s="1">
        <v>0</v>
      </c>
      <c r="AM3" s="1">
        <v>0</v>
      </c>
      <c r="AN3" s="1">
        <v>0</v>
      </c>
      <c r="AO3" s="1">
        <v>0</v>
      </c>
      <c r="AP3" s="1">
        <v>4607.22</v>
      </c>
      <c r="AQ3" s="1">
        <v>4020.5200000000004</v>
      </c>
      <c r="AR3" s="1">
        <v>4805.9400000000005</v>
      </c>
      <c r="AS3" s="1">
        <v>5415.44</v>
      </c>
      <c r="AT3" s="1">
        <v>0</v>
      </c>
      <c r="AU3" s="1">
        <v>4607.22</v>
      </c>
      <c r="AV3" s="1">
        <v>0</v>
      </c>
      <c r="AW3" s="1">
        <v>0</v>
      </c>
      <c r="AX3" s="1">
        <v>0</v>
      </c>
      <c r="AY3" s="1">
        <v>4020.5200000000004</v>
      </c>
      <c r="AZ3" s="1">
        <v>0</v>
      </c>
      <c r="BA3" s="1">
        <v>0</v>
      </c>
      <c r="BB3" s="1">
        <v>0</v>
      </c>
      <c r="BC3" s="1">
        <v>4805.9400000000005</v>
      </c>
      <c r="BD3" s="1">
        <v>0</v>
      </c>
      <c r="BE3" s="1">
        <v>0</v>
      </c>
      <c r="BF3" s="1">
        <v>5415.44</v>
      </c>
      <c r="BG3" s="1">
        <v>0</v>
      </c>
      <c r="BH3" s="1">
        <v>0</v>
      </c>
      <c r="BI3" s="1">
        <v>0</v>
      </c>
      <c r="BJ3" s="1">
        <v>0</v>
      </c>
      <c r="BK3" s="1">
        <v>0</v>
      </c>
      <c r="BL3" s="1">
        <v>0</v>
      </c>
      <c r="BM3" s="1">
        <v>0</v>
      </c>
      <c r="BN3" s="1">
        <v>0</v>
      </c>
      <c r="BO3" s="1">
        <v>0</v>
      </c>
      <c r="BP3" s="1">
        <v>0</v>
      </c>
      <c r="BQ3" s="1">
        <v>0</v>
      </c>
      <c r="BR3" s="1">
        <v>0</v>
      </c>
      <c r="BS3" s="1">
        <v>0</v>
      </c>
      <c r="BT3" s="1">
        <v>0</v>
      </c>
      <c r="BU3" s="1">
        <v>8842.2799999999988</v>
      </c>
      <c r="BV3" s="1">
        <v>9169.3310000000001</v>
      </c>
      <c r="BW3" s="1">
        <v>8955.0400000000009</v>
      </c>
      <c r="BX3" s="1">
        <v>8733.67</v>
      </c>
      <c r="BY3" s="1">
        <v>8842.2799999999988</v>
      </c>
      <c r="BZ3" s="1">
        <v>9169.3310000000001</v>
      </c>
      <c r="CA3" s="1">
        <v>8955.0400000000009</v>
      </c>
      <c r="CB3" s="1">
        <v>8733.67</v>
      </c>
      <c r="CC3" s="1">
        <v>0</v>
      </c>
      <c r="CD3" s="1">
        <v>0</v>
      </c>
      <c r="CE3" s="1">
        <v>0</v>
      </c>
      <c r="CF3" s="1">
        <v>0</v>
      </c>
      <c r="CG3" s="1">
        <v>0</v>
      </c>
      <c r="CH3" s="1">
        <v>0</v>
      </c>
      <c r="CI3" s="1">
        <v>0</v>
      </c>
      <c r="CJ3" s="1">
        <v>0</v>
      </c>
      <c r="CK3" s="1">
        <v>0</v>
      </c>
      <c r="CL3" s="1">
        <v>0</v>
      </c>
      <c r="CM3" s="1">
        <v>0</v>
      </c>
      <c r="CN3" s="1">
        <v>0</v>
      </c>
      <c r="CO3" s="1">
        <v>0</v>
      </c>
      <c r="CP3" s="1">
        <v>0</v>
      </c>
      <c r="CQ3" s="1">
        <v>0</v>
      </c>
      <c r="CR3" s="1">
        <v>0</v>
      </c>
      <c r="CS3" s="1">
        <v>3083.58</v>
      </c>
      <c r="CT3" s="1">
        <v>1712.3330000000001</v>
      </c>
      <c r="CU3" s="1">
        <v>1735.08</v>
      </c>
      <c r="CV3" s="1">
        <v>961.59300000000007</v>
      </c>
      <c r="CW3" s="1">
        <v>3083.58</v>
      </c>
      <c r="CX3" s="1">
        <v>1712.3330000000001</v>
      </c>
      <c r="CY3" s="1">
        <v>1735.08</v>
      </c>
      <c r="CZ3" s="1">
        <v>961.59300000000007</v>
      </c>
      <c r="DA3" s="1">
        <v>0</v>
      </c>
      <c r="DB3" s="1">
        <v>0</v>
      </c>
      <c r="DC3" s="1">
        <v>0</v>
      </c>
      <c r="DD3" s="1">
        <v>0</v>
      </c>
      <c r="DE3" s="1">
        <v>0</v>
      </c>
      <c r="DF3" s="1">
        <v>0</v>
      </c>
      <c r="DG3" s="1">
        <v>0</v>
      </c>
      <c r="DH3" s="1">
        <v>0</v>
      </c>
      <c r="DI3" s="1">
        <v>0</v>
      </c>
      <c r="DJ3" s="1">
        <v>0</v>
      </c>
      <c r="DK3" s="1">
        <v>0</v>
      </c>
      <c r="DL3" s="1">
        <v>0</v>
      </c>
      <c r="DM3" s="1">
        <v>3816.37</v>
      </c>
      <c r="DN3" s="1">
        <v>3712.41</v>
      </c>
      <c r="DO3" s="1">
        <v>3606.57</v>
      </c>
      <c r="DP3" s="1">
        <v>2992.317</v>
      </c>
      <c r="DQ3" s="1">
        <v>3816.37</v>
      </c>
      <c r="DR3" s="1">
        <v>3712.41</v>
      </c>
      <c r="DS3" s="1">
        <v>3606.57</v>
      </c>
      <c r="DT3" s="1">
        <v>2992.317</v>
      </c>
      <c r="DU3" s="1">
        <v>0</v>
      </c>
      <c r="DV3" s="1">
        <v>0</v>
      </c>
      <c r="DW3" s="1">
        <v>0</v>
      </c>
      <c r="DX3" s="1">
        <v>0</v>
      </c>
      <c r="DY3" s="1">
        <v>0</v>
      </c>
      <c r="DZ3" s="1">
        <v>0</v>
      </c>
      <c r="EA3" s="1">
        <v>0</v>
      </c>
      <c r="EB3" s="1">
        <v>0</v>
      </c>
      <c r="EC3" s="1">
        <v>0</v>
      </c>
      <c r="ED3" s="1">
        <v>0</v>
      </c>
      <c r="EE3" s="1">
        <v>0</v>
      </c>
      <c r="EF3" s="1">
        <v>0</v>
      </c>
      <c r="EG3" s="1">
        <v>0</v>
      </c>
      <c r="EH3" s="1">
        <v>0</v>
      </c>
      <c r="EI3" s="1">
        <v>0</v>
      </c>
      <c r="EJ3" s="1">
        <v>0</v>
      </c>
      <c r="EK3" s="1">
        <v>1561.74</v>
      </c>
      <c r="EL3" s="1">
        <v>2251.5</v>
      </c>
      <c r="EM3" s="1">
        <v>2267.9699999999998</v>
      </c>
      <c r="EN3" s="1">
        <v>2251.1869999999999</v>
      </c>
      <c r="EO3" s="1">
        <v>1561.52</v>
      </c>
      <c r="EP3" s="1">
        <v>2251.5</v>
      </c>
      <c r="EQ3" s="1">
        <v>2267.89</v>
      </c>
      <c r="ER3" s="1">
        <v>2251.1869999999999</v>
      </c>
      <c r="ES3" s="1">
        <v>0.22</v>
      </c>
      <c r="ET3" s="1">
        <v>0</v>
      </c>
      <c r="EU3" s="1">
        <v>0.08</v>
      </c>
      <c r="EV3" s="1">
        <v>0</v>
      </c>
      <c r="EW3" s="1">
        <v>0</v>
      </c>
      <c r="EX3" s="1">
        <v>0</v>
      </c>
      <c r="EY3" s="1">
        <v>0</v>
      </c>
      <c r="EZ3" s="1">
        <v>0</v>
      </c>
      <c r="FA3" s="1">
        <v>0</v>
      </c>
      <c r="FB3" s="1">
        <v>0</v>
      </c>
      <c r="FC3" s="1">
        <v>0</v>
      </c>
      <c r="FD3" s="1">
        <v>0</v>
      </c>
      <c r="FE3" s="1">
        <v>0</v>
      </c>
      <c r="FF3" s="1">
        <v>0</v>
      </c>
      <c r="FG3" s="1">
        <v>0</v>
      </c>
      <c r="FH3" s="1">
        <v>0</v>
      </c>
      <c r="FI3" s="1">
        <v>0</v>
      </c>
      <c r="FJ3" s="1">
        <v>0</v>
      </c>
      <c r="FK3" s="1">
        <v>0</v>
      </c>
      <c r="FL3" s="1">
        <v>0</v>
      </c>
      <c r="FM3" s="1">
        <v>0</v>
      </c>
      <c r="FN3" s="1">
        <v>0</v>
      </c>
      <c r="FO3" s="1">
        <v>0</v>
      </c>
      <c r="FP3" s="1">
        <v>0</v>
      </c>
      <c r="FQ3" s="1">
        <v>0</v>
      </c>
      <c r="FR3" s="1">
        <v>0</v>
      </c>
      <c r="FS3" s="1">
        <v>0</v>
      </c>
      <c r="FT3" s="1">
        <v>0</v>
      </c>
      <c r="FU3" s="1">
        <v>0</v>
      </c>
      <c r="FV3" s="1">
        <v>0</v>
      </c>
      <c r="FW3" s="1">
        <v>0</v>
      </c>
      <c r="FX3" s="1">
        <v>0</v>
      </c>
      <c r="FY3" s="1">
        <v>0</v>
      </c>
      <c r="FZ3" s="1">
        <v>0</v>
      </c>
      <c r="GA3" s="1">
        <v>0</v>
      </c>
      <c r="GB3" s="1">
        <v>0</v>
      </c>
      <c r="GC3" s="1">
        <v>52.98</v>
      </c>
      <c r="GD3" s="1">
        <v>620.57000000000005</v>
      </c>
      <c r="GE3" s="1">
        <v>48.43</v>
      </c>
      <c r="GF3" s="1">
        <v>34.4</v>
      </c>
      <c r="GG3" s="1">
        <v>52.98</v>
      </c>
      <c r="GH3" s="1">
        <v>620.57000000000005</v>
      </c>
      <c r="GI3" s="1">
        <v>48.43</v>
      </c>
      <c r="GJ3" s="1">
        <v>34.4</v>
      </c>
      <c r="GK3" s="1">
        <v>0</v>
      </c>
      <c r="GL3" s="1">
        <v>0</v>
      </c>
      <c r="GM3" s="1">
        <v>0</v>
      </c>
      <c r="GN3" s="1">
        <v>0</v>
      </c>
      <c r="GO3" s="1">
        <v>0</v>
      </c>
      <c r="GP3" s="1">
        <v>0</v>
      </c>
      <c r="GQ3" s="1">
        <v>0</v>
      </c>
      <c r="GR3" s="1">
        <v>0</v>
      </c>
      <c r="GS3" s="1">
        <v>0</v>
      </c>
      <c r="GT3" s="1">
        <v>0</v>
      </c>
      <c r="GU3" s="1">
        <v>0</v>
      </c>
      <c r="GV3" s="1">
        <v>0</v>
      </c>
      <c r="GW3" s="1">
        <v>0</v>
      </c>
      <c r="GX3" s="1">
        <v>0</v>
      </c>
      <c r="GY3" s="1">
        <v>0</v>
      </c>
      <c r="GZ3" s="1">
        <v>0</v>
      </c>
      <c r="HA3" s="1">
        <v>0</v>
      </c>
      <c r="HB3" s="1">
        <v>0</v>
      </c>
      <c r="HC3" s="1">
        <v>0</v>
      </c>
      <c r="HD3" s="1">
        <v>0</v>
      </c>
      <c r="HE3" s="1">
        <v>0</v>
      </c>
      <c r="HF3" s="1">
        <v>0</v>
      </c>
      <c r="HG3" s="1">
        <v>0</v>
      </c>
      <c r="HH3" s="1">
        <v>0</v>
      </c>
      <c r="HI3" s="1">
        <v>0</v>
      </c>
      <c r="HJ3" s="1">
        <v>0</v>
      </c>
      <c r="HK3" s="1">
        <v>0</v>
      </c>
      <c r="HL3" s="1">
        <v>0</v>
      </c>
      <c r="HM3" s="1">
        <v>0</v>
      </c>
      <c r="HN3" s="1">
        <v>0</v>
      </c>
      <c r="HO3" s="1">
        <v>0</v>
      </c>
      <c r="HP3" s="1">
        <v>0</v>
      </c>
      <c r="HQ3" s="1">
        <v>0</v>
      </c>
      <c r="HR3" s="1">
        <v>0</v>
      </c>
      <c r="HS3" s="1">
        <v>0</v>
      </c>
      <c r="HT3" s="1">
        <v>0</v>
      </c>
      <c r="HU3" s="1">
        <v>0</v>
      </c>
      <c r="HV3" s="1">
        <v>0</v>
      </c>
      <c r="HW3" s="1">
        <v>0</v>
      </c>
      <c r="HX3" s="1">
        <v>0</v>
      </c>
      <c r="HY3" s="1">
        <v>0</v>
      </c>
      <c r="HZ3" s="1">
        <v>0</v>
      </c>
      <c r="IA3" s="1">
        <v>0</v>
      </c>
      <c r="IB3" s="1">
        <v>0</v>
      </c>
      <c r="IC3" s="1">
        <v>0</v>
      </c>
      <c r="ID3" s="1">
        <v>0</v>
      </c>
      <c r="IE3" s="1">
        <v>0</v>
      </c>
      <c r="IF3" s="1">
        <v>0</v>
      </c>
      <c r="IG3" s="1">
        <v>0</v>
      </c>
      <c r="IH3" s="1">
        <v>0</v>
      </c>
      <c r="II3" s="1">
        <v>0</v>
      </c>
      <c r="IJ3" s="1">
        <v>0</v>
      </c>
      <c r="IK3" s="1">
        <v>0</v>
      </c>
      <c r="IL3" s="1">
        <v>0</v>
      </c>
      <c r="IM3" s="1">
        <v>0</v>
      </c>
      <c r="IN3" s="1">
        <v>0</v>
      </c>
      <c r="IO3" s="1">
        <v>0</v>
      </c>
      <c r="IP3" s="1">
        <v>0</v>
      </c>
      <c r="IQ3" s="1">
        <v>0</v>
      </c>
      <c r="IR3" s="1">
        <v>0</v>
      </c>
      <c r="IS3" s="1">
        <v>0</v>
      </c>
      <c r="IT3" s="1">
        <v>0</v>
      </c>
      <c r="IU3" s="1">
        <v>0</v>
      </c>
      <c r="IV3" s="1">
        <v>0</v>
      </c>
      <c r="IW3" s="1">
        <v>0</v>
      </c>
      <c r="IX3" s="1">
        <v>0</v>
      </c>
      <c r="IY3" s="1">
        <v>0</v>
      </c>
      <c r="IZ3" s="1">
        <v>0</v>
      </c>
      <c r="JA3" s="1">
        <v>0</v>
      </c>
      <c r="JB3" s="1">
        <v>0</v>
      </c>
      <c r="JC3" s="1">
        <v>0</v>
      </c>
      <c r="JD3" s="1">
        <v>0</v>
      </c>
      <c r="JE3" s="1">
        <v>0</v>
      </c>
      <c r="JF3" s="1">
        <v>0</v>
      </c>
      <c r="JG3" s="1">
        <v>0</v>
      </c>
      <c r="JH3" s="1">
        <v>0</v>
      </c>
      <c r="JI3" s="1">
        <v>0</v>
      </c>
      <c r="JJ3" s="1">
        <v>0</v>
      </c>
      <c r="JK3" s="1">
        <v>0</v>
      </c>
      <c r="JL3" s="1">
        <v>0</v>
      </c>
      <c r="JM3" s="1">
        <v>0</v>
      </c>
      <c r="JN3" s="1">
        <v>0</v>
      </c>
      <c r="JO3" s="1">
        <v>0</v>
      </c>
      <c r="JP3" s="1">
        <v>0</v>
      </c>
      <c r="JQ3" s="9"/>
      <c r="JR3" s="1">
        <f t="shared" si="0"/>
        <v>3349.2096000000001</v>
      </c>
      <c r="JS3" s="1">
        <f t="shared" si="1"/>
        <v>3550.4892000000009</v>
      </c>
      <c r="JT3" s="1">
        <f t="shared" si="2"/>
        <v>3461.2973999999999</v>
      </c>
      <c r="JU3" s="1">
        <f t="shared" si="3"/>
        <v>3350.3870699999984</v>
      </c>
      <c r="JV3" s="1">
        <f t="shared" si="4"/>
        <v>620.22400000000005</v>
      </c>
      <c r="JW3" s="1">
        <f t="shared" si="5"/>
        <v>657.49800000000016</v>
      </c>
      <c r="JX3" s="1">
        <f t="shared" si="6"/>
        <v>640.98099999999999</v>
      </c>
      <c r="JY3" s="1">
        <f t="shared" si="7"/>
        <v>620.44204999999965</v>
      </c>
    </row>
    <row r="4" spans="1:285" x14ac:dyDescent="0.35">
      <c r="A4" s="2" t="s">
        <v>11</v>
      </c>
      <c r="B4" s="1">
        <v>163661</v>
      </c>
      <c r="C4" s="1">
        <v>165219</v>
      </c>
      <c r="D4" s="1">
        <v>166288</v>
      </c>
      <c r="E4" s="1">
        <v>168102</v>
      </c>
      <c r="F4" s="1">
        <v>70056.717999999993</v>
      </c>
      <c r="G4" s="1">
        <v>63039.400999999998</v>
      </c>
      <c r="H4" s="1">
        <v>59202.552000000003</v>
      </c>
      <c r="I4" s="1">
        <v>58743.103999999999</v>
      </c>
      <c r="J4" s="1">
        <f t="shared" si="8"/>
        <v>51093.767999999996</v>
      </c>
      <c r="K4" s="1">
        <f t="shared" si="9"/>
        <v>43638.721000000005</v>
      </c>
      <c r="L4" s="1">
        <f t="shared" si="10"/>
        <v>40279.002000000008</v>
      </c>
      <c r="M4" s="1">
        <f t="shared" si="11"/>
        <v>39445.444000000003</v>
      </c>
      <c r="N4" s="1">
        <f t="shared" si="12"/>
        <v>18962.949999999997</v>
      </c>
      <c r="O4" s="1">
        <f t="shared" si="13"/>
        <v>19400.679999999993</v>
      </c>
      <c r="P4" s="1">
        <f t="shared" si="14"/>
        <v>18923.549999999996</v>
      </c>
      <c r="Q4" s="1">
        <f t="shared" si="15"/>
        <v>19297.659999999996</v>
      </c>
      <c r="R4" s="1">
        <v>0</v>
      </c>
      <c r="S4" s="1">
        <v>201.35</v>
      </c>
      <c r="T4" s="1">
        <v>134.53</v>
      </c>
      <c r="U4" s="1">
        <v>0</v>
      </c>
      <c r="V4" s="1">
        <v>0</v>
      </c>
      <c r="W4" s="1">
        <v>0</v>
      </c>
      <c r="X4" s="1">
        <v>0</v>
      </c>
      <c r="Y4" s="1">
        <v>0</v>
      </c>
      <c r="Z4" s="1">
        <v>0</v>
      </c>
      <c r="AA4" s="1">
        <v>200.36999999999998</v>
      </c>
      <c r="AB4" s="1">
        <v>0</v>
      </c>
      <c r="AC4" s="1">
        <v>0</v>
      </c>
      <c r="AD4" s="1">
        <v>2073.88</v>
      </c>
      <c r="AE4" s="1">
        <v>0</v>
      </c>
      <c r="AF4" s="1">
        <v>0</v>
      </c>
      <c r="AG4" s="1">
        <v>0</v>
      </c>
      <c r="AH4" s="1">
        <v>0</v>
      </c>
      <c r="AI4" s="1">
        <v>0</v>
      </c>
      <c r="AJ4" s="1">
        <v>0</v>
      </c>
      <c r="AK4" s="1">
        <v>0</v>
      </c>
      <c r="AL4" s="1">
        <v>0</v>
      </c>
      <c r="AM4" s="1">
        <v>0</v>
      </c>
      <c r="AN4" s="1">
        <v>0</v>
      </c>
      <c r="AO4" s="1">
        <v>0</v>
      </c>
      <c r="AP4" s="1">
        <v>9247.9500000000007</v>
      </c>
      <c r="AQ4" s="1">
        <v>10176.66</v>
      </c>
      <c r="AR4" s="1">
        <v>10715.779999999999</v>
      </c>
      <c r="AS4" s="1">
        <v>11152.890000000001</v>
      </c>
      <c r="AT4" s="1">
        <v>0</v>
      </c>
      <c r="AU4" s="1">
        <v>9247.9500000000007</v>
      </c>
      <c r="AV4" s="1">
        <v>0</v>
      </c>
      <c r="AW4" s="1">
        <v>0</v>
      </c>
      <c r="AX4" s="1">
        <v>0</v>
      </c>
      <c r="AY4" s="1">
        <v>10176.66</v>
      </c>
      <c r="AZ4" s="1">
        <v>0</v>
      </c>
      <c r="BA4" s="1">
        <v>0</v>
      </c>
      <c r="BB4" s="1">
        <v>0</v>
      </c>
      <c r="BC4" s="1">
        <v>10715.779999999999</v>
      </c>
      <c r="BD4" s="1">
        <v>0</v>
      </c>
      <c r="BE4" s="1">
        <v>0</v>
      </c>
      <c r="BF4" s="1">
        <v>11152.890000000001</v>
      </c>
      <c r="BG4" s="1">
        <v>0</v>
      </c>
      <c r="BH4" s="1">
        <v>0</v>
      </c>
      <c r="BI4" s="1">
        <v>0</v>
      </c>
      <c r="BJ4" s="1">
        <v>0</v>
      </c>
      <c r="BK4" s="1">
        <v>0</v>
      </c>
      <c r="BL4" s="1">
        <v>0</v>
      </c>
      <c r="BM4" s="1">
        <v>0</v>
      </c>
      <c r="BN4" s="1">
        <v>0</v>
      </c>
      <c r="BO4" s="1">
        <v>0</v>
      </c>
      <c r="BP4" s="1">
        <v>0</v>
      </c>
      <c r="BQ4" s="1">
        <v>0</v>
      </c>
      <c r="BR4" s="1">
        <v>0</v>
      </c>
      <c r="BS4" s="1">
        <v>0</v>
      </c>
      <c r="BT4" s="1">
        <v>0</v>
      </c>
      <c r="BU4" s="1">
        <v>21891.599999999999</v>
      </c>
      <c r="BV4" s="1">
        <v>16568.080000000002</v>
      </c>
      <c r="BW4" s="1">
        <v>21585.74</v>
      </c>
      <c r="BX4" s="1">
        <v>20157.849999999999</v>
      </c>
      <c r="BY4" s="1">
        <v>21891.599999999999</v>
      </c>
      <c r="BZ4" s="1">
        <v>16568.080000000002</v>
      </c>
      <c r="CA4" s="1">
        <v>21585.74</v>
      </c>
      <c r="CB4" s="1">
        <v>20157.849999999999</v>
      </c>
      <c r="CC4" s="1">
        <v>0</v>
      </c>
      <c r="CD4" s="1">
        <v>0</v>
      </c>
      <c r="CE4" s="1">
        <v>0</v>
      </c>
      <c r="CF4" s="1">
        <v>0</v>
      </c>
      <c r="CG4" s="1">
        <v>0</v>
      </c>
      <c r="CH4" s="1">
        <v>0</v>
      </c>
      <c r="CI4" s="1">
        <v>0</v>
      </c>
      <c r="CJ4" s="1">
        <v>0</v>
      </c>
      <c r="CK4" s="1">
        <v>0</v>
      </c>
      <c r="CL4" s="1">
        <v>0</v>
      </c>
      <c r="CM4" s="1">
        <v>0</v>
      </c>
      <c r="CN4" s="1">
        <v>0</v>
      </c>
      <c r="CO4" s="1">
        <v>0</v>
      </c>
      <c r="CP4" s="1">
        <v>0</v>
      </c>
      <c r="CQ4" s="1">
        <v>0</v>
      </c>
      <c r="CR4" s="1">
        <v>0</v>
      </c>
      <c r="CS4" s="1">
        <v>9512.23</v>
      </c>
      <c r="CT4" s="1">
        <v>7742.1900000000014</v>
      </c>
      <c r="CU4" s="1">
        <v>1235.19</v>
      </c>
      <c r="CV4" s="1">
        <v>1314.04</v>
      </c>
      <c r="CW4" s="1">
        <v>9512.23</v>
      </c>
      <c r="CX4" s="1">
        <v>7738.04</v>
      </c>
      <c r="CY4" s="1">
        <v>1227.3</v>
      </c>
      <c r="CZ4" s="1">
        <v>1314.04</v>
      </c>
      <c r="DA4" s="1">
        <v>0</v>
      </c>
      <c r="DB4" s="1">
        <v>0</v>
      </c>
      <c r="DC4" s="1">
        <v>0</v>
      </c>
      <c r="DD4" s="1">
        <v>0</v>
      </c>
      <c r="DE4" s="1">
        <v>0</v>
      </c>
      <c r="DF4" s="1">
        <v>0</v>
      </c>
      <c r="DG4" s="1">
        <v>0</v>
      </c>
      <c r="DH4" s="1">
        <v>0</v>
      </c>
      <c r="DI4" s="1">
        <v>0</v>
      </c>
      <c r="DJ4" s="1">
        <v>4.1500000000000004</v>
      </c>
      <c r="DK4" s="1">
        <v>7.8900000000000006</v>
      </c>
      <c r="DL4" s="1">
        <v>0</v>
      </c>
      <c r="DM4" s="1">
        <v>5061.6499999999996</v>
      </c>
      <c r="DN4" s="1">
        <v>5048.1499999999996</v>
      </c>
      <c r="DO4" s="1">
        <v>4731.3100000000004</v>
      </c>
      <c r="DP4" s="1">
        <v>4352.3700000000008</v>
      </c>
      <c r="DQ4" s="1">
        <v>5061.6499999999996</v>
      </c>
      <c r="DR4" s="1">
        <v>5048.1499999999996</v>
      </c>
      <c r="DS4" s="1">
        <v>4731.3100000000004</v>
      </c>
      <c r="DT4" s="1">
        <v>4352.3700000000008</v>
      </c>
      <c r="DU4" s="1">
        <v>0</v>
      </c>
      <c r="DV4" s="1">
        <v>0</v>
      </c>
      <c r="DW4" s="1">
        <v>0</v>
      </c>
      <c r="DX4" s="1">
        <v>0</v>
      </c>
      <c r="DY4" s="1">
        <v>0</v>
      </c>
      <c r="DZ4" s="1">
        <v>0</v>
      </c>
      <c r="EA4" s="1">
        <v>0</v>
      </c>
      <c r="EB4" s="1">
        <v>0</v>
      </c>
      <c r="EC4" s="1">
        <v>0</v>
      </c>
      <c r="ED4" s="1">
        <v>0</v>
      </c>
      <c r="EE4" s="1">
        <v>0</v>
      </c>
      <c r="EF4" s="1">
        <v>0</v>
      </c>
      <c r="EG4" s="1">
        <v>0</v>
      </c>
      <c r="EH4" s="1">
        <v>0</v>
      </c>
      <c r="EI4" s="1">
        <v>0</v>
      </c>
      <c r="EJ4" s="1">
        <v>0</v>
      </c>
      <c r="EK4" s="1">
        <v>4356.91</v>
      </c>
      <c r="EL4" s="1">
        <v>2859.77</v>
      </c>
      <c r="EM4" s="1">
        <v>830.43000000000006</v>
      </c>
      <c r="EN4" s="1">
        <v>1184.6099999999999</v>
      </c>
      <c r="EO4" s="1">
        <v>4356.91</v>
      </c>
      <c r="EP4" s="1">
        <v>2859.77</v>
      </c>
      <c r="EQ4" s="1">
        <v>830.43000000000006</v>
      </c>
      <c r="ER4" s="1">
        <v>1184.6099999999999</v>
      </c>
      <c r="ES4" s="1">
        <v>0</v>
      </c>
      <c r="ET4" s="1">
        <v>0</v>
      </c>
      <c r="EU4" s="1">
        <v>0</v>
      </c>
      <c r="EV4" s="1">
        <v>0</v>
      </c>
      <c r="EW4" s="1">
        <v>0</v>
      </c>
      <c r="EX4" s="1">
        <v>0</v>
      </c>
      <c r="EY4" s="1">
        <v>0</v>
      </c>
      <c r="EZ4" s="1">
        <v>0</v>
      </c>
      <c r="FA4" s="1">
        <v>0</v>
      </c>
      <c r="FB4" s="1">
        <v>0</v>
      </c>
      <c r="FC4" s="1">
        <v>0</v>
      </c>
      <c r="FD4" s="1">
        <v>0</v>
      </c>
      <c r="FE4" s="1">
        <v>170.75800000000001</v>
      </c>
      <c r="FF4" s="1">
        <v>261.93099999999998</v>
      </c>
      <c r="FG4" s="1">
        <v>310.43200000000002</v>
      </c>
      <c r="FH4" s="1">
        <v>266.13400000000001</v>
      </c>
      <c r="FI4" s="1">
        <v>170.75800000000001</v>
      </c>
      <c r="FJ4" s="1">
        <v>261.93099999999998</v>
      </c>
      <c r="FK4" s="1">
        <v>310.43200000000002</v>
      </c>
      <c r="FL4" s="1">
        <v>266.13400000000001</v>
      </c>
      <c r="FM4" s="1">
        <v>0</v>
      </c>
      <c r="FN4" s="1">
        <v>0</v>
      </c>
      <c r="FO4" s="1">
        <v>0</v>
      </c>
      <c r="FP4" s="1">
        <v>0</v>
      </c>
      <c r="FQ4" s="1">
        <v>0</v>
      </c>
      <c r="FR4" s="1">
        <v>0</v>
      </c>
      <c r="FS4" s="1">
        <v>0</v>
      </c>
      <c r="FT4" s="1">
        <v>0</v>
      </c>
      <c r="FU4" s="1">
        <v>0</v>
      </c>
      <c r="FV4" s="1">
        <v>0</v>
      </c>
      <c r="FW4" s="1">
        <v>0</v>
      </c>
      <c r="FX4" s="1">
        <v>0</v>
      </c>
      <c r="FY4" s="1">
        <v>0</v>
      </c>
      <c r="FZ4" s="1">
        <v>0</v>
      </c>
      <c r="GA4" s="1">
        <v>0</v>
      </c>
      <c r="GB4" s="1">
        <v>0</v>
      </c>
      <c r="GC4" s="1">
        <v>116.17</v>
      </c>
      <c r="GD4" s="1">
        <v>140.37</v>
      </c>
      <c r="GE4" s="1">
        <v>144.37</v>
      </c>
      <c r="GF4" s="1">
        <v>423.73</v>
      </c>
      <c r="GG4" s="1">
        <v>116.17</v>
      </c>
      <c r="GH4" s="1">
        <v>140.37</v>
      </c>
      <c r="GI4" s="1">
        <v>144.37</v>
      </c>
      <c r="GJ4" s="1">
        <v>423.73</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736.5</v>
      </c>
      <c r="IP4" s="1">
        <v>640.22</v>
      </c>
      <c r="IQ4" s="1">
        <v>591.22</v>
      </c>
      <c r="IR4" s="1">
        <v>593.82000000000005</v>
      </c>
      <c r="IS4" s="1">
        <v>736.5</v>
      </c>
      <c r="IT4" s="1">
        <v>640.22</v>
      </c>
      <c r="IU4" s="1">
        <v>591.22</v>
      </c>
      <c r="IV4" s="1">
        <v>593.82000000000005</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0</v>
      </c>
      <c r="JO4" s="1">
        <v>0</v>
      </c>
      <c r="JP4" s="1">
        <v>0</v>
      </c>
      <c r="JQ4" s="9"/>
      <c r="JR4" s="1">
        <f t="shared" si="0"/>
        <v>5119.9964999999993</v>
      </c>
      <c r="JS4" s="1">
        <f t="shared" si="1"/>
        <v>5238.1835999999985</v>
      </c>
      <c r="JT4" s="1">
        <f t="shared" si="2"/>
        <v>5109.3584999999994</v>
      </c>
      <c r="JU4" s="1">
        <f t="shared" si="3"/>
        <v>5210.368199999999</v>
      </c>
      <c r="JV4" s="1">
        <f t="shared" si="4"/>
        <v>948.14749999999992</v>
      </c>
      <c r="JW4" s="1">
        <f t="shared" si="5"/>
        <v>970.03399999999965</v>
      </c>
      <c r="JX4" s="1">
        <f t="shared" si="6"/>
        <v>946.17749999999978</v>
      </c>
      <c r="JY4" s="1">
        <f t="shared" si="7"/>
        <v>964.88299999999981</v>
      </c>
    </row>
    <row r="5" spans="1:285" x14ac:dyDescent="0.35">
      <c r="A5" s="2" t="s">
        <v>12</v>
      </c>
      <c r="B5" s="1">
        <v>126687</v>
      </c>
      <c r="C5" s="1">
        <v>126356</v>
      </c>
      <c r="D5" s="1">
        <v>127126</v>
      </c>
      <c r="E5" s="1">
        <v>128449</v>
      </c>
      <c r="F5" s="1">
        <v>30544.624</v>
      </c>
      <c r="G5" s="1">
        <v>33111.11</v>
      </c>
      <c r="H5" s="1">
        <v>31992.02</v>
      </c>
      <c r="I5" s="1">
        <v>29438.36</v>
      </c>
      <c r="J5" s="1">
        <f t="shared" si="8"/>
        <v>18647.134000000002</v>
      </c>
      <c r="K5" s="1">
        <f t="shared" si="9"/>
        <v>22467.41</v>
      </c>
      <c r="L5" s="1">
        <f t="shared" si="10"/>
        <v>21424.02</v>
      </c>
      <c r="M5" s="1">
        <f t="shared" si="11"/>
        <v>20151.730000000003</v>
      </c>
      <c r="N5" s="1">
        <f t="shared" si="12"/>
        <v>11897.489999999998</v>
      </c>
      <c r="O5" s="1">
        <f t="shared" si="13"/>
        <v>10643.7</v>
      </c>
      <c r="P5" s="1">
        <f t="shared" si="14"/>
        <v>10568</v>
      </c>
      <c r="Q5" s="1">
        <f t="shared" si="15"/>
        <v>9286.6299999999974</v>
      </c>
      <c r="R5" s="1">
        <v>0</v>
      </c>
      <c r="S5" s="1">
        <v>0</v>
      </c>
      <c r="T5" s="1">
        <v>0</v>
      </c>
      <c r="U5" s="1">
        <v>0</v>
      </c>
      <c r="V5" s="1">
        <v>0</v>
      </c>
      <c r="W5" s="1">
        <v>0</v>
      </c>
      <c r="X5" s="1">
        <v>0</v>
      </c>
      <c r="Y5" s="1">
        <v>0</v>
      </c>
      <c r="Z5" s="1">
        <v>0</v>
      </c>
      <c r="AA5" s="1">
        <v>0</v>
      </c>
      <c r="AB5" s="1">
        <v>0</v>
      </c>
      <c r="AC5" s="1">
        <v>0</v>
      </c>
      <c r="AD5" s="1">
        <v>0</v>
      </c>
      <c r="AE5" s="1">
        <v>0</v>
      </c>
      <c r="AF5" s="1">
        <v>0</v>
      </c>
      <c r="AG5" s="1">
        <v>0</v>
      </c>
      <c r="AH5" s="1">
        <v>0</v>
      </c>
      <c r="AI5" s="1">
        <v>0</v>
      </c>
      <c r="AJ5" s="1">
        <v>0</v>
      </c>
      <c r="AK5" s="1">
        <v>0</v>
      </c>
      <c r="AL5" s="1">
        <v>0</v>
      </c>
      <c r="AM5" s="1">
        <v>0</v>
      </c>
      <c r="AN5" s="1">
        <v>0</v>
      </c>
      <c r="AO5" s="1">
        <v>0</v>
      </c>
      <c r="AP5" s="1">
        <v>6957.7800000000007</v>
      </c>
      <c r="AQ5" s="1">
        <v>7190.51</v>
      </c>
      <c r="AR5" s="1">
        <v>5504.24</v>
      </c>
      <c r="AS5" s="1">
        <v>6574.84</v>
      </c>
      <c r="AT5" s="1">
        <v>0</v>
      </c>
      <c r="AU5" s="1">
        <v>6957.7800000000007</v>
      </c>
      <c r="AV5" s="1">
        <v>0</v>
      </c>
      <c r="AW5" s="1">
        <v>0</v>
      </c>
      <c r="AX5" s="1">
        <v>0</v>
      </c>
      <c r="AY5" s="1">
        <v>7190.51</v>
      </c>
      <c r="AZ5" s="1">
        <v>0</v>
      </c>
      <c r="BA5" s="1">
        <v>0</v>
      </c>
      <c r="BB5" s="1">
        <v>0</v>
      </c>
      <c r="BC5" s="1">
        <v>5504.24</v>
      </c>
      <c r="BD5" s="1">
        <v>0</v>
      </c>
      <c r="BE5" s="1">
        <v>0</v>
      </c>
      <c r="BF5" s="1">
        <v>6574.84</v>
      </c>
      <c r="BG5" s="1">
        <v>0</v>
      </c>
      <c r="BH5" s="1">
        <v>0</v>
      </c>
      <c r="BI5" s="1">
        <v>0</v>
      </c>
      <c r="BJ5" s="1">
        <v>0</v>
      </c>
      <c r="BK5" s="1">
        <v>0</v>
      </c>
      <c r="BL5" s="1">
        <v>0</v>
      </c>
      <c r="BM5" s="1">
        <v>0</v>
      </c>
      <c r="BN5" s="1">
        <v>0</v>
      </c>
      <c r="BO5" s="1">
        <v>0</v>
      </c>
      <c r="BP5" s="1">
        <v>0</v>
      </c>
      <c r="BQ5" s="1">
        <v>0</v>
      </c>
      <c r="BR5" s="1">
        <v>0</v>
      </c>
      <c r="BS5" s="1">
        <v>0</v>
      </c>
      <c r="BT5" s="1">
        <v>0</v>
      </c>
      <c r="BU5" s="1">
        <v>4309.3150000000014</v>
      </c>
      <c r="BV5" s="1">
        <v>9200.59</v>
      </c>
      <c r="BW5" s="1">
        <v>10880.34</v>
      </c>
      <c r="BX5" s="1">
        <v>8554.86</v>
      </c>
      <c r="BY5" s="1">
        <v>4309.3150000000014</v>
      </c>
      <c r="BZ5" s="1">
        <v>9200.59</v>
      </c>
      <c r="CA5" s="1">
        <v>10880.34</v>
      </c>
      <c r="CB5" s="1">
        <v>8554.86</v>
      </c>
      <c r="CC5" s="1">
        <v>0</v>
      </c>
      <c r="CD5" s="1">
        <v>0</v>
      </c>
      <c r="CE5" s="1">
        <v>0</v>
      </c>
      <c r="CF5" s="1">
        <v>0</v>
      </c>
      <c r="CG5" s="1">
        <v>0</v>
      </c>
      <c r="CH5" s="1">
        <v>0</v>
      </c>
      <c r="CI5" s="1">
        <v>0</v>
      </c>
      <c r="CJ5" s="1">
        <v>0</v>
      </c>
      <c r="CK5" s="1">
        <v>0</v>
      </c>
      <c r="CL5" s="1">
        <v>0</v>
      </c>
      <c r="CM5" s="1">
        <v>0</v>
      </c>
      <c r="CN5" s="1">
        <v>0</v>
      </c>
      <c r="CO5" s="1">
        <v>0</v>
      </c>
      <c r="CP5" s="1">
        <v>0</v>
      </c>
      <c r="CQ5" s="1">
        <v>0</v>
      </c>
      <c r="CR5" s="1">
        <v>0</v>
      </c>
      <c r="CS5" s="1">
        <v>1278.46</v>
      </c>
      <c r="CT5" s="1">
        <v>987.69</v>
      </c>
      <c r="CU5" s="1">
        <v>956.84</v>
      </c>
      <c r="CV5" s="1">
        <v>912.51</v>
      </c>
      <c r="CW5" s="1">
        <v>1278.46</v>
      </c>
      <c r="CX5" s="1">
        <v>987.69</v>
      </c>
      <c r="CY5" s="1">
        <v>956.84</v>
      </c>
      <c r="CZ5" s="1">
        <v>912.51</v>
      </c>
      <c r="DA5" s="1">
        <v>0</v>
      </c>
      <c r="DB5" s="1">
        <v>0</v>
      </c>
      <c r="DC5" s="1">
        <v>0</v>
      </c>
      <c r="DD5" s="1">
        <v>0</v>
      </c>
      <c r="DE5" s="1">
        <v>0</v>
      </c>
      <c r="DF5" s="1">
        <v>0</v>
      </c>
      <c r="DG5" s="1">
        <v>0</v>
      </c>
      <c r="DH5" s="1">
        <v>0</v>
      </c>
      <c r="DI5" s="1">
        <v>0</v>
      </c>
      <c r="DJ5" s="1">
        <v>0</v>
      </c>
      <c r="DK5" s="1">
        <v>0</v>
      </c>
      <c r="DL5" s="1">
        <v>0</v>
      </c>
      <c r="DM5" s="1">
        <v>3692.18</v>
      </c>
      <c r="DN5" s="1">
        <v>3415.59</v>
      </c>
      <c r="DO5" s="1">
        <v>2976.03</v>
      </c>
      <c r="DP5" s="1">
        <v>2803.89</v>
      </c>
      <c r="DQ5" s="1">
        <v>3692.18</v>
      </c>
      <c r="DR5" s="1">
        <v>3415.59</v>
      </c>
      <c r="DS5" s="1">
        <v>2976.03</v>
      </c>
      <c r="DT5" s="1">
        <v>2803.89</v>
      </c>
      <c r="DU5" s="1">
        <v>0</v>
      </c>
      <c r="DV5" s="1">
        <v>0</v>
      </c>
      <c r="DW5" s="1">
        <v>0</v>
      </c>
      <c r="DX5" s="1">
        <v>0</v>
      </c>
      <c r="DY5" s="1">
        <v>0</v>
      </c>
      <c r="DZ5" s="1">
        <v>0</v>
      </c>
      <c r="EA5" s="1">
        <v>0</v>
      </c>
      <c r="EB5" s="1">
        <v>0</v>
      </c>
      <c r="EC5" s="1">
        <v>0</v>
      </c>
      <c r="ED5" s="1">
        <v>0</v>
      </c>
      <c r="EE5" s="1">
        <v>0</v>
      </c>
      <c r="EF5" s="1">
        <v>0</v>
      </c>
      <c r="EG5" s="1">
        <v>0</v>
      </c>
      <c r="EH5" s="1">
        <v>0</v>
      </c>
      <c r="EI5" s="1">
        <v>0</v>
      </c>
      <c r="EJ5" s="1">
        <v>0</v>
      </c>
      <c r="EK5" s="1">
        <v>1986.625</v>
      </c>
      <c r="EL5" s="1">
        <v>1074.45</v>
      </c>
      <c r="EM5" s="1">
        <v>732.78</v>
      </c>
      <c r="EN5" s="1">
        <v>1033.17</v>
      </c>
      <c r="EO5" s="1">
        <v>1986.625</v>
      </c>
      <c r="EP5" s="1">
        <v>1074.45</v>
      </c>
      <c r="EQ5" s="1">
        <v>732.78</v>
      </c>
      <c r="ER5" s="1">
        <v>1033.17</v>
      </c>
      <c r="ES5" s="1">
        <v>0</v>
      </c>
      <c r="ET5" s="1">
        <v>0</v>
      </c>
      <c r="EU5" s="1">
        <v>0</v>
      </c>
      <c r="EV5" s="1">
        <v>0</v>
      </c>
      <c r="EW5" s="1">
        <v>0</v>
      </c>
      <c r="EX5" s="1">
        <v>0</v>
      </c>
      <c r="EY5" s="1">
        <v>0</v>
      </c>
      <c r="EZ5" s="1">
        <v>0</v>
      </c>
      <c r="FA5" s="1">
        <v>0</v>
      </c>
      <c r="FB5" s="1">
        <v>0</v>
      </c>
      <c r="FC5" s="1">
        <v>0</v>
      </c>
      <c r="FD5" s="1">
        <v>0</v>
      </c>
      <c r="FE5" s="1">
        <v>9.1840000000000011</v>
      </c>
      <c r="FF5" s="1">
        <v>0</v>
      </c>
      <c r="FG5" s="1">
        <v>0</v>
      </c>
      <c r="FH5" s="1">
        <v>0</v>
      </c>
      <c r="FI5" s="1">
        <v>9.1840000000000011</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0</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413.59</v>
      </c>
      <c r="IP5" s="1">
        <v>598.58000000000004</v>
      </c>
      <c r="IQ5" s="1">
        <v>373.79</v>
      </c>
      <c r="IR5" s="1">
        <v>272.45999999999998</v>
      </c>
      <c r="IS5" s="1">
        <v>413.59</v>
      </c>
      <c r="IT5" s="1">
        <v>598.58000000000004</v>
      </c>
      <c r="IU5" s="1">
        <v>373.79</v>
      </c>
      <c r="IV5" s="1">
        <v>272.45999999999998</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0</v>
      </c>
      <c r="JO5" s="1">
        <v>0</v>
      </c>
      <c r="JP5" s="1">
        <v>0</v>
      </c>
      <c r="JQ5" s="9"/>
      <c r="JR5" s="1">
        <f t="shared" si="0"/>
        <v>3212.3222999999998</v>
      </c>
      <c r="JS5" s="1">
        <f t="shared" si="1"/>
        <v>2873.7990000000004</v>
      </c>
      <c r="JT5" s="1">
        <f t="shared" si="2"/>
        <v>2853.36</v>
      </c>
      <c r="JU5" s="1">
        <f t="shared" si="3"/>
        <v>2507.3900999999996</v>
      </c>
      <c r="JV5" s="1">
        <f t="shared" si="4"/>
        <v>594.8744999999999</v>
      </c>
      <c r="JW5" s="1">
        <f t="shared" si="5"/>
        <v>532.18500000000006</v>
      </c>
      <c r="JX5" s="1">
        <f t="shared" si="6"/>
        <v>528.4</v>
      </c>
      <c r="JY5" s="1">
        <f t="shared" si="7"/>
        <v>464.33149999999989</v>
      </c>
    </row>
    <row r="6" spans="1:285" x14ac:dyDescent="0.35">
      <c r="A6" s="2" t="s">
        <v>13</v>
      </c>
      <c r="B6" s="1">
        <v>131431</v>
      </c>
      <c r="C6" s="1">
        <v>133221</v>
      </c>
      <c r="D6" s="1">
        <v>135818</v>
      </c>
      <c r="E6" s="1">
        <v>139010</v>
      </c>
      <c r="F6" s="1">
        <v>79754.28</v>
      </c>
      <c r="G6" s="1">
        <v>80291.065999999992</v>
      </c>
      <c r="H6" s="1">
        <v>75187.3</v>
      </c>
      <c r="I6" s="1">
        <v>71639.58</v>
      </c>
      <c r="J6" s="1">
        <f t="shared" si="8"/>
        <v>62452.670000000006</v>
      </c>
      <c r="K6" s="1">
        <f t="shared" si="9"/>
        <v>62992.966</v>
      </c>
      <c r="L6" s="1">
        <f t="shared" si="10"/>
        <v>58384.6</v>
      </c>
      <c r="M6" s="1">
        <f t="shared" si="11"/>
        <v>54515.12000000001</v>
      </c>
      <c r="N6" s="1">
        <f t="shared" si="12"/>
        <v>17301.609999999993</v>
      </c>
      <c r="O6" s="1">
        <f t="shared" si="13"/>
        <v>17298.099999999991</v>
      </c>
      <c r="P6" s="1">
        <f t="shared" si="14"/>
        <v>16802.700000000004</v>
      </c>
      <c r="Q6" s="1">
        <f t="shared" si="15"/>
        <v>17124.459999999992</v>
      </c>
      <c r="R6" s="1">
        <v>3891.68</v>
      </c>
      <c r="S6" s="1">
        <v>3900.23</v>
      </c>
      <c r="T6" s="1">
        <v>4108.7</v>
      </c>
      <c r="U6" s="1">
        <v>4024.2599999999998</v>
      </c>
      <c r="V6" s="1">
        <v>3891.68</v>
      </c>
      <c r="W6" s="1">
        <v>0</v>
      </c>
      <c r="X6" s="1">
        <v>0</v>
      </c>
      <c r="Y6" s="1">
        <v>3900.23</v>
      </c>
      <c r="Z6" s="1">
        <v>0</v>
      </c>
      <c r="AA6" s="1">
        <v>0</v>
      </c>
      <c r="AB6" s="1">
        <v>2096.7600000000002</v>
      </c>
      <c r="AC6" s="1">
        <v>0</v>
      </c>
      <c r="AD6" s="1">
        <v>2011.9399999999996</v>
      </c>
      <c r="AE6" s="1">
        <v>0</v>
      </c>
      <c r="AF6" s="1">
        <v>0</v>
      </c>
      <c r="AG6" s="1">
        <v>4024.2599999999998</v>
      </c>
      <c r="AH6" s="1">
        <v>0</v>
      </c>
      <c r="AI6" s="1">
        <v>0</v>
      </c>
      <c r="AJ6" s="1">
        <v>0</v>
      </c>
      <c r="AK6" s="1">
        <v>0</v>
      </c>
      <c r="AL6" s="1">
        <v>0</v>
      </c>
      <c r="AM6" s="1">
        <v>0</v>
      </c>
      <c r="AN6" s="1">
        <v>0</v>
      </c>
      <c r="AO6" s="1">
        <v>0</v>
      </c>
      <c r="AP6" s="1">
        <v>7082.58</v>
      </c>
      <c r="AQ6" s="1">
        <v>7885.84</v>
      </c>
      <c r="AR6" s="1">
        <v>7092.4199999999992</v>
      </c>
      <c r="AS6" s="1">
        <v>8030.0300000000007</v>
      </c>
      <c r="AT6" s="1">
        <v>0</v>
      </c>
      <c r="AU6" s="1">
        <v>7082.58</v>
      </c>
      <c r="AV6" s="1">
        <v>0</v>
      </c>
      <c r="AW6" s="1">
        <v>0</v>
      </c>
      <c r="AX6" s="1">
        <v>0</v>
      </c>
      <c r="AY6" s="1">
        <v>7885.84</v>
      </c>
      <c r="AZ6" s="1">
        <v>0</v>
      </c>
      <c r="BA6" s="1">
        <v>0</v>
      </c>
      <c r="BB6" s="1">
        <v>0</v>
      </c>
      <c r="BC6" s="1">
        <v>7092.4199999999992</v>
      </c>
      <c r="BD6" s="1">
        <v>0</v>
      </c>
      <c r="BE6" s="1">
        <v>0</v>
      </c>
      <c r="BF6" s="1">
        <v>8030.0300000000007</v>
      </c>
      <c r="BG6" s="1">
        <v>0</v>
      </c>
      <c r="BH6" s="1">
        <v>0</v>
      </c>
      <c r="BI6" s="1">
        <v>0</v>
      </c>
      <c r="BJ6" s="1">
        <v>0</v>
      </c>
      <c r="BK6" s="1">
        <v>0</v>
      </c>
      <c r="BL6" s="1">
        <v>0</v>
      </c>
      <c r="BM6" s="1">
        <v>0</v>
      </c>
      <c r="BN6" s="1">
        <v>0</v>
      </c>
      <c r="BO6" s="1">
        <v>0</v>
      </c>
      <c r="BP6" s="1">
        <v>0</v>
      </c>
      <c r="BQ6" s="1">
        <v>0</v>
      </c>
      <c r="BR6" s="1">
        <v>0</v>
      </c>
      <c r="BS6" s="1">
        <v>0</v>
      </c>
      <c r="BT6" s="1">
        <v>0</v>
      </c>
      <c r="BU6" s="1">
        <v>12557.36</v>
      </c>
      <c r="BV6" s="1">
        <v>12546.76</v>
      </c>
      <c r="BW6" s="1">
        <v>11548.79</v>
      </c>
      <c r="BX6" s="1">
        <v>10506.94</v>
      </c>
      <c r="BY6" s="1">
        <v>12557.36</v>
      </c>
      <c r="BZ6" s="1">
        <v>12546.76</v>
      </c>
      <c r="CA6" s="1">
        <v>11548.79</v>
      </c>
      <c r="CB6" s="1">
        <v>10506.94</v>
      </c>
      <c r="CC6" s="1">
        <v>0</v>
      </c>
      <c r="CD6" s="1">
        <v>0</v>
      </c>
      <c r="CE6" s="1">
        <v>0</v>
      </c>
      <c r="CF6" s="1">
        <v>0</v>
      </c>
      <c r="CG6" s="1">
        <v>0</v>
      </c>
      <c r="CH6" s="1">
        <v>0</v>
      </c>
      <c r="CI6" s="1">
        <v>0</v>
      </c>
      <c r="CJ6" s="1">
        <v>0</v>
      </c>
      <c r="CK6" s="1">
        <v>0</v>
      </c>
      <c r="CL6" s="1">
        <v>0</v>
      </c>
      <c r="CM6" s="1">
        <v>0</v>
      </c>
      <c r="CN6" s="1">
        <v>0</v>
      </c>
      <c r="CO6" s="1">
        <v>0</v>
      </c>
      <c r="CP6" s="1">
        <v>0</v>
      </c>
      <c r="CQ6" s="1">
        <v>0</v>
      </c>
      <c r="CR6" s="1">
        <v>0</v>
      </c>
      <c r="CS6" s="1">
        <v>12557.36</v>
      </c>
      <c r="CT6" s="1">
        <v>12546.76</v>
      </c>
      <c r="CU6" s="1">
        <v>11556.99</v>
      </c>
      <c r="CV6" s="1">
        <v>10506.94</v>
      </c>
      <c r="CW6" s="1">
        <v>12557.36</v>
      </c>
      <c r="CX6" s="1">
        <v>12546.76</v>
      </c>
      <c r="CY6" s="1">
        <v>11556.99</v>
      </c>
      <c r="CZ6" s="1">
        <v>10506.94</v>
      </c>
      <c r="DA6" s="1">
        <v>0</v>
      </c>
      <c r="DB6" s="1">
        <v>0</v>
      </c>
      <c r="DC6" s="1">
        <v>0</v>
      </c>
      <c r="DD6" s="1">
        <v>0</v>
      </c>
      <c r="DE6" s="1">
        <v>0</v>
      </c>
      <c r="DF6" s="1">
        <v>0</v>
      </c>
      <c r="DG6" s="1">
        <v>0</v>
      </c>
      <c r="DH6" s="1">
        <v>0</v>
      </c>
      <c r="DI6" s="1">
        <v>0</v>
      </c>
      <c r="DJ6" s="1">
        <v>0</v>
      </c>
      <c r="DK6" s="1">
        <v>0</v>
      </c>
      <c r="DL6" s="1">
        <v>0</v>
      </c>
      <c r="DM6" s="1">
        <v>13171.16</v>
      </c>
      <c r="DN6" s="1">
        <v>12915.85</v>
      </c>
      <c r="DO6" s="1">
        <v>11719.83</v>
      </c>
      <c r="DP6" s="1">
        <v>10687.28</v>
      </c>
      <c r="DQ6" s="1">
        <v>13171.16</v>
      </c>
      <c r="DR6" s="1">
        <v>12915.85</v>
      </c>
      <c r="DS6" s="1">
        <v>11719.83</v>
      </c>
      <c r="DT6" s="1">
        <v>10687.28</v>
      </c>
      <c r="DU6" s="1">
        <v>0</v>
      </c>
      <c r="DV6" s="1">
        <v>0</v>
      </c>
      <c r="DW6" s="1">
        <v>0</v>
      </c>
      <c r="DX6" s="1">
        <v>0</v>
      </c>
      <c r="DY6" s="1">
        <v>0</v>
      </c>
      <c r="DZ6" s="1">
        <v>0</v>
      </c>
      <c r="EA6" s="1">
        <v>0</v>
      </c>
      <c r="EB6" s="1">
        <v>0</v>
      </c>
      <c r="EC6" s="1">
        <v>0</v>
      </c>
      <c r="ED6" s="1">
        <v>0</v>
      </c>
      <c r="EE6" s="1">
        <v>0</v>
      </c>
      <c r="EF6" s="1">
        <v>0</v>
      </c>
      <c r="EG6" s="1">
        <v>0</v>
      </c>
      <c r="EH6" s="1">
        <v>0</v>
      </c>
      <c r="EI6" s="1">
        <v>0</v>
      </c>
      <c r="EJ6" s="1">
        <v>0</v>
      </c>
      <c r="EK6" s="1">
        <v>12557.36</v>
      </c>
      <c r="EL6" s="1">
        <v>12546.76</v>
      </c>
      <c r="EM6" s="1">
        <v>11549.61</v>
      </c>
      <c r="EN6" s="1">
        <v>10506.94</v>
      </c>
      <c r="EO6" s="1">
        <v>12557.36</v>
      </c>
      <c r="EP6" s="1">
        <v>12546.76</v>
      </c>
      <c r="EQ6" s="1">
        <v>11549.61</v>
      </c>
      <c r="ER6" s="1">
        <v>10506.94</v>
      </c>
      <c r="ES6" s="1">
        <v>0</v>
      </c>
      <c r="ET6" s="1">
        <v>0</v>
      </c>
      <c r="EU6" s="1">
        <v>0</v>
      </c>
      <c r="EV6" s="1">
        <v>0</v>
      </c>
      <c r="EW6" s="1">
        <v>0</v>
      </c>
      <c r="EX6" s="1">
        <v>0</v>
      </c>
      <c r="EY6" s="1">
        <v>0</v>
      </c>
      <c r="EZ6" s="1">
        <v>0</v>
      </c>
      <c r="FA6" s="1">
        <v>0</v>
      </c>
      <c r="FB6" s="1">
        <v>0</v>
      </c>
      <c r="FC6" s="1">
        <v>0</v>
      </c>
      <c r="FD6" s="1">
        <v>0</v>
      </c>
      <c r="FE6" s="1">
        <v>6.9700000000000006</v>
      </c>
      <c r="FF6" s="1">
        <v>5.56</v>
      </c>
      <c r="FG6" s="1">
        <v>7.589999999999999</v>
      </c>
      <c r="FH6" s="1">
        <v>4.3</v>
      </c>
      <c r="FI6" s="1">
        <v>6.9700000000000006</v>
      </c>
      <c r="FJ6" s="1">
        <v>5.56</v>
      </c>
      <c r="FK6" s="1">
        <v>7.589999999999999</v>
      </c>
      <c r="FL6" s="1">
        <v>4.3</v>
      </c>
      <c r="FM6" s="1">
        <v>0</v>
      </c>
      <c r="FN6" s="1">
        <v>0</v>
      </c>
      <c r="FO6" s="1">
        <v>0</v>
      </c>
      <c r="FP6" s="1">
        <v>0</v>
      </c>
      <c r="FQ6" s="1">
        <v>0</v>
      </c>
      <c r="FR6" s="1">
        <v>0</v>
      </c>
      <c r="FS6" s="1">
        <v>0</v>
      </c>
      <c r="FT6" s="1">
        <v>0</v>
      </c>
      <c r="FU6" s="1">
        <v>0</v>
      </c>
      <c r="FV6" s="1">
        <v>0</v>
      </c>
      <c r="FW6" s="1">
        <v>0</v>
      </c>
      <c r="FX6" s="1">
        <v>0</v>
      </c>
      <c r="FY6" s="1">
        <v>0</v>
      </c>
      <c r="FZ6" s="1">
        <v>0</v>
      </c>
      <c r="GA6" s="1">
        <v>0</v>
      </c>
      <c r="GB6" s="1">
        <v>0</v>
      </c>
      <c r="GC6" s="1">
        <v>14.4</v>
      </c>
      <c r="GD6" s="1">
        <v>70.376000000000005</v>
      </c>
      <c r="GE6" s="1">
        <v>91.28</v>
      </c>
      <c r="GF6" s="1">
        <v>36.700000000000003</v>
      </c>
      <c r="GG6" s="1">
        <v>14.4</v>
      </c>
      <c r="GH6" s="1">
        <v>70.376000000000005</v>
      </c>
      <c r="GI6" s="1">
        <v>91.28</v>
      </c>
      <c r="GJ6" s="1">
        <v>36.700000000000003</v>
      </c>
      <c r="GK6" s="1">
        <v>0</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613.79999999999995</v>
      </c>
      <c r="IP6" s="1">
        <v>574.83000000000004</v>
      </c>
      <c r="IQ6" s="1">
        <v>709.39</v>
      </c>
      <c r="IR6" s="1">
        <v>211.73</v>
      </c>
      <c r="IS6" s="1">
        <v>613.79999999999995</v>
      </c>
      <c r="IT6" s="1">
        <v>574.83000000000004</v>
      </c>
      <c r="IU6" s="1">
        <v>709.39</v>
      </c>
      <c r="IV6" s="1">
        <v>211.73</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0</v>
      </c>
      <c r="JO6" s="1">
        <v>0</v>
      </c>
      <c r="JP6" s="1">
        <v>0</v>
      </c>
      <c r="JQ6" s="9"/>
      <c r="JR6" s="1">
        <f t="shared" si="0"/>
        <v>4671.4346999999989</v>
      </c>
      <c r="JS6" s="1">
        <f t="shared" si="1"/>
        <v>4670.4869999999983</v>
      </c>
      <c r="JT6" s="1">
        <f t="shared" si="2"/>
        <v>4536.7290000000012</v>
      </c>
      <c r="JU6" s="1">
        <f t="shared" si="3"/>
        <v>4623.6041999999979</v>
      </c>
      <c r="JV6" s="1">
        <f t="shared" si="4"/>
        <v>865.08049999999969</v>
      </c>
      <c r="JW6" s="1">
        <f t="shared" si="5"/>
        <v>864.90499999999963</v>
      </c>
      <c r="JX6" s="1">
        <f t="shared" si="6"/>
        <v>840.13500000000022</v>
      </c>
      <c r="JY6" s="1">
        <f t="shared" si="7"/>
        <v>856.22299999999962</v>
      </c>
    </row>
    <row r="7" spans="1:285" x14ac:dyDescent="0.35">
      <c r="A7" s="2" t="s">
        <v>14</v>
      </c>
      <c r="B7" s="1">
        <v>219227</v>
      </c>
      <c r="C7" s="1">
        <v>218714</v>
      </c>
      <c r="D7" s="1">
        <v>220392</v>
      </c>
      <c r="E7" s="1">
        <v>226301</v>
      </c>
      <c r="F7" s="1">
        <v>51468.146000000001</v>
      </c>
      <c r="G7" s="1">
        <v>54786.53</v>
      </c>
      <c r="H7" s="1">
        <v>54807.429999999993</v>
      </c>
      <c r="I7" s="1">
        <v>54516.679999999993</v>
      </c>
      <c r="J7" s="1">
        <f t="shared" si="8"/>
        <v>22772.05</v>
      </c>
      <c r="K7" s="1">
        <f t="shared" si="9"/>
        <v>24190.99</v>
      </c>
      <c r="L7" s="1">
        <f t="shared" si="10"/>
        <v>23942.799999999999</v>
      </c>
      <c r="M7" s="1">
        <f t="shared" si="11"/>
        <v>22378.720000000001</v>
      </c>
      <c r="N7" s="1">
        <f t="shared" si="12"/>
        <v>28696.096000000001</v>
      </c>
      <c r="O7" s="1">
        <f t="shared" si="13"/>
        <v>30595.539999999997</v>
      </c>
      <c r="P7" s="1">
        <f t="shared" si="14"/>
        <v>30864.629999999994</v>
      </c>
      <c r="Q7" s="1">
        <f t="shared" si="15"/>
        <v>32137.959999999992</v>
      </c>
      <c r="R7" s="1">
        <v>0</v>
      </c>
      <c r="S7" s="1">
        <v>0</v>
      </c>
      <c r="T7" s="1">
        <v>0</v>
      </c>
      <c r="U7" s="1">
        <v>0</v>
      </c>
      <c r="V7" s="1">
        <v>0</v>
      </c>
      <c r="W7" s="1">
        <v>0</v>
      </c>
      <c r="X7" s="1">
        <v>0</v>
      </c>
      <c r="Y7" s="1">
        <v>0</v>
      </c>
      <c r="Z7" s="1">
        <v>0</v>
      </c>
      <c r="AA7" s="1">
        <v>0</v>
      </c>
      <c r="AB7" s="1">
        <v>0</v>
      </c>
      <c r="AC7" s="1">
        <v>0</v>
      </c>
      <c r="AD7" s="1">
        <v>0</v>
      </c>
      <c r="AE7" s="1">
        <v>0</v>
      </c>
      <c r="AF7" s="1">
        <v>0</v>
      </c>
      <c r="AG7" s="1">
        <v>0</v>
      </c>
      <c r="AH7" s="1">
        <v>0</v>
      </c>
      <c r="AI7" s="1">
        <v>0</v>
      </c>
      <c r="AJ7" s="1">
        <v>0</v>
      </c>
      <c r="AK7" s="1">
        <v>0</v>
      </c>
      <c r="AL7" s="1">
        <v>0</v>
      </c>
      <c r="AM7" s="1">
        <v>0</v>
      </c>
      <c r="AN7" s="1">
        <v>0</v>
      </c>
      <c r="AO7" s="1">
        <v>0</v>
      </c>
      <c r="AP7" s="1">
        <v>3062.7</v>
      </c>
      <c r="AQ7" s="1">
        <v>3608.5299999999997</v>
      </c>
      <c r="AR7" s="1">
        <v>2823.2499999999995</v>
      </c>
      <c r="AS7" s="1">
        <v>3113.54</v>
      </c>
      <c r="AT7" s="1">
        <v>0</v>
      </c>
      <c r="AU7" s="1">
        <v>3062.7</v>
      </c>
      <c r="AV7" s="1">
        <v>0</v>
      </c>
      <c r="AW7" s="1">
        <v>0</v>
      </c>
      <c r="AX7" s="1">
        <v>0</v>
      </c>
      <c r="AY7" s="1">
        <v>3608.5299999999997</v>
      </c>
      <c r="AZ7" s="1">
        <v>0</v>
      </c>
      <c r="BA7" s="1">
        <v>0</v>
      </c>
      <c r="BB7" s="1">
        <v>0</v>
      </c>
      <c r="BC7" s="1">
        <v>2823.2499999999995</v>
      </c>
      <c r="BD7" s="1">
        <v>0</v>
      </c>
      <c r="BE7" s="1">
        <v>0</v>
      </c>
      <c r="BF7" s="1">
        <v>3113.54</v>
      </c>
      <c r="BG7" s="1">
        <v>0</v>
      </c>
      <c r="BH7" s="1">
        <v>0</v>
      </c>
      <c r="BI7" s="1">
        <v>0</v>
      </c>
      <c r="BJ7" s="1">
        <v>0</v>
      </c>
      <c r="BK7" s="1">
        <v>0</v>
      </c>
      <c r="BL7" s="1">
        <v>0</v>
      </c>
      <c r="BM7" s="1">
        <v>0</v>
      </c>
      <c r="BN7" s="1">
        <v>0</v>
      </c>
      <c r="BO7" s="1">
        <v>0</v>
      </c>
      <c r="BP7" s="1">
        <v>0</v>
      </c>
      <c r="BQ7" s="1">
        <v>0</v>
      </c>
      <c r="BR7" s="1">
        <v>0</v>
      </c>
      <c r="BS7" s="1">
        <v>0</v>
      </c>
      <c r="BT7" s="1">
        <v>0</v>
      </c>
      <c r="BU7" s="1">
        <v>5761.3</v>
      </c>
      <c r="BV7" s="1">
        <v>5414.58</v>
      </c>
      <c r="BW7" s="1">
        <v>5922.22</v>
      </c>
      <c r="BX7" s="1">
        <v>5440.57</v>
      </c>
      <c r="BY7" s="1">
        <v>5761.3</v>
      </c>
      <c r="BZ7" s="1">
        <v>5414.58</v>
      </c>
      <c r="CA7" s="1">
        <v>5922.22</v>
      </c>
      <c r="CB7" s="1">
        <v>5440.57</v>
      </c>
      <c r="CC7" s="1">
        <v>0</v>
      </c>
      <c r="CD7" s="1">
        <v>0</v>
      </c>
      <c r="CE7" s="1">
        <v>0</v>
      </c>
      <c r="CF7" s="1">
        <v>0</v>
      </c>
      <c r="CG7" s="1">
        <v>0</v>
      </c>
      <c r="CH7" s="1">
        <v>0</v>
      </c>
      <c r="CI7" s="1">
        <v>0</v>
      </c>
      <c r="CJ7" s="1">
        <v>0</v>
      </c>
      <c r="CK7" s="1">
        <v>0</v>
      </c>
      <c r="CL7" s="1">
        <v>0</v>
      </c>
      <c r="CM7" s="1">
        <v>0</v>
      </c>
      <c r="CN7" s="1">
        <v>0</v>
      </c>
      <c r="CO7" s="1">
        <v>0</v>
      </c>
      <c r="CP7" s="1">
        <v>0</v>
      </c>
      <c r="CQ7" s="1">
        <v>0</v>
      </c>
      <c r="CR7" s="1">
        <v>0</v>
      </c>
      <c r="CS7" s="1">
        <v>2077.56</v>
      </c>
      <c r="CT7" s="1">
        <v>2119.98</v>
      </c>
      <c r="CU7" s="1">
        <v>2030.16</v>
      </c>
      <c r="CV7" s="1">
        <v>2123.27</v>
      </c>
      <c r="CW7" s="1">
        <v>2077.56</v>
      </c>
      <c r="CX7" s="1">
        <v>2119.98</v>
      </c>
      <c r="CY7" s="1">
        <v>2030.16</v>
      </c>
      <c r="CZ7" s="1">
        <v>2123.27</v>
      </c>
      <c r="DA7" s="1">
        <v>0</v>
      </c>
      <c r="DB7" s="1">
        <v>0</v>
      </c>
      <c r="DC7" s="1">
        <v>0</v>
      </c>
      <c r="DD7" s="1">
        <v>0</v>
      </c>
      <c r="DE7" s="1">
        <v>0</v>
      </c>
      <c r="DF7" s="1">
        <v>0</v>
      </c>
      <c r="DG7" s="1">
        <v>0</v>
      </c>
      <c r="DH7" s="1">
        <v>0</v>
      </c>
      <c r="DI7" s="1">
        <v>0</v>
      </c>
      <c r="DJ7" s="1">
        <v>0</v>
      </c>
      <c r="DK7" s="1">
        <v>0</v>
      </c>
      <c r="DL7" s="1">
        <v>0</v>
      </c>
      <c r="DM7" s="1">
        <v>1316.61</v>
      </c>
      <c r="DN7" s="1">
        <v>585.26</v>
      </c>
      <c r="DO7" s="1">
        <v>731.58</v>
      </c>
      <c r="DP7" s="1">
        <v>566.85</v>
      </c>
      <c r="DQ7" s="1">
        <v>1316.61</v>
      </c>
      <c r="DR7" s="1">
        <v>585.26</v>
      </c>
      <c r="DS7" s="1">
        <v>731.58</v>
      </c>
      <c r="DT7" s="1">
        <v>566.85</v>
      </c>
      <c r="DU7" s="1">
        <v>0</v>
      </c>
      <c r="DV7" s="1">
        <v>0</v>
      </c>
      <c r="DW7" s="1">
        <v>0</v>
      </c>
      <c r="DX7" s="1">
        <v>0</v>
      </c>
      <c r="DY7" s="1">
        <v>0</v>
      </c>
      <c r="DZ7" s="1">
        <v>0</v>
      </c>
      <c r="EA7" s="1">
        <v>0</v>
      </c>
      <c r="EB7" s="1">
        <v>0</v>
      </c>
      <c r="EC7" s="1">
        <v>0</v>
      </c>
      <c r="ED7" s="1">
        <v>0</v>
      </c>
      <c r="EE7" s="1">
        <v>0</v>
      </c>
      <c r="EF7" s="1">
        <v>0</v>
      </c>
      <c r="EG7" s="1">
        <v>0</v>
      </c>
      <c r="EH7" s="1">
        <v>0</v>
      </c>
      <c r="EI7" s="1">
        <v>0</v>
      </c>
      <c r="EJ7" s="1">
        <v>0</v>
      </c>
      <c r="EK7" s="1">
        <v>2348.23</v>
      </c>
      <c r="EL7" s="1">
        <v>2103.04</v>
      </c>
      <c r="EM7" s="1">
        <v>2903.08</v>
      </c>
      <c r="EN7" s="1">
        <v>2331.34</v>
      </c>
      <c r="EO7" s="1">
        <v>2337.4899999999998</v>
      </c>
      <c r="EP7" s="1">
        <v>2093.1</v>
      </c>
      <c r="EQ7" s="1">
        <v>2895.17</v>
      </c>
      <c r="ER7" s="1">
        <v>2322.86</v>
      </c>
      <c r="ES7" s="1">
        <v>10.74</v>
      </c>
      <c r="ET7" s="1">
        <v>9.94</v>
      </c>
      <c r="EU7" s="1">
        <v>7.91</v>
      </c>
      <c r="EV7" s="1">
        <v>8.48</v>
      </c>
      <c r="EW7" s="1">
        <v>0</v>
      </c>
      <c r="EX7" s="1">
        <v>0</v>
      </c>
      <c r="EY7" s="1">
        <v>0</v>
      </c>
      <c r="EZ7" s="1">
        <v>0</v>
      </c>
      <c r="FA7" s="1">
        <v>0</v>
      </c>
      <c r="FB7" s="1">
        <v>0</v>
      </c>
      <c r="FC7" s="1">
        <v>0</v>
      </c>
      <c r="FD7" s="1">
        <v>0</v>
      </c>
      <c r="FE7" s="1">
        <v>139.06</v>
      </c>
      <c r="FF7" s="1">
        <v>155.69999999999999</v>
      </c>
      <c r="FG7" s="1">
        <v>146.12</v>
      </c>
      <c r="FH7" s="1">
        <v>150.38</v>
      </c>
      <c r="FI7" s="1">
        <v>0</v>
      </c>
      <c r="FJ7" s="1">
        <v>0</v>
      </c>
      <c r="FK7" s="1">
        <v>0</v>
      </c>
      <c r="FL7" s="1">
        <v>0</v>
      </c>
      <c r="FM7" s="1">
        <v>139.06</v>
      </c>
      <c r="FN7" s="1">
        <v>155.69999999999999</v>
      </c>
      <c r="FO7" s="1">
        <v>146.12</v>
      </c>
      <c r="FP7" s="1">
        <v>150.38</v>
      </c>
      <c r="FQ7" s="1">
        <v>0</v>
      </c>
      <c r="FR7" s="1">
        <v>0</v>
      </c>
      <c r="FS7" s="1">
        <v>0</v>
      </c>
      <c r="FT7" s="1">
        <v>0</v>
      </c>
      <c r="FU7" s="1">
        <v>0</v>
      </c>
      <c r="FV7" s="1">
        <v>0</v>
      </c>
      <c r="FW7" s="1">
        <v>0</v>
      </c>
      <c r="FX7" s="1">
        <v>0</v>
      </c>
      <c r="FY7" s="1">
        <v>0</v>
      </c>
      <c r="FZ7" s="1">
        <v>0</v>
      </c>
      <c r="GA7" s="1">
        <v>0</v>
      </c>
      <c r="GB7" s="1">
        <v>0</v>
      </c>
      <c r="GC7" s="1">
        <v>2732.82</v>
      </c>
      <c r="GD7" s="1">
        <v>2584.4499999999998</v>
      </c>
      <c r="GE7" s="1">
        <v>2330.5100000000002</v>
      </c>
      <c r="GF7" s="1">
        <v>2488.4299999999998</v>
      </c>
      <c r="GG7" s="1">
        <v>2732.82</v>
      </c>
      <c r="GH7" s="1">
        <v>2584.4499999999998</v>
      </c>
      <c r="GI7" s="1">
        <v>2330.5100000000002</v>
      </c>
      <c r="GJ7" s="1">
        <v>2488.4299999999998</v>
      </c>
      <c r="GK7" s="1">
        <v>0</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3501.61</v>
      </c>
      <c r="HF7" s="1">
        <v>3833.51</v>
      </c>
      <c r="HG7" s="1">
        <v>3276.09</v>
      </c>
      <c r="HH7" s="1">
        <v>2972</v>
      </c>
      <c r="HI7" s="1">
        <v>3501.61</v>
      </c>
      <c r="HJ7" s="1">
        <v>3833.51</v>
      </c>
      <c r="HK7" s="1">
        <v>3276.09</v>
      </c>
      <c r="HL7" s="1">
        <v>2972</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1832.16</v>
      </c>
      <c r="IP7" s="1">
        <v>3785.94</v>
      </c>
      <c r="IQ7" s="1">
        <v>3779.79</v>
      </c>
      <c r="IR7" s="1">
        <v>3192.34</v>
      </c>
      <c r="IS7" s="1">
        <v>1832.16</v>
      </c>
      <c r="IT7" s="1">
        <v>3785.94</v>
      </c>
      <c r="IU7" s="1">
        <v>3779.79</v>
      </c>
      <c r="IV7" s="1">
        <v>3192.34</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0</v>
      </c>
      <c r="JO7" s="1">
        <v>0</v>
      </c>
      <c r="JP7" s="1">
        <v>0</v>
      </c>
      <c r="JQ7" s="9"/>
      <c r="JR7" s="1">
        <f t="shared" si="0"/>
        <v>7747.945920000001</v>
      </c>
      <c r="JS7" s="1">
        <f t="shared" si="1"/>
        <v>8260.7957999999999</v>
      </c>
      <c r="JT7" s="1">
        <f t="shared" si="2"/>
        <v>8333.4500999999982</v>
      </c>
      <c r="JU7" s="1">
        <f t="shared" si="3"/>
        <v>8677.2491999999984</v>
      </c>
      <c r="JV7" s="1">
        <f t="shared" si="4"/>
        <v>1434.8048000000001</v>
      </c>
      <c r="JW7" s="1">
        <f t="shared" si="5"/>
        <v>1529.777</v>
      </c>
      <c r="JX7" s="1">
        <f t="shared" si="6"/>
        <v>1543.2314999999999</v>
      </c>
      <c r="JY7" s="1">
        <f t="shared" si="7"/>
        <v>1606.8979999999997</v>
      </c>
    </row>
    <row r="8" spans="1:285" x14ac:dyDescent="0.35">
      <c r="A8" s="2" t="s">
        <v>15</v>
      </c>
      <c r="B8" s="1">
        <v>391046</v>
      </c>
      <c r="C8" s="1">
        <v>388955</v>
      </c>
      <c r="D8" s="1">
        <v>390371</v>
      </c>
      <c r="E8" s="1">
        <v>398191</v>
      </c>
      <c r="F8" s="1">
        <v>98222.11</v>
      </c>
      <c r="G8" s="1">
        <v>102141.02</v>
      </c>
      <c r="H8" s="1">
        <v>112192.90300000001</v>
      </c>
      <c r="I8" s="1">
        <v>106775.442</v>
      </c>
      <c r="J8" s="1">
        <f t="shared" si="8"/>
        <v>57045.659999999996</v>
      </c>
      <c r="K8" s="1">
        <f t="shared" si="9"/>
        <v>63475.66</v>
      </c>
      <c r="L8" s="1">
        <f t="shared" si="10"/>
        <v>70140.133000000016</v>
      </c>
      <c r="M8" s="1">
        <f t="shared" si="11"/>
        <v>65655.001999999993</v>
      </c>
      <c r="N8" s="1">
        <f t="shared" si="12"/>
        <v>41176.450000000004</v>
      </c>
      <c r="O8" s="1">
        <f t="shared" si="13"/>
        <v>38665.360000000001</v>
      </c>
      <c r="P8" s="1">
        <f t="shared" si="14"/>
        <v>42052.76999999999</v>
      </c>
      <c r="Q8" s="1">
        <f t="shared" si="15"/>
        <v>41120.44</v>
      </c>
      <c r="R8" s="1">
        <v>0</v>
      </c>
      <c r="S8" s="1">
        <v>0</v>
      </c>
      <c r="T8" s="1">
        <v>0</v>
      </c>
      <c r="U8" s="1">
        <v>0</v>
      </c>
      <c r="V8" s="1">
        <v>0</v>
      </c>
      <c r="W8" s="1">
        <v>0</v>
      </c>
      <c r="X8" s="1">
        <v>0</v>
      </c>
      <c r="Y8" s="1">
        <v>0</v>
      </c>
      <c r="Z8" s="1">
        <v>0</v>
      </c>
      <c r="AA8" s="1">
        <v>0</v>
      </c>
      <c r="AB8" s="1">
        <v>0</v>
      </c>
      <c r="AC8" s="1">
        <v>0</v>
      </c>
      <c r="AD8" s="1">
        <v>0</v>
      </c>
      <c r="AE8" s="1">
        <v>0</v>
      </c>
      <c r="AF8" s="1">
        <v>0</v>
      </c>
      <c r="AG8" s="1">
        <v>0</v>
      </c>
      <c r="AH8" s="1">
        <v>0</v>
      </c>
      <c r="AI8" s="1">
        <v>0</v>
      </c>
      <c r="AJ8" s="1">
        <v>0</v>
      </c>
      <c r="AK8" s="1">
        <v>0</v>
      </c>
      <c r="AL8" s="1">
        <v>0</v>
      </c>
      <c r="AM8" s="1">
        <v>0</v>
      </c>
      <c r="AN8" s="1">
        <v>0</v>
      </c>
      <c r="AO8" s="1">
        <v>0</v>
      </c>
      <c r="AP8" s="1">
        <v>12700.519999999999</v>
      </c>
      <c r="AQ8" s="1">
        <v>13961.4</v>
      </c>
      <c r="AR8" s="1">
        <v>11998.619999999999</v>
      </c>
      <c r="AS8" s="1">
        <v>13771.35</v>
      </c>
      <c r="AT8" s="1">
        <v>0</v>
      </c>
      <c r="AU8" s="1">
        <v>12700.519999999999</v>
      </c>
      <c r="AV8" s="1">
        <v>0</v>
      </c>
      <c r="AW8" s="1">
        <v>0</v>
      </c>
      <c r="AX8" s="1">
        <v>0</v>
      </c>
      <c r="AY8" s="1">
        <v>13961.4</v>
      </c>
      <c r="AZ8" s="1">
        <v>0</v>
      </c>
      <c r="BA8" s="1">
        <v>0</v>
      </c>
      <c r="BB8" s="1">
        <v>0</v>
      </c>
      <c r="BC8" s="1">
        <v>11998.619999999999</v>
      </c>
      <c r="BD8" s="1">
        <v>0</v>
      </c>
      <c r="BE8" s="1">
        <v>0</v>
      </c>
      <c r="BF8" s="1">
        <v>13771.35</v>
      </c>
      <c r="BG8" s="1">
        <v>0</v>
      </c>
      <c r="BH8" s="1">
        <v>0</v>
      </c>
      <c r="BI8" s="1">
        <v>0</v>
      </c>
      <c r="BJ8" s="1">
        <v>0</v>
      </c>
      <c r="BK8" s="1">
        <v>0</v>
      </c>
      <c r="BL8" s="1">
        <v>0</v>
      </c>
      <c r="BM8" s="1">
        <v>0</v>
      </c>
      <c r="BN8" s="1">
        <v>0</v>
      </c>
      <c r="BO8" s="1">
        <v>0</v>
      </c>
      <c r="BP8" s="1">
        <v>0</v>
      </c>
      <c r="BQ8" s="1">
        <v>0</v>
      </c>
      <c r="BR8" s="1">
        <v>0</v>
      </c>
      <c r="BS8" s="1">
        <v>0</v>
      </c>
      <c r="BT8" s="1">
        <v>0</v>
      </c>
      <c r="BU8" s="1">
        <v>21151.34</v>
      </c>
      <c r="BV8" s="1">
        <v>23924.68</v>
      </c>
      <c r="BW8" s="1">
        <v>33861.51</v>
      </c>
      <c r="BX8" s="1">
        <v>31105.71</v>
      </c>
      <c r="BY8" s="1">
        <v>21060.87</v>
      </c>
      <c r="BZ8" s="1">
        <v>23774.87</v>
      </c>
      <c r="CA8" s="1">
        <v>33431.089999999997</v>
      </c>
      <c r="CB8" s="1">
        <v>30610.09</v>
      </c>
      <c r="CC8" s="1">
        <v>90.47</v>
      </c>
      <c r="CD8" s="1">
        <v>149.81</v>
      </c>
      <c r="CE8" s="1">
        <v>430.42</v>
      </c>
      <c r="CF8" s="1">
        <v>495.61999999999989</v>
      </c>
      <c r="CG8" s="1">
        <v>0</v>
      </c>
      <c r="CH8" s="1">
        <v>0</v>
      </c>
      <c r="CI8" s="1">
        <v>0</v>
      </c>
      <c r="CJ8" s="1">
        <v>0</v>
      </c>
      <c r="CK8" s="1">
        <v>0</v>
      </c>
      <c r="CL8" s="1">
        <v>0</v>
      </c>
      <c r="CM8" s="1">
        <v>0</v>
      </c>
      <c r="CN8" s="1">
        <v>0</v>
      </c>
      <c r="CO8" s="1">
        <v>0</v>
      </c>
      <c r="CP8" s="1">
        <v>0</v>
      </c>
      <c r="CQ8" s="1">
        <v>0</v>
      </c>
      <c r="CR8" s="1">
        <v>0</v>
      </c>
      <c r="CS8" s="1">
        <v>6625.73</v>
      </c>
      <c r="CT8" s="1">
        <v>7244.51</v>
      </c>
      <c r="CU8" s="1">
        <v>5299.2199999999993</v>
      </c>
      <c r="CV8" s="1">
        <v>3674.75</v>
      </c>
      <c r="CW8" s="1">
        <v>6625.73</v>
      </c>
      <c r="CX8" s="1">
        <v>7244.51</v>
      </c>
      <c r="CY8" s="1">
        <v>5299.2199999999993</v>
      </c>
      <c r="CZ8" s="1">
        <v>3674.75</v>
      </c>
      <c r="DA8" s="1">
        <v>0</v>
      </c>
      <c r="DB8" s="1">
        <v>0</v>
      </c>
      <c r="DC8" s="1">
        <v>0</v>
      </c>
      <c r="DD8" s="1">
        <v>0</v>
      </c>
      <c r="DE8" s="1">
        <v>0</v>
      </c>
      <c r="DF8" s="1">
        <v>0</v>
      </c>
      <c r="DG8" s="1">
        <v>0</v>
      </c>
      <c r="DH8" s="1">
        <v>0</v>
      </c>
      <c r="DI8" s="1">
        <v>0</v>
      </c>
      <c r="DJ8" s="1">
        <v>0</v>
      </c>
      <c r="DK8" s="1">
        <v>0</v>
      </c>
      <c r="DL8" s="1">
        <v>0</v>
      </c>
      <c r="DM8" s="1">
        <v>10408.02</v>
      </c>
      <c r="DN8" s="1">
        <v>9689.4700000000012</v>
      </c>
      <c r="DO8" s="1">
        <v>9749.0399999999991</v>
      </c>
      <c r="DP8" s="1">
        <v>7324.56</v>
      </c>
      <c r="DQ8" s="1">
        <v>10408.02</v>
      </c>
      <c r="DR8" s="1">
        <v>9689.4700000000012</v>
      </c>
      <c r="DS8" s="1">
        <v>9749.0399999999991</v>
      </c>
      <c r="DT8" s="1">
        <v>7324.56</v>
      </c>
      <c r="DU8" s="1">
        <v>0</v>
      </c>
      <c r="DV8" s="1">
        <v>0</v>
      </c>
      <c r="DW8" s="1">
        <v>0</v>
      </c>
      <c r="DX8" s="1">
        <v>0</v>
      </c>
      <c r="DY8" s="1">
        <v>0</v>
      </c>
      <c r="DZ8" s="1">
        <v>0</v>
      </c>
      <c r="EA8" s="1">
        <v>0</v>
      </c>
      <c r="EB8" s="1">
        <v>0</v>
      </c>
      <c r="EC8" s="1">
        <v>0</v>
      </c>
      <c r="ED8" s="1">
        <v>0</v>
      </c>
      <c r="EE8" s="1">
        <v>0</v>
      </c>
      <c r="EF8" s="1">
        <v>0</v>
      </c>
      <c r="EG8" s="1">
        <v>0</v>
      </c>
      <c r="EH8" s="1">
        <v>0</v>
      </c>
      <c r="EI8" s="1">
        <v>0</v>
      </c>
      <c r="EJ8" s="1">
        <v>0</v>
      </c>
      <c r="EK8" s="1">
        <v>2356.5700000000002</v>
      </c>
      <c r="EL8" s="1">
        <v>1901.36</v>
      </c>
      <c r="EM8" s="1">
        <v>2445.6799999999998</v>
      </c>
      <c r="EN8" s="1">
        <v>1531.68</v>
      </c>
      <c r="EO8" s="1">
        <v>2343.6999999999998</v>
      </c>
      <c r="EP8" s="1">
        <v>1877.88</v>
      </c>
      <c r="EQ8" s="1">
        <v>2415.86</v>
      </c>
      <c r="ER8" s="1">
        <v>1508.5</v>
      </c>
      <c r="ES8" s="1">
        <v>12.87</v>
      </c>
      <c r="ET8" s="1">
        <v>23.48</v>
      </c>
      <c r="EU8" s="1">
        <v>29.82</v>
      </c>
      <c r="EV8" s="1">
        <v>23.18</v>
      </c>
      <c r="EW8" s="1">
        <v>0</v>
      </c>
      <c r="EX8" s="1">
        <v>0</v>
      </c>
      <c r="EY8" s="1">
        <v>0</v>
      </c>
      <c r="EZ8" s="1">
        <v>0</v>
      </c>
      <c r="FA8" s="1">
        <v>0</v>
      </c>
      <c r="FB8" s="1">
        <v>0</v>
      </c>
      <c r="FC8" s="1">
        <v>0</v>
      </c>
      <c r="FD8" s="1">
        <v>0</v>
      </c>
      <c r="FE8" s="1">
        <v>504.42</v>
      </c>
      <c r="FF8" s="1">
        <v>669.17000000000007</v>
      </c>
      <c r="FG8" s="1">
        <v>651.15300000000002</v>
      </c>
      <c r="FH8" s="1">
        <v>703.05200000000002</v>
      </c>
      <c r="FI8" s="1">
        <v>283.01</v>
      </c>
      <c r="FJ8" s="1">
        <v>328.6</v>
      </c>
      <c r="FK8" s="1">
        <v>131.51300000000001</v>
      </c>
      <c r="FL8" s="1">
        <v>109.502</v>
      </c>
      <c r="FM8" s="1">
        <v>221.41</v>
      </c>
      <c r="FN8" s="1">
        <v>340.57000000000011</v>
      </c>
      <c r="FO8" s="1">
        <v>519.64</v>
      </c>
      <c r="FP8" s="1">
        <v>593.54999999999995</v>
      </c>
      <c r="FQ8" s="1">
        <v>0</v>
      </c>
      <c r="FR8" s="1">
        <v>0</v>
      </c>
      <c r="FS8" s="1">
        <v>0</v>
      </c>
      <c r="FT8" s="1">
        <v>0</v>
      </c>
      <c r="FU8" s="1">
        <v>0</v>
      </c>
      <c r="FV8" s="1">
        <v>0</v>
      </c>
      <c r="FW8" s="1">
        <v>0</v>
      </c>
      <c r="FX8" s="1">
        <v>0</v>
      </c>
      <c r="FY8" s="1">
        <v>0</v>
      </c>
      <c r="FZ8" s="1">
        <v>0</v>
      </c>
      <c r="GA8" s="1">
        <v>0</v>
      </c>
      <c r="GB8" s="1">
        <v>0</v>
      </c>
      <c r="GC8" s="1">
        <v>1047.53</v>
      </c>
      <c r="GD8" s="1">
        <v>1293.71</v>
      </c>
      <c r="GE8" s="1">
        <v>884.15</v>
      </c>
      <c r="GF8" s="1">
        <v>1169.76</v>
      </c>
      <c r="GG8" s="1">
        <v>1047.53</v>
      </c>
      <c r="GH8" s="1">
        <v>1293.71</v>
      </c>
      <c r="GI8" s="1">
        <v>884.15</v>
      </c>
      <c r="GJ8" s="1">
        <v>1169.76</v>
      </c>
      <c r="GK8" s="1">
        <v>0</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2239.6799999999998</v>
      </c>
      <c r="HF8" s="1">
        <v>4309.99</v>
      </c>
      <c r="HG8" s="1">
        <v>5241.24</v>
      </c>
      <c r="HH8" s="1">
        <v>6092.96</v>
      </c>
      <c r="HI8" s="1">
        <v>2239.6799999999998</v>
      </c>
      <c r="HJ8" s="1">
        <v>3622.8</v>
      </c>
      <c r="HK8" s="1">
        <v>3037.49</v>
      </c>
      <c r="HL8" s="1">
        <v>5870.26</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687.19</v>
      </c>
      <c r="IE8" s="1">
        <v>2203.75</v>
      </c>
      <c r="IF8" s="1">
        <v>222.7</v>
      </c>
      <c r="IG8" s="1">
        <v>0</v>
      </c>
      <c r="IH8" s="1">
        <v>0</v>
      </c>
      <c r="II8" s="1">
        <v>0</v>
      </c>
      <c r="IJ8" s="1">
        <v>0</v>
      </c>
      <c r="IK8" s="1">
        <v>0</v>
      </c>
      <c r="IL8" s="1">
        <v>0</v>
      </c>
      <c r="IM8" s="1">
        <v>0</v>
      </c>
      <c r="IN8" s="1">
        <v>0</v>
      </c>
      <c r="IO8" s="1">
        <v>11.85</v>
      </c>
      <c r="IP8" s="1">
        <v>481.36999999999989</v>
      </c>
      <c r="IQ8" s="1">
        <v>9.52</v>
      </c>
      <c r="IR8" s="1">
        <v>281.17999999999989</v>
      </c>
      <c r="IS8" s="1">
        <v>11.85</v>
      </c>
      <c r="IT8" s="1">
        <v>481.36999999999989</v>
      </c>
      <c r="IU8" s="1">
        <v>9.52</v>
      </c>
      <c r="IV8" s="1">
        <v>280.48</v>
      </c>
      <c r="IW8" s="1">
        <v>0</v>
      </c>
      <c r="IX8" s="1">
        <v>0</v>
      </c>
      <c r="IY8" s="1">
        <v>0</v>
      </c>
      <c r="IZ8" s="1">
        <v>0.7</v>
      </c>
      <c r="JA8" s="1">
        <v>0</v>
      </c>
      <c r="JB8" s="1">
        <v>0</v>
      </c>
      <c r="JC8" s="1">
        <v>0</v>
      </c>
      <c r="JD8" s="1">
        <v>0</v>
      </c>
      <c r="JE8" s="1">
        <v>0</v>
      </c>
      <c r="JF8" s="1">
        <v>0</v>
      </c>
      <c r="JG8" s="1">
        <v>0</v>
      </c>
      <c r="JH8" s="1">
        <v>0</v>
      </c>
      <c r="JI8" s="1">
        <v>0</v>
      </c>
      <c r="JJ8" s="1">
        <v>0</v>
      </c>
      <c r="JK8" s="1">
        <v>0</v>
      </c>
      <c r="JL8" s="1">
        <v>0</v>
      </c>
      <c r="JM8" s="1">
        <v>0</v>
      </c>
      <c r="JN8" s="1">
        <v>0</v>
      </c>
      <c r="JO8" s="1">
        <v>0</v>
      </c>
      <c r="JP8" s="1">
        <v>0</v>
      </c>
      <c r="JQ8" s="9"/>
      <c r="JR8" s="1">
        <f t="shared" si="0"/>
        <v>11117.641500000002</v>
      </c>
      <c r="JS8" s="1">
        <f t="shared" si="1"/>
        <v>10439.647200000001</v>
      </c>
      <c r="JT8" s="1">
        <f t="shared" si="2"/>
        <v>11354.247899999998</v>
      </c>
      <c r="JU8" s="1">
        <f t="shared" si="3"/>
        <v>11102.518800000002</v>
      </c>
      <c r="JV8" s="1">
        <f t="shared" si="4"/>
        <v>2058.8225000000002</v>
      </c>
      <c r="JW8" s="1">
        <f t="shared" si="5"/>
        <v>1933.268</v>
      </c>
      <c r="JX8" s="1">
        <f t="shared" si="6"/>
        <v>2102.6384999999996</v>
      </c>
      <c r="JY8" s="1">
        <f t="shared" si="7"/>
        <v>2056.0220000000004</v>
      </c>
    </row>
    <row r="9" spans="1:285" x14ac:dyDescent="0.35">
      <c r="A9" s="2" t="s">
        <v>16</v>
      </c>
      <c r="B9" s="1">
        <v>244201</v>
      </c>
      <c r="C9" s="1">
        <v>244887</v>
      </c>
      <c r="D9" s="1">
        <v>246737</v>
      </c>
      <c r="E9" s="1">
        <v>249144</v>
      </c>
      <c r="F9" s="1">
        <v>258029.48300000001</v>
      </c>
      <c r="G9" s="1">
        <v>269671.26400000002</v>
      </c>
      <c r="H9" s="1">
        <v>251802.38500000001</v>
      </c>
      <c r="I9" s="1">
        <v>249994.40100000001</v>
      </c>
      <c r="J9" s="1">
        <f t="shared" si="8"/>
        <v>52529.359999999993</v>
      </c>
      <c r="K9" s="1">
        <f t="shared" si="9"/>
        <v>58741.307000000001</v>
      </c>
      <c r="L9" s="1">
        <f t="shared" si="10"/>
        <v>49604.596000000005</v>
      </c>
      <c r="M9" s="1">
        <f t="shared" si="11"/>
        <v>50348.165000000001</v>
      </c>
      <c r="N9" s="1">
        <f>F9-J9</f>
        <v>205500.12300000002</v>
      </c>
      <c r="O9" s="1">
        <f t="shared" si="13"/>
        <v>210929.95700000002</v>
      </c>
      <c r="P9" s="1">
        <f t="shared" si="14"/>
        <v>202197.78899999999</v>
      </c>
      <c r="Q9" s="1">
        <f t="shared" si="15"/>
        <v>199646.236</v>
      </c>
      <c r="R9" s="1">
        <v>0</v>
      </c>
      <c r="S9" s="1">
        <v>0</v>
      </c>
      <c r="T9" s="1">
        <v>0</v>
      </c>
      <c r="U9" s="1">
        <v>0</v>
      </c>
      <c r="V9" s="1">
        <v>0</v>
      </c>
      <c r="W9" s="1">
        <v>0</v>
      </c>
      <c r="X9" s="1">
        <v>0</v>
      </c>
      <c r="Y9" s="1">
        <v>0</v>
      </c>
      <c r="Z9" s="1">
        <v>0</v>
      </c>
      <c r="AA9" s="1">
        <v>0</v>
      </c>
      <c r="AB9" s="1">
        <v>0</v>
      </c>
      <c r="AC9" s="1">
        <v>0</v>
      </c>
      <c r="AD9" s="1">
        <v>0</v>
      </c>
      <c r="AE9" s="1">
        <v>0</v>
      </c>
      <c r="AF9" s="1">
        <v>0</v>
      </c>
      <c r="AG9" s="1">
        <v>0</v>
      </c>
      <c r="AH9" s="1">
        <v>0</v>
      </c>
      <c r="AI9" s="1">
        <v>0</v>
      </c>
      <c r="AJ9" s="1">
        <v>0</v>
      </c>
      <c r="AK9" s="1">
        <v>0</v>
      </c>
      <c r="AL9" s="1">
        <v>0</v>
      </c>
      <c r="AM9" s="1">
        <v>0</v>
      </c>
      <c r="AN9" s="1">
        <v>0</v>
      </c>
      <c r="AO9" s="1">
        <v>0</v>
      </c>
      <c r="AP9" s="1">
        <v>14573.89</v>
      </c>
      <c r="AQ9" s="1">
        <v>16825.07</v>
      </c>
      <c r="AR9" s="1">
        <v>14647.86</v>
      </c>
      <c r="AS9" s="1">
        <v>16706.54</v>
      </c>
      <c r="AT9" s="1">
        <v>0</v>
      </c>
      <c r="AU9" s="1">
        <v>14573.89</v>
      </c>
      <c r="AV9" s="1">
        <v>0</v>
      </c>
      <c r="AW9" s="1">
        <v>0</v>
      </c>
      <c r="AX9" s="1">
        <v>0</v>
      </c>
      <c r="AY9" s="1">
        <v>16825.07</v>
      </c>
      <c r="AZ9" s="1">
        <v>0</v>
      </c>
      <c r="BA9" s="1">
        <v>0</v>
      </c>
      <c r="BB9" s="1">
        <v>0</v>
      </c>
      <c r="BC9" s="1">
        <v>14647.86</v>
      </c>
      <c r="BD9" s="1">
        <v>0</v>
      </c>
      <c r="BE9" s="1">
        <v>0</v>
      </c>
      <c r="BF9" s="1">
        <v>16706.54</v>
      </c>
      <c r="BG9" s="1">
        <v>0</v>
      </c>
      <c r="BH9" s="1">
        <v>0</v>
      </c>
      <c r="BI9" s="1">
        <v>0</v>
      </c>
      <c r="BJ9" s="1">
        <v>0</v>
      </c>
      <c r="BK9" s="1">
        <v>0</v>
      </c>
      <c r="BL9" s="1">
        <v>0</v>
      </c>
      <c r="BM9" s="1">
        <v>0</v>
      </c>
      <c r="BN9" s="1">
        <v>0</v>
      </c>
      <c r="BO9" s="1">
        <v>0</v>
      </c>
      <c r="BP9" s="1">
        <v>0</v>
      </c>
      <c r="BQ9" s="1">
        <v>0</v>
      </c>
      <c r="BR9" s="1">
        <v>0</v>
      </c>
      <c r="BS9" s="1">
        <v>0</v>
      </c>
      <c r="BT9" s="1">
        <v>0</v>
      </c>
      <c r="BU9" s="1">
        <v>9696.7000000000007</v>
      </c>
      <c r="BV9" s="1">
        <v>13502.324000000001</v>
      </c>
      <c r="BW9" s="1">
        <v>8363.8940000000002</v>
      </c>
      <c r="BX9" s="1">
        <v>10794.159</v>
      </c>
      <c r="BY9" s="1">
        <v>9696.7000000000007</v>
      </c>
      <c r="BZ9" s="1">
        <v>13502.324000000001</v>
      </c>
      <c r="CA9" s="1">
        <v>8363.8940000000002</v>
      </c>
      <c r="CB9" s="1">
        <v>10794.159</v>
      </c>
      <c r="CC9" s="1">
        <v>0</v>
      </c>
      <c r="CD9" s="1">
        <v>0</v>
      </c>
      <c r="CE9" s="1">
        <v>0</v>
      </c>
      <c r="CF9" s="1">
        <v>0</v>
      </c>
      <c r="CG9" s="1">
        <v>0</v>
      </c>
      <c r="CH9" s="1">
        <v>0</v>
      </c>
      <c r="CI9" s="1">
        <v>0</v>
      </c>
      <c r="CJ9" s="1">
        <v>0</v>
      </c>
      <c r="CK9" s="1">
        <v>0</v>
      </c>
      <c r="CL9" s="1">
        <v>0</v>
      </c>
      <c r="CM9" s="1">
        <v>0</v>
      </c>
      <c r="CN9" s="1">
        <v>0</v>
      </c>
      <c r="CO9" s="1">
        <v>0</v>
      </c>
      <c r="CP9" s="1">
        <v>0</v>
      </c>
      <c r="CQ9" s="1">
        <v>0</v>
      </c>
      <c r="CR9" s="1">
        <v>0</v>
      </c>
      <c r="CS9" s="1">
        <v>4709.027</v>
      </c>
      <c r="CT9" s="1">
        <v>5088.3760000000002</v>
      </c>
      <c r="CU9" s="1">
        <v>4576.8969999999999</v>
      </c>
      <c r="CV9" s="1">
        <v>4021.6329999999998</v>
      </c>
      <c r="CW9" s="1">
        <v>4709.027</v>
      </c>
      <c r="CX9" s="1">
        <v>5088.3760000000002</v>
      </c>
      <c r="CY9" s="1">
        <v>4576.8969999999999</v>
      </c>
      <c r="CZ9" s="1">
        <v>4021.6329999999998</v>
      </c>
      <c r="DA9" s="1">
        <v>0</v>
      </c>
      <c r="DB9" s="1">
        <v>0</v>
      </c>
      <c r="DC9" s="1">
        <v>0</v>
      </c>
      <c r="DD9" s="1">
        <v>0</v>
      </c>
      <c r="DE9" s="1">
        <v>0</v>
      </c>
      <c r="DF9" s="1">
        <v>0</v>
      </c>
      <c r="DG9" s="1">
        <v>0</v>
      </c>
      <c r="DH9" s="1">
        <v>0</v>
      </c>
      <c r="DI9" s="1">
        <v>0</v>
      </c>
      <c r="DJ9" s="1">
        <v>0</v>
      </c>
      <c r="DK9" s="1">
        <v>0</v>
      </c>
      <c r="DL9" s="1">
        <v>0</v>
      </c>
      <c r="DM9" s="1">
        <v>9241.48</v>
      </c>
      <c r="DN9" s="1">
        <v>9346.2530000000006</v>
      </c>
      <c r="DO9" s="1">
        <v>8557.4220000000005</v>
      </c>
      <c r="DP9" s="1">
        <v>7555.2879999999996</v>
      </c>
      <c r="DQ9" s="1">
        <v>9241.48</v>
      </c>
      <c r="DR9" s="1">
        <v>9346.2530000000006</v>
      </c>
      <c r="DS9" s="1">
        <v>8557.4220000000005</v>
      </c>
      <c r="DT9" s="1">
        <v>7555.2879999999996</v>
      </c>
      <c r="DU9" s="1">
        <v>0</v>
      </c>
      <c r="DV9" s="1">
        <v>0</v>
      </c>
      <c r="DW9" s="1">
        <v>0</v>
      </c>
      <c r="DX9" s="1">
        <v>0</v>
      </c>
      <c r="DY9" s="1">
        <v>0</v>
      </c>
      <c r="DZ9" s="1">
        <v>0</v>
      </c>
      <c r="EA9" s="1">
        <v>0</v>
      </c>
      <c r="EB9" s="1">
        <v>0</v>
      </c>
      <c r="EC9" s="1">
        <v>0</v>
      </c>
      <c r="ED9" s="1">
        <v>0</v>
      </c>
      <c r="EE9" s="1">
        <v>0</v>
      </c>
      <c r="EF9" s="1">
        <v>0</v>
      </c>
      <c r="EG9" s="1">
        <v>0</v>
      </c>
      <c r="EH9" s="1">
        <v>0</v>
      </c>
      <c r="EI9" s="1">
        <v>0</v>
      </c>
      <c r="EJ9" s="1">
        <v>0</v>
      </c>
      <c r="EK9" s="1">
        <v>10562.156999999999</v>
      </c>
      <c r="EL9" s="1">
        <v>11009.142</v>
      </c>
      <c r="EM9" s="1">
        <v>10477.084000000001</v>
      </c>
      <c r="EN9" s="1">
        <v>7590.6170000000002</v>
      </c>
      <c r="EO9" s="1">
        <v>10562.156999999999</v>
      </c>
      <c r="EP9" s="1">
        <v>11009.142</v>
      </c>
      <c r="EQ9" s="1">
        <v>10477.084000000001</v>
      </c>
      <c r="ER9" s="1">
        <v>7590.6170000000002</v>
      </c>
      <c r="ES9" s="1">
        <v>0</v>
      </c>
      <c r="ET9" s="1">
        <v>0</v>
      </c>
      <c r="EU9" s="1">
        <v>0</v>
      </c>
      <c r="EV9" s="1">
        <v>0</v>
      </c>
      <c r="EW9" s="1">
        <v>0</v>
      </c>
      <c r="EX9" s="1">
        <v>0</v>
      </c>
      <c r="EY9" s="1">
        <v>0</v>
      </c>
      <c r="EZ9" s="1">
        <v>0</v>
      </c>
      <c r="FA9" s="1">
        <v>0</v>
      </c>
      <c r="FB9" s="1">
        <v>0</v>
      </c>
      <c r="FC9" s="1">
        <v>0</v>
      </c>
      <c r="FD9" s="1">
        <v>0</v>
      </c>
      <c r="FE9" s="1">
        <v>319.56599999999997</v>
      </c>
      <c r="FF9" s="1">
        <v>396.45499999999998</v>
      </c>
      <c r="FG9" s="1">
        <v>496.56099999999998</v>
      </c>
      <c r="FH9" s="1">
        <v>455.72800000000001</v>
      </c>
      <c r="FI9" s="1">
        <v>319.56599999999997</v>
      </c>
      <c r="FJ9" s="1">
        <v>359.55500000000001</v>
      </c>
      <c r="FK9" s="1">
        <v>496.56099999999998</v>
      </c>
      <c r="FL9" s="1">
        <v>455.72800000000001</v>
      </c>
      <c r="FM9" s="1">
        <v>0</v>
      </c>
      <c r="FN9" s="1">
        <v>0</v>
      </c>
      <c r="FO9" s="1">
        <v>0</v>
      </c>
      <c r="FP9" s="1">
        <v>0</v>
      </c>
      <c r="FQ9" s="1">
        <v>0</v>
      </c>
      <c r="FR9" s="1">
        <v>0</v>
      </c>
      <c r="FS9" s="1">
        <v>0</v>
      </c>
      <c r="FT9" s="1">
        <v>0</v>
      </c>
      <c r="FU9" s="1">
        <v>0</v>
      </c>
      <c r="FV9" s="1">
        <v>0</v>
      </c>
      <c r="FW9" s="1">
        <v>0</v>
      </c>
      <c r="FX9" s="1">
        <v>0</v>
      </c>
      <c r="FY9" s="1">
        <v>0</v>
      </c>
      <c r="FZ9" s="1">
        <v>0</v>
      </c>
      <c r="GA9" s="1">
        <v>0</v>
      </c>
      <c r="GB9" s="1">
        <v>0</v>
      </c>
      <c r="GC9" s="1">
        <v>2702.36</v>
      </c>
      <c r="GD9" s="1">
        <v>2573.6869999999999</v>
      </c>
      <c r="GE9" s="1">
        <v>2484.8780000000002</v>
      </c>
      <c r="GF9" s="1">
        <v>2436.2510000000002</v>
      </c>
      <c r="GG9" s="1">
        <v>2702.36</v>
      </c>
      <c r="GH9" s="1">
        <v>2573.6869999999999</v>
      </c>
      <c r="GI9" s="1">
        <v>2484.8780000000002</v>
      </c>
      <c r="GJ9" s="1">
        <v>2436.2510000000002</v>
      </c>
      <c r="GK9" s="1">
        <v>0</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724.18</v>
      </c>
      <c r="HF9" s="1">
        <v>0</v>
      </c>
      <c r="HG9" s="1">
        <v>0</v>
      </c>
      <c r="HH9" s="1">
        <v>730.27199999999993</v>
      </c>
      <c r="HI9" s="1">
        <v>724.18</v>
      </c>
      <c r="HJ9" s="1">
        <v>0</v>
      </c>
      <c r="HK9" s="1">
        <v>0</v>
      </c>
      <c r="HL9" s="1">
        <v>730.27199999999993</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57.677</v>
      </c>
      <c r="IS9" s="1">
        <v>0</v>
      </c>
      <c r="IT9" s="1">
        <v>0</v>
      </c>
      <c r="IU9" s="1">
        <v>0</v>
      </c>
      <c r="IV9" s="1">
        <v>57.677</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0</v>
      </c>
      <c r="JO9" s="1">
        <v>0</v>
      </c>
      <c r="JP9" s="1">
        <v>0</v>
      </c>
      <c r="JQ9" s="9"/>
      <c r="JR9" s="1">
        <f t="shared" si="0"/>
        <v>55485.033210000009</v>
      </c>
      <c r="JS9" s="1">
        <f t="shared" si="1"/>
        <v>56951.088390000012</v>
      </c>
      <c r="JT9" s="1">
        <f t="shared" si="2"/>
        <v>54593.403030000001</v>
      </c>
      <c r="JU9" s="1">
        <f t="shared" si="3"/>
        <v>53904.483720000004</v>
      </c>
      <c r="JV9" s="1">
        <f t="shared" si="4"/>
        <v>10275.006150000001</v>
      </c>
      <c r="JW9" s="1">
        <f t="shared" si="5"/>
        <v>10546.497850000002</v>
      </c>
      <c r="JX9" s="1">
        <f t="shared" si="6"/>
        <v>10109.889450000001</v>
      </c>
      <c r="JY9" s="1">
        <f t="shared" si="7"/>
        <v>9982.3118000000013</v>
      </c>
    </row>
    <row r="10" spans="1:285" x14ac:dyDescent="0.35">
      <c r="A10" s="2" t="s">
        <v>17</v>
      </c>
      <c r="B10" s="1">
        <v>187796</v>
      </c>
      <c r="C10" s="1">
        <v>187718</v>
      </c>
      <c r="D10" s="1">
        <v>188793</v>
      </c>
      <c r="E10" s="1">
        <v>191120</v>
      </c>
      <c r="F10" s="1">
        <v>79236.975000000006</v>
      </c>
      <c r="G10" s="1">
        <v>76430.880000000005</v>
      </c>
      <c r="H10" s="1">
        <v>69108.983000000007</v>
      </c>
      <c r="I10" s="1">
        <v>58104.898999999998</v>
      </c>
      <c r="J10" s="1">
        <f t="shared" si="8"/>
        <v>47162.927999999993</v>
      </c>
      <c r="K10" s="1">
        <f t="shared" si="9"/>
        <v>47857.293999999994</v>
      </c>
      <c r="L10" s="1">
        <f t="shared" si="10"/>
        <v>43047.028000000013</v>
      </c>
      <c r="M10" s="1">
        <f t="shared" si="11"/>
        <v>38492.743000000009</v>
      </c>
      <c r="N10" s="1">
        <f t="shared" si="12"/>
        <v>32074.047000000013</v>
      </c>
      <c r="O10" s="1">
        <f t="shared" si="13"/>
        <v>28573.58600000001</v>
      </c>
      <c r="P10" s="1">
        <f t="shared" si="14"/>
        <v>26061.954999999994</v>
      </c>
      <c r="Q10" s="1">
        <f t="shared" si="15"/>
        <v>19612.155999999988</v>
      </c>
      <c r="R10" s="1">
        <v>0</v>
      </c>
      <c r="S10" s="1">
        <v>0</v>
      </c>
      <c r="T10" s="1">
        <v>1411.31</v>
      </c>
      <c r="U10" s="1">
        <v>5788.06</v>
      </c>
      <c r="V10" s="1">
        <v>0</v>
      </c>
      <c r="W10" s="1">
        <v>0</v>
      </c>
      <c r="X10" s="1">
        <v>0</v>
      </c>
      <c r="Y10" s="1">
        <v>0</v>
      </c>
      <c r="Z10" s="1">
        <v>0</v>
      </c>
      <c r="AA10" s="1">
        <v>0</v>
      </c>
      <c r="AB10" s="1">
        <v>0</v>
      </c>
      <c r="AC10" s="1">
        <v>0</v>
      </c>
      <c r="AD10" s="1">
        <v>1411.31</v>
      </c>
      <c r="AE10" s="1">
        <v>0</v>
      </c>
      <c r="AF10" s="1">
        <v>0</v>
      </c>
      <c r="AG10" s="1">
        <v>5788.06</v>
      </c>
      <c r="AH10" s="1">
        <v>0</v>
      </c>
      <c r="AI10" s="1">
        <v>0</v>
      </c>
      <c r="AJ10" s="1">
        <v>0</v>
      </c>
      <c r="AK10" s="1">
        <v>0</v>
      </c>
      <c r="AL10" s="1">
        <v>0</v>
      </c>
      <c r="AM10" s="1">
        <v>0</v>
      </c>
      <c r="AN10" s="1">
        <v>0</v>
      </c>
      <c r="AO10" s="1">
        <v>0</v>
      </c>
      <c r="AP10" s="1">
        <v>15801.55</v>
      </c>
      <c r="AQ10" s="1">
        <v>19231.32</v>
      </c>
      <c r="AR10" s="1">
        <v>14464.7</v>
      </c>
      <c r="AS10" s="1">
        <v>10195.220000000001</v>
      </c>
      <c r="AT10" s="1">
        <v>15188.89</v>
      </c>
      <c r="AU10" s="1">
        <v>612.66</v>
      </c>
      <c r="AV10" s="1">
        <v>0</v>
      </c>
      <c r="AW10" s="1">
        <v>0</v>
      </c>
      <c r="AX10" s="1">
        <v>18423.96</v>
      </c>
      <c r="AY10" s="1">
        <v>807.36000000000058</v>
      </c>
      <c r="AZ10" s="1">
        <v>0</v>
      </c>
      <c r="BA10" s="1">
        <v>0</v>
      </c>
      <c r="BB10" s="1">
        <v>13960</v>
      </c>
      <c r="BC10" s="1">
        <v>504.70000000000073</v>
      </c>
      <c r="BD10" s="1">
        <v>0</v>
      </c>
      <c r="BE10" s="1">
        <v>10195.220000000001</v>
      </c>
      <c r="BF10" s="1">
        <v>0</v>
      </c>
      <c r="BG10" s="1">
        <v>0</v>
      </c>
      <c r="BH10" s="1">
        <v>0</v>
      </c>
      <c r="BI10" s="1">
        <v>0</v>
      </c>
      <c r="BJ10" s="1">
        <v>0</v>
      </c>
      <c r="BK10" s="1">
        <v>0</v>
      </c>
      <c r="BL10" s="1">
        <v>0</v>
      </c>
      <c r="BM10" s="1">
        <v>0</v>
      </c>
      <c r="BN10" s="1">
        <v>0</v>
      </c>
      <c r="BO10" s="1">
        <v>0</v>
      </c>
      <c r="BP10" s="1">
        <v>0</v>
      </c>
      <c r="BQ10" s="1">
        <v>0</v>
      </c>
      <c r="BR10" s="1">
        <v>0</v>
      </c>
      <c r="BS10" s="1">
        <v>0</v>
      </c>
      <c r="BT10" s="1">
        <v>0</v>
      </c>
      <c r="BU10" s="1">
        <v>17270.728999999999</v>
      </c>
      <c r="BV10" s="1">
        <v>16751.448</v>
      </c>
      <c r="BW10" s="1">
        <v>14333.237999999999</v>
      </c>
      <c r="BX10" s="1">
        <v>9871.9350000000013</v>
      </c>
      <c r="BY10" s="1">
        <v>17268.659</v>
      </c>
      <c r="BZ10" s="1">
        <v>16751.448</v>
      </c>
      <c r="CA10" s="1">
        <v>14333.237999999999</v>
      </c>
      <c r="CB10" s="1">
        <v>9871.9350000000013</v>
      </c>
      <c r="CC10" s="1">
        <v>2.0699999999999998</v>
      </c>
      <c r="CD10" s="1">
        <v>0</v>
      </c>
      <c r="CE10" s="1">
        <v>0</v>
      </c>
      <c r="CF10" s="1">
        <v>0</v>
      </c>
      <c r="CG10" s="1">
        <v>0</v>
      </c>
      <c r="CH10" s="1">
        <v>0</v>
      </c>
      <c r="CI10" s="1">
        <v>0</v>
      </c>
      <c r="CJ10" s="1">
        <v>0</v>
      </c>
      <c r="CK10" s="1">
        <v>0</v>
      </c>
      <c r="CL10" s="1">
        <v>0</v>
      </c>
      <c r="CM10" s="1">
        <v>0</v>
      </c>
      <c r="CN10" s="1">
        <v>0</v>
      </c>
      <c r="CO10" s="1">
        <v>0</v>
      </c>
      <c r="CP10" s="1">
        <v>0</v>
      </c>
      <c r="CQ10" s="1">
        <v>0</v>
      </c>
      <c r="CR10" s="1">
        <v>0</v>
      </c>
      <c r="CS10" s="1">
        <v>4628.6170000000002</v>
      </c>
      <c r="CT10" s="1">
        <v>2834.3739999999998</v>
      </c>
      <c r="CU10" s="1">
        <v>4683.268</v>
      </c>
      <c r="CV10" s="1">
        <v>4323.2169999999996</v>
      </c>
      <c r="CW10" s="1">
        <v>3904.69</v>
      </c>
      <c r="CX10" s="1">
        <v>2834.3739999999998</v>
      </c>
      <c r="CY10" s="1">
        <v>4683.268</v>
      </c>
      <c r="CZ10" s="1">
        <v>4323.2169999999996</v>
      </c>
      <c r="DA10" s="1">
        <v>0</v>
      </c>
      <c r="DB10" s="1">
        <v>0</v>
      </c>
      <c r="DC10" s="1">
        <v>0</v>
      </c>
      <c r="DD10" s="1">
        <v>0</v>
      </c>
      <c r="DE10" s="1">
        <v>0</v>
      </c>
      <c r="DF10" s="1">
        <v>0</v>
      </c>
      <c r="DG10" s="1">
        <v>0</v>
      </c>
      <c r="DH10" s="1">
        <v>0</v>
      </c>
      <c r="DI10" s="1">
        <v>0</v>
      </c>
      <c r="DJ10" s="1">
        <v>0</v>
      </c>
      <c r="DK10" s="1">
        <v>0</v>
      </c>
      <c r="DL10" s="1">
        <v>0</v>
      </c>
      <c r="DM10" s="1">
        <v>5067.0959999999995</v>
      </c>
      <c r="DN10" s="1">
        <v>4792.875</v>
      </c>
      <c r="DO10" s="1">
        <v>4170.0680000000002</v>
      </c>
      <c r="DP10" s="1">
        <v>4463.866</v>
      </c>
      <c r="DQ10" s="1">
        <v>5067.0959999999995</v>
      </c>
      <c r="DR10" s="1">
        <v>4792.875</v>
      </c>
      <c r="DS10" s="1">
        <v>4170.0680000000002</v>
      </c>
      <c r="DT10" s="1">
        <v>4463.866</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1250.193</v>
      </c>
      <c r="EL10" s="1">
        <v>965.41899999999987</v>
      </c>
      <c r="EM10" s="1">
        <v>917.47199999999998</v>
      </c>
      <c r="EN10" s="1">
        <v>928.33199999999999</v>
      </c>
      <c r="EO10" s="1">
        <v>1250.193</v>
      </c>
      <c r="EP10" s="1">
        <v>965.41899999999987</v>
      </c>
      <c r="EQ10" s="1">
        <v>917.47199999999998</v>
      </c>
      <c r="ER10" s="1">
        <v>928.33199999999999</v>
      </c>
      <c r="ES10" s="1">
        <v>0</v>
      </c>
      <c r="ET10" s="1">
        <v>0</v>
      </c>
      <c r="EU10" s="1">
        <v>0</v>
      </c>
      <c r="EV10" s="1">
        <v>0</v>
      </c>
      <c r="EW10" s="1">
        <v>0</v>
      </c>
      <c r="EX10" s="1">
        <v>0</v>
      </c>
      <c r="EY10" s="1">
        <v>0</v>
      </c>
      <c r="EZ10" s="1">
        <v>0</v>
      </c>
      <c r="FA10" s="1">
        <v>0</v>
      </c>
      <c r="FB10" s="1">
        <v>0</v>
      </c>
      <c r="FC10" s="1">
        <v>0</v>
      </c>
      <c r="FD10" s="1">
        <v>0</v>
      </c>
      <c r="FE10" s="1">
        <v>354.22</v>
      </c>
      <c r="FF10" s="1">
        <v>413.37700000000001</v>
      </c>
      <c r="FG10" s="1">
        <v>413.10300000000001</v>
      </c>
      <c r="FH10" s="1">
        <v>287.83699999999999</v>
      </c>
      <c r="FI10" s="1">
        <v>354.22</v>
      </c>
      <c r="FJ10" s="1">
        <v>413.37700000000001</v>
      </c>
      <c r="FK10" s="1">
        <v>413.10300000000001</v>
      </c>
      <c r="FL10" s="1">
        <v>287.83699999999999</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310.77999999999997</v>
      </c>
      <c r="GD10" s="1">
        <v>233.49700000000001</v>
      </c>
      <c r="GE10" s="1">
        <v>308.88499999999999</v>
      </c>
      <c r="GF10" s="1">
        <v>196.94</v>
      </c>
      <c r="GG10" s="1">
        <v>289.96100000000001</v>
      </c>
      <c r="GH10" s="1">
        <v>203.911</v>
      </c>
      <c r="GI10" s="1">
        <v>269.82</v>
      </c>
      <c r="GJ10" s="1">
        <v>149.84399999999999</v>
      </c>
      <c r="GK10" s="1">
        <v>20.818999999999999</v>
      </c>
      <c r="GL10" s="1">
        <v>29.585999999999999</v>
      </c>
      <c r="GM10" s="1">
        <v>39.064999999999998</v>
      </c>
      <c r="GN10" s="1">
        <v>47.095999999999997</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1881.8240000000001</v>
      </c>
      <c r="HF10" s="1">
        <v>2202.7649999999999</v>
      </c>
      <c r="HG10" s="1">
        <v>1780.972</v>
      </c>
      <c r="HH10" s="1">
        <v>1760.5360000000001</v>
      </c>
      <c r="HI10" s="1">
        <v>1881.8240000000001</v>
      </c>
      <c r="HJ10" s="1">
        <v>2202.7649999999999</v>
      </c>
      <c r="HK10" s="1">
        <v>1569.114</v>
      </c>
      <c r="HL10" s="1">
        <v>1477.566</v>
      </c>
      <c r="HM10" s="1">
        <v>0</v>
      </c>
      <c r="HN10" s="1">
        <v>0</v>
      </c>
      <c r="HO10" s="1">
        <v>0</v>
      </c>
      <c r="HP10" s="1">
        <v>0</v>
      </c>
      <c r="HQ10" s="1">
        <v>0</v>
      </c>
      <c r="HR10" s="1">
        <v>0</v>
      </c>
      <c r="HS10" s="1">
        <v>0</v>
      </c>
      <c r="HT10" s="1">
        <v>0</v>
      </c>
      <c r="HU10" s="1">
        <v>0</v>
      </c>
      <c r="HV10" s="1">
        <v>0</v>
      </c>
      <c r="HW10" s="1">
        <v>0</v>
      </c>
      <c r="HX10" s="1">
        <v>0</v>
      </c>
      <c r="HY10" s="1">
        <v>0</v>
      </c>
      <c r="HZ10" s="1">
        <v>0</v>
      </c>
      <c r="IA10" s="1">
        <v>211.858</v>
      </c>
      <c r="IB10" s="1">
        <v>282.97000000000003</v>
      </c>
      <c r="IC10" s="1">
        <v>0</v>
      </c>
      <c r="ID10" s="1">
        <v>0</v>
      </c>
      <c r="IE10" s="1">
        <v>0</v>
      </c>
      <c r="IF10" s="1">
        <v>0</v>
      </c>
      <c r="IG10" s="1">
        <v>0</v>
      </c>
      <c r="IH10" s="1">
        <v>0</v>
      </c>
      <c r="II10" s="1">
        <v>0</v>
      </c>
      <c r="IJ10" s="1">
        <v>0</v>
      </c>
      <c r="IK10" s="1">
        <v>0</v>
      </c>
      <c r="IL10" s="1">
        <v>0</v>
      </c>
      <c r="IM10" s="1">
        <v>0</v>
      </c>
      <c r="IN10" s="1">
        <v>0</v>
      </c>
      <c r="IO10" s="1">
        <v>597.91899999999998</v>
      </c>
      <c r="IP10" s="1">
        <v>432.21899999999999</v>
      </c>
      <c r="IQ10" s="1">
        <v>564.01199999999994</v>
      </c>
      <c r="IR10" s="1">
        <v>676.8</v>
      </c>
      <c r="IS10" s="1">
        <v>597.91899999999998</v>
      </c>
      <c r="IT10" s="1">
        <v>432.21899999999999</v>
      </c>
      <c r="IU10" s="1">
        <v>564.01199999999994</v>
      </c>
      <c r="IV10" s="1">
        <v>676.8</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0</v>
      </c>
      <c r="JO10" s="1">
        <v>0</v>
      </c>
      <c r="JP10" s="1">
        <v>0</v>
      </c>
      <c r="JQ10" s="9"/>
      <c r="JR10" s="1">
        <f t="shared" si="0"/>
        <v>8659.9926900000046</v>
      </c>
      <c r="JS10" s="1">
        <f t="shared" si="1"/>
        <v>7714.868220000003</v>
      </c>
      <c r="JT10" s="1">
        <f t="shared" si="2"/>
        <v>7036.7278499999993</v>
      </c>
      <c r="JU10" s="1">
        <f t="shared" si="3"/>
        <v>5295.2821199999971</v>
      </c>
      <c r="JV10" s="1">
        <f t="shared" si="4"/>
        <v>1603.7023500000007</v>
      </c>
      <c r="JW10" s="1">
        <f t="shared" si="5"/>
        <v>1428.6793000000007</v>
      </c>
      <c r="JX10" s="1">
        <f t="shared" si="6"/>
        <v>1303.0977499999999</v>
      </c>
      <c r="JY10" s="1">
        <f t="shared" si="7"/>
        <v>980.60779999999943</v>
      </c>
    </row>
    <row r="11" spans="1:285" x14ac:dyDescent="0.35">
      <c r="A11" s="2" t="s">
        <v>18</v>
      </c>
      <c r="B11" s="1">
        <v>183125</v>
      </c>
      <c r="C11" s="1">
        <v>185713</v>
      </c>
      <c r="D11" s="1">
        <v>188047</v>
      </c>
      <c r="E11" s="1">
        <v>191048</v>
      </c>
      <c r="F11" s="1">
        <v>53319.701999999997</v>
      </c>
      <c r="G11" s="1">
        <v>56044.85</v>
      </c>
      <c r="H11" s="1">
        <v>53712.57</v>
      </c>
      <c r="I11" s="1">
        <v>51318.91</v>
      </c>
      <c r="J11" s="1">
        <f t="shared" si="8"/>
        <v>35395.991999999998</v>
      </c>
      <c r="K11" s="1">
        <f t="shared" si="9"/>
        <v>38230.769999999997</v>
      </c>
      <c r="L11" s="1">
        <f t="shared" si="10"/>
        <v>35402.280000000006</v>
      </c>
      <c r="M11" s="1">
        <f t="shared" si="11"/>
        <v>34269.379999999997</v>
      </c>
      <c r="N11" s="1">
        <f t="shared" si="12"/>
        <v>17923.71</v>
      </c>
      <c r="O11" s="1">
        <f t="shared" si="13"/>
        <v>17814.080000000002</v>
      </c>
      <c r="P11" s="1">
        <f t="shared" si="14"/>
        <v>18310.289999999994</v>
      </c>
      <c r="Q11" s="1">
        <f t="shared" si="15"/>
        <v>17049.530000000006</v>
      </c>
      <c r="R11" s="1">
        <v>0</v>
      </c>
      <c r="S11" s="1">
        <v>0</v>
      </c>
      <c r="T11" s="1">
        <v>0</v>
      </c>
      <c r="U11" s="1">
        <v>0</v>
      </c>
      <c r="V11" s="1">
        <v>0</v>
      </c>
      <c r="W11" s="1">
        <v>0</v>
      </c>
      <c r="X11" s="1">
        <v>0</v>
      </c>
      <c r="Y11" s="1">
        <v>0</v>
      </c>
      <c r="Z11" s="1">
        <v>0</v>
      </c>
      <c r="AA11" s="1">
        <v>0</v>
      </c>
      <c r="AB11" s="1">
        <v>0</v>
      </c>
      <c r="AC11" s="1">
        <v>0</v>
      </c>
      <c r="AD11" s="1">
        <v>0</v>
      </c>
      <c r="AE11" s="1">
        <v>0</v>
      </c>
      <c r="AF11" s="1">
        <v>0</v>
      </c>
      <c r="AG11" s="1">
        <v>0</v>
      </c>
      <c r="AH11" s="1">
        <v>0</v>
      </c>
      <c r="AI11" s="1">
        <v>0</v>
      </c>
      <c r="AJ11" s="1">
        <v>0</v>
      </c>
      <c r="AK11" s="1">
        <v>0</v>
      </c>
      <c r="AL11" s="1">
        <v>0</v>
      </c>
      <c r="AM11" s="1">
        <v>0</v>
      </c>
      <c r="AN11" s="1">
        <v>0</v>
      </c>
      <c r="AO11" s="1">
        <v>0</v>
      </c>
      <c r="AP11" s="1">
        <v>3122.29</v>
      </c>
      <c r="AQ11" s="1">
        <v>3872.53</v>
      </c>
      <c r="AR11" s="1">
        <v>4349.8999999999996</v>
      </c>
      <c r="AS11" s="1">
        <v>5096.49</v>
      </c>
      <c r="AT11" s="1">
        <v>0</v>
      </c>
      <c r="AU11" s="1">
        <v>3122.29</v>
      </c>
      <c r="AV11" s="1">
        <v>0</v>
      </c>
      <c r="AW11" s="1">
        <v>0</v>
      </c>
      <c r="AX11" s="1">
        <v>0</v>
      </c>
      <c r="AY11" s="1">
        <v>3872.53</v>
      </c>
      <c r="AZ11" s="1">
        <v>0</v>
      </c>
      <c r="BA11" s="1">
        <v>0</v>
      </c>
      <c r="BB11" s="1">
        <v>0</v>
      </c>
      <c r="BC11" s="1">
        <v>4349.8999999999996</v>
      </c>
      <c r="BD11" s="1">
        <v>0</v>
      </c>
      <c r="BE11" s="1">
        <v>0</v>
      </c>
      <c r="BF11" s="1">
        <v>5096.49</v>
      </c>
      <c r="BG11" s="1">
        <v>0</v>
      </c>
      <c r="BH11" s="1">
        <v>0</v>
      </c>
      <c r="BI11" s="1">
        <v>0</v>
      </c>
      <c r="BJ11" s="1">
        <v>0</v>
      </c>
      <c r="BK11" s="1">
        <v>0</v>
      </c>
      <c r="BL11" s="1">
        <v>0</v>
      </c>
      <c r="BM11" s="1">
        <v>0</v>
      </c>
      <c r="BN11" s="1">
        <v>0</v>
      </c>
      <c r="BO11" s="1">
        <v>0</v>
      </c>
      <c r="BP11" s="1">
        <v>0</v>
      </c>
      <c r="BQ11" s="1">
        <v>0</v>
      </c>
      <c r="BR11" s="1">
        <v>0</v>
      </c>
      <c r="BS11" s="1">
        <v>0</v>
      </c>
      <c r="BT11" s="1">
        <v>0</v>
      </c>
      <c r="BU11" s="1">
        <v>14206.63</v>
      </c>
      <c r="BV11" s="1">
        <v>17548.62</v>
      </c>
      <c r="BW11" s="1">
        <v>14935.29</v>
      </c>
      <c r="BX11" s="1">
        <v>13681.74</v>
      </c>
      <c r="BY11" s="1">
        <v>14206.63</v>
      </c>
      <c r="BZ11" s="1">
        <v>17548.62</v>
      </c>
      <c r="CA11" s="1">
        <v>14935.29</v>
      </c>
      <c r="CB11" s="1">
        <v>13681.74</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2175.12</v>
      </c>
      <c r="CT11" s="1">
        <v>1925.94</v>
      </c>
      <c r="CU11" s="1">
        <v>1674.44</v>
      </c>
      <c r="CV11" s="1">
        <v>1682.05</v>
      </c>
      <c r="CW11" s="1">
        <v>2155.16</v>
      </c>
      <c r="CX11" s="1">
        <v>1923.51</v>
      </c>
      <c r="CY11" s="1">
        <v>1555.56</v>
      </c>
      <c r="CZ11" s="1">
        <v>1511.82</v>
      </c>
      <c r="DA11" s="1">
        <v>0</v>
      </c>
      <c r="DB11" s="1">
        <v>0</v>
      </c>
      <c r="DC11" s="1">
        <v>0</v>
      </c>
      <c r="DD11" s="1">
        <v>0</v>
      </c>
      <c r="DE11" s="1">
        <v>0</v>
      </c>
      <c r="DF11" s="1">
        <v>0</v>
      </c>
      <c r="DG11" s="1">
        <v>0</v>
      </c>
      <c r="DH11" s="1">
        <v>0</v>
      </c>
      <c r="DI11" s="1">
        <v>0</v>
      </c>
      <c r="DJ11" s="1">
        <v>0</v>
      </c>
      <c r="DK11" s="1">
        <v>0</v>
      </c>
      <c r="DL11" s="1">
        <v>0</v>
      </c>
      <c r="DM11" s="1">
        <v>11076.75</v>
      </c>
      <c r="DN11" s="1">
        <v>10278.379999999999</v>
      </c>
      <c r="DO11" s="1">
        <v>9206.5400000000009</v>
      </c>
      <c r="DP11" s="1">
        <v>8596.5</v>
      </c>
      <c r="DQ11" s="1">
        <v>11076.75</v>
      </c>
      <c r="DR11" s="1">
        <v>10278.379999999999</v>
      </c>
      <c r="DS11" s="1">
        <v>9206.5400000000009</v>
      </c>
      <c r="DT11" s="1">
        <v>8596.5</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988.03200000000004</v>
      </c>
      <c r="EL11" s="1">
        <v>670.42</v>
      </c>
      <c r="EM11" s="1">
        <v>1099.1500000000001</v>
      </c>
      <c r="EN11" s="1">
        <v>568.63</v>
      </c>
      <c r="EO11" s="1">
        <v>988.03200000000004</v>
      </c>
      <c r="EP11" s="1">
        <v>670.42</v>
      </c>
      <c r="EQ11" s="1">
        <v>1099.1500000000001</v>
      </c>
      <c r="ER11" s="1">
        <v>568.63</v>
      </c>
      <c r="ES11" s="1">
        <v>0</v>
      </c>
      <c r="ET11" s="1">
        <v>0</v>
      </c>
      <c r="EU11" s="1">
        <v>0</v>
      </c>
      <c r="EV11" s="1">
        <v>0</v>
      </c>
      <c r="EW11" s="1">
        <v>0</v>
      </c>
      <c r="EX11" s="1">
        <v>0</v>
      </c>
      <c r="EY11" s="1">
        <v>0</v>
      </c>
      <c r="EZ11" s="1">
        <v>0</v>
      </c>
      <c r="FA11" s="1">
        <v>0</v>
      </c>
      <c r="FB11" s="1">
        <v>0</v>
      </c>
      <c r="FC11" s="1">
        <v>0</v>
      </c>
      <c r="FD11" s="1">
        <v>0</v>
      </c>
      <c r="FE11" s="1">
        <v>688.15</v>
      </c>
      <c r="FF11" s="1">
        <v>667.8</v>
      </c>
      <c r="FG11" s="1">
        <v>585.87</v>
      </c>
      <c r="FH11" s="1">
        <v>644.15000000000009</v>
      </c>
      <c r="FI11" s="1">
        <v>430.45</v>
      </c>
      <c r="FJ11" s="1">
        <v>361.44000000000011</v>
      </c>
      <c r="FK11" s="1">
        <v>238.22</v>
      </c>
      <c r="FL11" s="1">
        <v>320.58</v>
      </c>
      <c r="FM11" s="1">
        <v>257.7</v>
      </c>
      <c r="FN11" s="1">
        <v>306.36</v>
      </c>
      <c r="FO11" s="1">
        <v>347.65</v>
      </c>
      <c r="FP11" s="1">
        <v>323.57000000000011</v>
      </c>
      <c r="FQ11" s="1">
        <v>0</v>
      </c>
      <c r="FR11" s="1">
        <v>0</v>
      </c>
      <c r="FS11" s="1">
        <v>0</v>
      </c>
      <c r="FT11" s="1">
        <v>0</v>
      </c>
      <c r="FU11" s="1">
        <v>0</v>
      </c>
      <c r="FV11" s="1">
        <v>0</v>
      </c>
      <c r="FW11" s="1">
        <v>0</v>
      </c>
      <c r="FX11" s="1">
        <v>0</v>
      </c>
      <c r="FY11" s="1">
        <v>0</v>
      </c>
      <c r="FZ11" s="1">
        <v>0</v>
      </c>
      <c r="GA11" s="1">
        <v>0</v>
      </c>
      <c r="GB11" s="1">
        <v>0</v>
      </c>
      <c r="GC11" s="1">
        <v>1417.78</v>
      </c>
      <c r="GD11" s="1">
        <v>1661.85</v>
      </c>
      <c r="GE11" s="1">
        <v>1836.86</v>
      </c>
      <c r="GF11" s="1">
        <v>1706.3</v>
      </c>
      <c r="GG11" s="1">
        <v>129.28</v>
      </c>
      <c r="GH11" s="1">
        <v>130.05000000000001</v>
      </c>
      <c r="GI11" s="1">
        <v>98.61</v>
      </c>
      <c r="GJ11" s="1">
        <v>88.45</v>
      </c>
      <c r="GK11" s="1">
        <v>1288.5</v>
      </c>
      <c r="GL11" s="1">
        <v>1531.8</v>
      </c>
      <c r="GM11" s="1">
        <v>1738.25</v>
      </c>
      <c r="GN11" s="1">
        <v>1617.85</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1721.24</v>
      </c>
      <c r="IP11" s="1">
        <v>1605.23</v>
      </c>
      <c r="IQ11" s="1">
        <v>1714.23</v>
      </c>
      <c r="IR11" s="1">
        <v>2293.52</v>
      </c>
      <c r="IS11" s="1">
        <v>1205.8399999999999</v>
      </c>
      <c r="IT11" s="1">
        <v>992.51</v>
      </c>
      <c r="IU11" s="1">
        <v>1018.93</v>
      </c>
      <c r="IV11" s="1">
        <v>1646.38</v>
      </c>
      <c r="IW11" s="1">
        <v>515.4</v>
      </c>
      <c r="IX11" s="1">
        <v>612.72</v>
      </c>
      <c r="IY11" s="1">
        <v>695.3</v>
      </c>
      <c r="IZ11" s="1">
        <v>647.1400000000001</v>
      </c>
      <c r="JA11" s="1">
        <v>0</v>
      </c>
      <c r="JB11" s="1">
        <v>0</v>
      </c>
      <c r="JC11" s="1">
        <v>0</v>
      </c>
      <c r="JD11" s="1">
        <v>0</v>
      </c>
      <c r="JE11" s="1">
        <v>0</v>
      </c>
      <c r="JF11" s="1">
        <v>0</v>
      </c>
      <c r="JG11" s="1">
        <v>0</v>
      </c>
      <c r="JH11" s="1">
        <v>0</v>
      </c>
      <c r="JI11" s="1">
        <v>0</v>
      </c>
      <c r="JJ11" s="1">
        <v>0</v>
      </c>
      <c r="JK11" s="1">
        <v>0</v>
      </c>
      <c r="JL11" s="1">
        <v>0</v>
      </c>
      <c r="JM11" s="1">
        <v>0</v>
      </c>
      <c r="JN11" s="1">
        <v>0</v>
      </c>
      <c r="JO11" s="1">
        <v>0</v>
      </c>
      <c r="JP11" s="1">
        <v>0</v>
      </c>
      <c r="JQ11" s="9"/>
      <c r="JR11" s="1">
        <f t="shared" si="0"/>
        <v>4839.4017000000003</v>
      </c>
      <c r="JS11" s="1">
        <f t="shared" si="1"/>
        <v>4809.8016000000007</v>
      </c>
      <c r="JT11" s="1">
        <f t="shared" si="2"/>
        <v>4943.778299999999</v>
      </c>
      <c r="JU11" s="1">
        <f t="shared" si="3"/>
        <v>4603.3731000000016</v>
      </c>
      <c r="JV11" s="1">
        <f t="shared" si="4"/>
        <v>896.18550000000005</v>
      </c>
      <c r="JW11" s="1">
        <f t="shared" si="5"/>
        <v>890.70400000000018</v>
      </c>
      <c r="JX11" s="1">
        <f t="shared" si="6"/>
        <v>915.51449999999977</v>
      </c>
      <c r="JY11" s="1">
        <f t="shared" si="7"/>
        <v>852.47650000000033</v>
      </c>
    </row>
    <row r="12" spans="1:285" x14ac:dyDescent="0.35">
      <c r="A12" s="2" t="s">
        <v>19</v>
      </c>
      <c r="B12" s="1">
        <v>117068</v>
      </c>
      <c r="C12" s="1">
        <v>118327</v>
      </c>
      <c r="D12" s="1">
        <v>120051</v>
      </c>
      <c r="E12" s="1">
        <v>122577</v>
      </c>
      <c r="F12" s="1">
        <v>25433.55</v>
      </c>
      <c r="G12" s="1">
        <v>27380.32</v>
      </c>
      <c r="H12" s="1">
        <v>27655.8</v>
      </c>
      <c r="I12" s="1">
        <v>25424.11</v>
      </c>
      <c r="J12" s="1">
        <f t="shared" si="8"/>
        <v>15660.23</v>
      </c>
      <c r="K12" s="1">
        <f t="shared" si="9"/>
        <v>16795.34</v>
      </c>
      <c r="L12" s="1">
        <f t="shared" si="10"/>
        <v>16415.55</v>
      </c>
      <c r="M12" s="1">
        <f t="shared" si="11"/>
        <v>14643.56</v>
      </c>
      <c r="N12" s="1">
        <f t="shared" si="12"/>
        <v>9773.32</v>
      </c>
      <c r="O12" s="1">
        <f t="shared" si="13"/>
        <v>10584.98</v>
      </c>
      <c r="P12" s="1">
        <f t="shared" si="14"/>
        <v>11240.25</v>
      </c>
      <c r="Q12" s="1">
        <f t="shared" si="15"/>
        <v>10780.550000000001</v>
      </c>
      <c r="R12" s="1">
        <v>0</v>
      </c>
      <c r="S12" s="1">
        <v>0</v>
      </c>
      <c r="T12" s="1">
        <v>0</v>
      </c>
      <c r="U12" s="1">
        <v>0</v>
      </c>
      <c r="V12" s="1">
        <v>0</v>
      </c>
      <c r="W12" s="1">
        <v>0</v>
      </c>
      <c r="X12" s="1">
        <v>0</v>
      </c>
      <c r="Y12" s="1">
        <v>0</v>
      </c>
      <c r="Z12" s="1">
        <v>0</v>
      </c>
      <c r="AA12" s="1">
        <v>0</v>
      </c>
      <c r="AB12" s="1">
        <v>0</v>
      </c>
      <c r="AC12" s="1">
        <v>0</v>
      </c>
      <c r="AD12" s="1">
        <v>0</v>
      </c>
      <c r="AE12" s="1">
        <v>0</v>
      </c>
      <c r="AF12" s="1">
        <v>0</v>
      </c>
      <c r="AG12" s="1">
        <v>0</v>
      </c>
      <c r="AH12" s="1">
        <v>0</v>
      </c>
      <c r="AI12" s="1">
        <v>0</v>
      </c>
      <c r="AJ12" s="1">
        <v>0</v>
      </c>
      <c r="AK12" s="1">
        <v>0</v>
      </c>
      <c r="AL12" s="1">
        <v>0</v>
      </c>
      <c r="AM12" s="1">
        <v>0</v>
      </c>
      <c r="AN12" s="1">
        <v>0</v>
      </c>
      <c r="AO12" s="1">
        <v>0</v>
      </c>
      <c r="AP12" s="1">
        <v>3807.56</v>
      </c>
      <c r="AQ12" s="1">
        <v>4294.34</v>
      </c>
      <c r="AR12" s="1">
        <v>4062.28</v>
      </c>
      <c r="AS12" s="1">
        <v>4695.8</v>
      </c>
      <c r="AT12" s="1">
        <v>0</v>
      </c>
      <c r="AU12" s="1">
        <v>3807.56</v>
      </c>
      <c r="AV12" s="1">
        <v>0</v>
      </c>
      <c r="AW12" s="1">
        <v>0</v>
      </c>
      <c r="AX12" s="1">
        <v>0</v>
      </c>
      <c r="AY12" s="1">
        <v>4294.34</v>
      </c>
      <c r="AZ12" s="1">
        <v>0</v>
      </c>
      <c r="BA12" s="1">
        <v>0</v>
      </c>
      <c r="BB12" s="1">
        <v>0</v>
      </c>
      <c r="BC12" s="1">
        <v>4062.28</v>
      </c>
      <c r="BD12" s="1">
        <v>0</v>
      </c>
      <c r="BE12" s="1">
        <v>0</v>
      </c>
      <c r="BF12" s="1">
        <v>4695.8</v>
      </c>
      <c r="BG12" s="1">
        <v>0</v>
      </c>
      <c r="BH12" s="1">
        <v>0</v>
      </c>
      <c r="BI12" s="1">
        <v>0</v>
      </c>
      <c r="BJ12" s="1">
        <v>0</v>
      </c>
      <c r="BK12" s="1">
        <v>0</v>
      </c>
      <c r="BL12" s="1">
        <v>0</v>
      </c>
      <c r="BM12" s="1">
        <v>0</v>
      </c>
      <c r="BN12" s="1">
        <v>0</v>
      </c>
      <c r="BO12" s="1">
        <v>0</v>
      </c>
      <c r="BP12" s="1">
        <v>0</v>
      </c>
      <c r="BQ12" s="1">
        <v>0</v>
      </c>
      <c r="BR12" s="1">
        <v>0</v>
      </c>
      <c r="BS12" s="1">
        <v>0</v>
      </c>
      <c r="BT12" s="1">
        <v>0</v>
      </c>
      <c r="BU12" s="1">
        <v>6555.0999999999995</v>
      </c>
      <c r="BV12" s="1">
        <v>7040.8899999999994</v>
      </c>
      <c r="BW12" s="1">
        <v>6895.8899999999994</v>
      </c>
      <c r="BX12" s="1">
        <v>5510.88</v>
      </c>
      <c r="BY12" s="1">
        <v>6555.0999999999995</v>
      </c>
      <c r="BZ12" s="1">
        <v>7040.8899999999994</v>
      </c>
      <c r="CA12" s="1">
        <v>6895.8899999999994</v>
      </c>
      <c r="CB12" s="1">
        <v>5510.88</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623.66</v>
      </c>
      <c r="CT12" s="1">
        <v>635.12</v>
      </c>
      <c r="CU12" s="1">
        <v>609.62</v>
      </c>
      <c r="CV12" s="1">
        <v>599.21</v>
      </c>
      <c r="CW12" s="1">
        <v>623.66</v>
      </c>
      <c r="CX12" s="1">
        <v>635.12</v>
      </c>
      <c r="CY12" s="1">
        <v>609.62</v>
      </c>
      <c r="CZ12" s="1">
        <v>599.21</v>
      </c>
      <c r="DA12" s="1">
        <v>0</v>
      </c>
      <c r="DB12" s="1">
        <v>0</v>
      </c>
      <c r="DC12" s="1">
        <v>0</v>
      </c>
      <c r="DD12" s="1">
        <v>0</v>
      </c>
      <c r="DE12" s="1">
        <v>0</v>
      </c>
      <c r="DF12" s="1">
        <v>0</v>
      </c>
      <c r="DG12" s="1">
        <v>0</v>
      </c>
      <c r="DH12" s="1">
        <v>0</v>
      </c>
      <c r="DI12" s="1">
        <v>0</v>
      </c>
      <c r="DJ12" s="1">
        <v>0</v>
      </c>
      <c r="DK12" s="1">
        <v>0</v>
      </c>
      <c r="DL12" s="1">
        <v>0</v>
      </c>
      <c r="DM12" s="1">
        <v>3637.35</v>
      </c>
      <c r="DN12" s="1">
        <v>3432.25</v>
      </c>
      <c r="DO12" s="1">
        <v>3282.8</v>
      </c>
      <c r="DP12" s="1">
        <v>2085.67</v>
      </c>
      <c r="DQ12" s="1">
        <v>3637.35</v>
      </c>
      <c r="DR12" s="1">
        <v>3432.25</v>
      </c>
      <c r="DS12" s="1">
        <v>3282.8</v>
      </c>
      <c r="DT12" s="1">
        <v>2085.67</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454.55</v>
      </c>
      <c r="EL12" s="1">
        <v>661.02</v>
      </c>
      <c r="EM12" s="1">
        <v>647.31000000000006</v>
      </c>
      <c r="EN12" s="1">
        <v>607.75</v>
      </c>
      <c r="EO12" s="1">
        <v>454.55</v>
      </c>
      <c r="EP12" s="1">
        <v>661.02</v>
      </c>
      <c r="EQ12" s="1">
        <v>647.31000000000006</v>
      </c>
      <c r="ER12" s="1">
        <v>607.75</v>
      </c>
      <c r="ES12" s="1">
        <v>0</v>
      </c>
      <c r="ET12" s="1">
        <v>0</v>
      </c>
      <c r="EU12" s="1">
        <v>0</v>
      </c>
      <c r="EV12" s="1">
        <v>0</v>
      </c>
      <c r="EW12" s="1">
        <v>0</v>
      </c>
      <c r="EX12" s="1">
        <v>0</v>
      </c>
      <c r="EY12" s="1">
        <v>0</v>
      </c>
      <c r="EZ12" s="1">
        <v>0</v>
      </c>
      <c r="FA12" s="1">
        <v>0</v>
      </c>
      <c r="FB12" s="1">
        <v>0</v>
      </c>
      <c r="FC12" s="1">
        <v>0</v>
      </c>
      <c r="FD12" s="1">
        <v>0</v>
      </c>
      <c r="FE12" s="1">
        <v>131.52000000000001</v>
      </c>
      <c r="FF12" s="1">
        <v>154.41</v>
      </c>
      <c r="FG12" s="1">
        <v>157.94</v>
      </c>
      <c r="FH12" s="1">
        <v>156.52000000000001</v>
      </c>
      <c r="FI12" s="1">
        <v>131.52000000000001</v>
      </c>
      <c r="FJ12" s="1">
        <v>154.41</v>
      </c>
      <c r="FK12" s="1">
        <v>157.94</v>
      </c>
      <c r="FL12" s="1">
        <v>156.52000000000001</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450.49</v>
      </c>
      <c r="IP12" s="1">
        <v>577.30999999999995</v>
      </c>
      <c r="IQ12" s="1">
        <v>759.71</v>
      </c>
      <c r="IR12" s="1">
        <v>987.73</v>
      </c>
      <c r="IS12" s="1">
        <v>450.49</v>
      </c>
      <c r="IT12" s="1">
        <v>577.30999999999995</v>
      </c>
      <c r="IU12" s="1">
        <v>759.71</v>
      </c>
      <c r="IV12" s="1">
        <v>987.73</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0</v>
      </c>
      <c r="JO12" s="1">
        <v>0</v>
      </c>
      <c r="JP12" s="1">
        <v>0</v>
      </c>
      <c r="JQ12" s="9"/>
      <c r="JR12" s="1">
        <f t="shared" si="0"/>
        <v>2638.7964000000002</v>
      </c>
      <c r="JS12" s="1">
        <f t="shared" si="1"/>
        <v>2857.9446000000003</v>
      </c>
      <c r="JT12" s="1">
        <f t="shared" si="2"/>
        <v>3034.8675000000003</v>
      </c>
      <c r="JU12" s="1">
        <f t="shared" si="3"/>
        <v>2910.7485000000006</v>
      </c>
      <c r="JV12" s="1">
        <f t="shared" si="4"/>
        <v>488.666</v>
      </c>
      <c r="JW12" s="1">
        <f t="shared" si="5"/>
        <v>529.24900000000002</v>
      </c>
      <c r="JX12" s="1">
        <f t="shared" si="6"/>
        <v>562.01250000000005</v>
      </c>
      <c r="JY12" s="1">
        <f t="shared" si="7"/>
        <v>539.02750000000003</v>
      </c>
    </row>
    <row r="13" spans="1:285" x14ac:dyDescent="0.35">
      <c r="A13" s="2" t="s">
        <v>20</v>
      </c>
      <c r="B13" s="1">
        <v>191974</v>
      </c>
      <c r="C13" s="1">
        <v>192419</v>
      </c>
      <c r="D13" s="1">
        <v>195467</v>
      </c>
      <c r="E13" s="1">
        <v>198264</v>
      </c>
      <c r="F13" s="1">
        <v>124801.784</v>
      </c>
      <c r="G13" s="1">
        <v>141260.587</v>
      </c>
      <c r="H13" s="1">
        <v>140325.16</v>
      </c>
      <c r="I13" s="1">
        <v>143877.992</v>
      </c>
      <c r="J13" s="1">
        <f t="shared" si="8"/>
        <v>53255.19</v>
      </c>
      <c r="K13" s="1">
        <f t="shared" si="9"/>
        <v>71225.746999999988</v>
      </c>
      <c r="L13" s="1">
        <f t="shared" si="10"/>
        <v>69513.489999999991</v>
      </c>
      <c r="M13" s="1">
        <f t="shared" si="11"/>
        <v>72508.163</v>
      </c>
      <c r="N13" s="1">
        <f t="shared" si="12"/>
        <v>71546.593999999997</v>
      </c>
      <c r="O13" s="1">
        <f t="shared" si="13"/>
        <v>70034.840000000011</v>
      </c>
      <c r="P13" s="1">
        <f t="shared" si="14"/>
        <v>70811.670000000013</v>
      </c>
      <c r="Q13" s="1">
        <f t="shared" si="15"/>
        <v>71369.828999999998</v>
      </c>
      <c r="R13" s="1">
        <v>8267.24</v>
      </c>
      <c r="S13" s="1">
        <v>8183.7899999999991</v>
      </c>
      <c r="T13" s="1">
        <v>7468.8399999999992</v>
      </c>
      <c r="U13" s="1">
        <v>6984.97</v>
      </c>
      <c r="V13" s="1">
        <v>0</v>
      </c>
      <c r="W13" s="1">
        <v>0</v>
      </c>
      <c r="X13" s="1">
        <v>7888.59</v>
      </c>
      <c r="Y13" s="1">
        <v>0</v>
      </c>
      <c r="Z13" s="1">
        <v>0</v>
      </c>
      <c r="AA13" s="1">
        <v>7808.9599999999991</v>
      </c>
      <c r="AB13" s="1">
        <v>0</v>
      </c>
      <c r="AC13" s="1">
        <v>0</v>
      </c>
      <c r="AD13" s="1">
        <v>7157.7599999999993</v>
      </c>
      <c r="AE13" s="1">
        <v>0</v>
      </c>
      <c r="AF13" s="1">
        <v>0</v>
      </c>
      <c r="AG13" s="1">
        <v>6812.92</v>
      </c>
      <c r="AH13" s="1">
        <v>0</v>
      </c>
      <c r="AI13" s="1">
        <v>0</v>
      </c>
      <c r="AJ13" s="1">
        <v>0</v>
      </c>
      <c r="AK13" s="1">
        <v>172.05</v>
      </c>
      <c r="AL13" s="1">
        <v>0</v>
      </c>
      <c r="AM13" s="1">
        <v>0</v>
      </c>
      <c r="AN13" s="1">
        <v>0</v>
      </c>
      <c r="AO13" s="1">
        <v>0</v>
      </c>
      <c r="AP13" s="1">
        <v>10622.77</v>
      </c>
      <c r="AQ13" s="1">
        <v>11736.599999999999</v>
      </c>
      <c r="AR13" s="1">
        <v>10512.349999999999</v>
      </c>
      <c r="AS13" s="1">
        <v>12382.81</v>
      </c>
      <c r="AT13" s="1">
        <v>0</v>
      </c>
      <c r="AU13" s="1">
        <v>10622.77</v>
      </c>
      <c r="AV13" s="1">
        <v>0</v>
      </c>
      <c r="AW13" s="1">
        <v>0</v>
      </c>
      <c r="AX13" s="1">
        <v>0</v>
      </c>
      <c r="AY13" s="1">
        <v>11736.599999999999</v>
      </c>
      <c r="AZ13" s="1">
        <v>0</v>
      </c>
      <c r="BA13" s="1">
        <v>0</v>
      </c>
      <c r="BB13" s="1">
        <v>0</v>
      </c>
      <c r="BC13" s="1">
        <v>10512.349999999999</v>
      </c>
      <c r="BD13" s="1">
        <v>0</v>
      </c>
      <c r="BE13" s="1">
        <v>0</v>
      </c>
      <c r="BF13" s="1">
        <v>12382.81</v>
      </c>
      <c r="BG13" s="1">
        <v>0</v>
      </c>
      <c r="BH13" s="1">
        <v>0</v>
      </c>
      <c r="BI13" s="1">
        <v>0</v>
      </c>
      <c r="BJ13" s="1">
        <v>0</v>
      </c>
      <c r="BK13" s="1">
        <v>0</v>
      </c>
      <c r="BL13" s="1">
        <v>0</v>
      </c>
      <c r="BM13" s="1">
        <v>0</v>
      </c>
      <c r="BN13" s="1">
        <v>0</v>
      </c>
      <c r="BO13" s="1">
        <v>0</v>
      </c>
      <c r="BP13" s="1">
        <v>0</v>
      </c>
      <c r="BQ13" s="1">
        <v>0</v>
      </c>
      <c r="BR13" s="1">
        <v>0</v>
      </c>
      <c r="BS13" s="1">
        <v>0</v>
      </c>
      <c r="BT13" s="1">
        <v>0</v>
      </c>
      <c r="BU13" s="1">
        <v>9343.42</v>
      </c>
      <c r="BV13" s="1">
        <v>14450.89</v>
      </c>
      <c r="BW13" s="1">
        <v>16781.509999999998</v>
      </c>
      <c r="BX13" s="1">
        <v>16298</v>
      </c>
      <c r="BY13" s="1">
        <v>9340.6</v>
      </c>
      <c r="BZ13" s="1">
        <v>14361.09</v>
      </c>
      <c r="CA13" s="1">
        <v>16781.509999999998</v>
      </c>
      <c r="CB13" s="1">
        <v>16298</v>
      </c>
      <c r="CC13" s="1">
        <v>2.82</v>
      </c>
      <c r="CD13" s="1">
        <v>0</v>
      </c>
      <c r="CE13" s="1">
        <v>0</v>
      </c>
      <c r="CF13" s="1">
        <v>0</v>
      </c>
      <c r="CG13" s="1">
        <v>89.8</v>
      </c>
      <c r="CH13" s="1">
        <v>0</v>
      </c>
      <c r="CI13" s="1">
        <v>0</v>
      </c>
      <c r="CJ13" s="1">
        <v>0</v>
      </c>
      <c r="CK13" s="1">
        <v>0</v>
      </c>
      <c r="CL13" s="1">
        <v>0</v>
      </c>
      <c r="CM13" s="1">
        <v>0</v>
      </c>
      <c r="CN13" s="1">
        <v>0</v>
      </c>
      <c r="CO13" s="1">
        <v>0</v>
      </c>
      <c r="CP13" s="1">
        <v>0</v>
      </c>
      <c r="CQ13" s="1">
        <v>0</v>
      </c>
      <c r="CR13" s="1">
        <v>0</v>
      </c>
      <c r="CS13" s="1">
        <v>2236.52</v>
      </c>
      <c r="CT13" s="1">
        <v>3254.63</v>
      </c>
      <c r="CU13" s="1">
        <v>2921.73</v>
      </c>
      <c r="CV13" s="1">
        <v>2704</v>
      </c>
      <c r="CW13" s="1">
        <v>2236.52</v>
      </c>
      <c r="CX13" s="1">
        <v>3254.63</v>
      </c>
      <c r="CY13" s="1">
        <v>2921.73</v>
      </c>
      <c r="CZ13" s="1">
        <v>2704</v>
      </c>
      <c r="DA13" s="1">
        <v>0</v>
      </c>
      <c r="DB13" s="1">
        <v>0</v>
      </c>
      <c r="DC13" s="1">
        <v>0</v>
      </c>
      <c r="DD13" s="1">
        <v>0</v>
      </c>
      <c r="DE13" s="1">
        <v>0</v>
      </c>
      <c r="DF13" s="1">
        <v>0</v>
      </c>
      <c r="DG13" s="1">
        <v>0</v>
      </c>
      <c r="DH13" s="1">
        <v>0</v>
      </c>
      <c r="DI13" s="1">
        <v>0</v>
      </c>
      <c r="DJ13" s="1">
        <v>0</v>
      </c>
      <c r="DK13" s="1">
        <v>0</v>
      </c>
      <c r="DL13" s="1">
        <v>0</v>
      </c>
      <c r="DM13" s="1">
        <v>6872.81</v>
      </c>
      <c r="DN13" s="1">
        <v>9811.39</v>
      </c>
      <c r="DO13" s="1">
        <v>9066.0299999999988</v>
      </c>
      <c r="DP13" s="1">
        <v>7902.1699999999992</v>
      </c>
      <c r="DQ13" s="1">
        <v>6872.81</v>
      </c>
      <c r="DR13" s="1">
        <v>9721.59</v>
      </c>
      <c r="DS13" s="1">
        <v>9066.0299999999988</v>
      </c>
      <c r="DT13" s="1">
        <v>7902.1699999999992</v>
      </c>
      <c r="DU13" s="1">
        <v>0</v>
      </c>
      <c r="DV13" s="1">
        <v>0</v>
      </c>
      <c r="DW13" s="1">
        <v>0</v>
      </c>
      <c r="DX13" s="1">
        <v>0</v>
      </c>
      <c r="DY13" s="1">
        <v>0</v>
      </c>
      <c r="DZ13" s="1">
        <v>89.8</v>
      </c>
      <c r="EA13" s="1">
        <v>0</v>
      </c>
      <c r="EB13" s="1">
        <v>0</v>
      </c>
      <c r="EC13" s="1">
        <v>0</v>
      </c>
      <c r="ED13" s="1">
        <v>0</v>
      </c>
      <c r="EE13" s="1">
        <v>0</v>
      </c>
      <c r="EF13" s="1">
        <v>0</v>
      </c>
      <c r="EG13" s="1">
        <v>0</v>
      </c>
      <c r="EH13" s="1">
        <v>0</v>
      </c>
      <c r="EI13" s="1">
        <v>0</v>
      </c>
      <c r="EJ13" s="1">
        <v>0</v>
      </c>
      <c r="EK13" s="1">
        <v>5005.0200000000004</v>
      </c>
      <c r="EL13" s="1">
        <v>9813.85</v>
      </c>
      <c r="EM13" s="1">
        <v>8811.2999999999993</v>
      </c>
      <c r="EN13" s="1">
        <v>9736.5750000000007</v>
      </c>
      <c r="EO13" s="1">
        <v>4987.8100000000004</v>
      </c>
      <c r="EP13" s="1">
        <v>9785.2899999999991</v>
      </c>
      <c r="EQ13" s="1">
        <v>8799.91</v>
      </c>
      <c r="ER13" s="1">
        <v>9723.9449999999997</v>
      </c>
      <c r="ES13" s="1">
        <v>17.21</v>
      </c>
      <c r="ET13" s="1">
        <v>28.56</v>
      </c>
      <c r="EU13" s="1">
        <v>11.39</v>
      </c>
      <c r="EV13" s="1">
        <v>12.63</v>
      </c>
      <c r="EW13" s="1">
        <v>0</v>
      </c>
      <c r="EX13" s="1">
        <v>0</v>
      </c>
      <c r="EY13" s="1">
        <v>0</v>
      </c>
      <c r="EZ13" s="1">
        <v>0</v>
      </c>
      <c r="FA13" s="1">
        <v>0</v>
      </c>
      <c r="FB13" s="1">
        <v>0</v>
      </c>
      <c r="FC13" s="1">
        <v>0</v>
      </c>
      <c r="FD13" s="1">
        <v>0</v>
      </c>
      <c r="FE13" s="1">
        <v>265</v>
      </c>
      <c r="FF13" s="1">
        <v>457.84</v>
      </c>
      <c r="FG13" s="1">
        <v>327.93</v>
      </c>
      <c r="FH13" s="1">
        <v>259.44</v>
      </c>
      <c r="FI13" s="1">
        <v>247.7</v>
      </c>
      <c r="FJ13" s="1">
        <v>457.84</v>
      </c>
      <c r="FK13" s="1">
        <v>327.93</v>
      </c>
      <c r="FL13" s="1">
        <v>259.44</v>
      </c>
      <c r="FM13" s="1">
        <v>17.3</v>
      </c>
      <c r="FN13" s="1">
        <v>0</v>
      </c>
      <c r="FO13" s="1">
        <v>0</v>
      </c>
      <c r="FP13" s="1">
        <v>0</v>
      </c>
      <c r="FQ13" s="1">
        <v>0</v>
      </c>
      <c r="FR13" s="1">
        <v>0</v>
      </c>
      <c r="FS13" s="1">
        <v>0</v>
      </c>
      <c r="FT13" s="1">
        <v>0</v>
      </c>
      <c r="FU13" s="1">
        <v>0</v>
      </c>
      <c r="FV13" s="1">
        <v>0</v>
      </c>
      <c r="FW13" s="1">
        <v>0</v>
      </c>
      <c r="FX13" s="1">
        <v>0</v>
      </c>
      <c r="FY13" s="1">
        <v>0</v>
      </c>
      <c r="FZ13" s="1">
        <v>0</v>
      </c>
      <c r="GA13" s="1">
        <v>0</v>
      </c>
      <c r="GB13" s="1">
        <v>0</v>
      </c>
      <c r="GC13" s="1">
        <v>821.85</v>
      </c>
      <c r="GD13" s="1">
        <v>914.54700000000003</v>
      </c>
      <c r="GE13" s="1">
        <v>1325.7</v>
      </c>
      <c r="GF13" s="1">
        <v>1233.6500000000001</v>
      </c>
      <c r="GG13" s="1">
        <v>821.85</v>
      </c>
      <c r="GH13" s="1">
        <v>914.54700000000003</v>
      </c>
      <c r="GI13" s="1">
        <v>1325.7</v>
      </c>
      <c r="GJ13" s="1">
        <v>1233.6500000000001</v>
      </c>
      <c r="GK13" s="1">
        <v>0</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6417.2000000000007</v>
      </c>
      <c r="HF13" s="1">
        <v>8470.6299999999992</v>
      </c>
      <c r="HG13" s="1">
        <v>8481.59</v>
      </c>
      <c r="HH13" s="1">
        <v>10605.882</v>
      </c>
      <c r="HI13" s="1">
        <v>6107.7199999999993</v>
      </c>
      <c r="HJ13" s="1">
        <v>8225.3599999999988</v>
      </c>
      <c r="HK13" s="1">
        <v>5981.04</v>
      </c>
      <c r="HL13" s="1">
        <v>8079.1019999999999</v>
      </c>
      <c r="HM13" s="1">
        <v>0</v>
      </c>
      <c r="HN13" s="1">
        <v>0</v>
      </c>
      <c r="HO13" s="1">
        <v>0</v>
      </c>
      <c r="HP13" s="1">
        <v>0</v>
      </c>
      <c r="HQ13" s="1">
        <v>0</v>
      </c>
      <c r="HR13" s="1">
        <v>0</v>
      </c>
      <c r="HS13" s="1">
        <v>0</v>
      </c>
      <c r="HT13" s="1">
        <v>0</v>
      </c>
      <c r="HU13" s="1">
        <v>0</v>
      </c>
      <c r="HV13" s="1">
        <v>0</v>
      </c>
      <c r="HW13" s="1">
        <v>1.79</v>
      </c>
      <c r="HX13" s="1">
        <v>1.99</v>
      </c>
      <c r="HY13" s="1">
        <v>0</v>
      </c>
      <c r="HZ13" s="1">
        <v>0</v>
      </c>
      <c r="IA13" s="1">
        <v>0</v>
      </c>
      <c r="IB13" s="1">
        <v>0</v>
      </c>
      <c r="IC13" s="1">
        <v>290.24</v>
      </c>
      <c r="ID13" s="1">
        <v>223.9</v>
      </c>
      <c r="IE13" s="1">
        <v>2492.79</v>
      </c>
      <c r="IF13" s="1">
        <v>2523.39</v>
      </c>
      <c r="IG13" s="1">
        <v>0</v>
      </c>
      <c r="IH13" s="1">
        <v>0</v>
      </c>
      <c r="II13" s="1">
        <v>0</v>
      </c>
      <c r="IJ13" s="1">
        <v>0.82</v>
      </c>
      <c r="IK13" s="1">
        <v>19.239999999999998</v>
      </c>
      <c r="IL13" s="1">
        <v>21.37</v>
      </c>
      <c r="IM13" s="1">
        <v>5.97</v>
      </c>
      <c r="IN13" s="1">
        <v>0.58000000000000007</v>
      </c>
      <c r="IO13" s="1">
        <v>3403.36</v>
      </c>
      <c r="IP13" s="1">
        <v>4131.58</v>
      </c>
      <c r="IQ13" s="1">
        <v>3816.51</v>
      </c>
      <c r="IR13" s="1">
        <v>4400.6660000000002</v>
      </c>
      <c r="IS13" s="1">
        <v>3024.06</v>
      </c>
      <c r="IT13" s="1">
        <v>3910.38</v>
      </c>
      <c r="IU13" s="1">
        <v>3708.03</v>
      </c>
      <c r="IV13" s="1">
        <v>4267.7060000000001</v>
      </c>
      <c r="IW13" s="1">
        <v>0</v>
      </c>
      <c r="IX13" s="1">
        <v>0</v>
      </c>
      <c r="IY13" s="1">
        <v>0</v>
      </c>
      <c r="IZ13" s="1">
        <v>2.48</v>
      </c>
      <c r="JA13" s="1">
        <v>0</v>
      </c>
      <c r="JB13" s="1">
        <v>117</v>
      </c>
      <c r="JC13" s="1">
        <v>14.44</v>
      </c>
      <c r="JD13" s="1">
        <v>3.68</v>
      </c>
      <c r="JE13" s="1">
        <v>379.3</v>
      </c>
      <c r="JF13" s="1">
        <v>104.2</v>
      </c>
      <c r="JG13" s="1">
        <v>94.04</v>
      </c>
      <c r="JH13" s="1">
        <v>126.62</v>
      </c>
      <c r="JI13" s="1">
        <v>0</v>
      </c>
      <c r="JJ13" s="1">
        <v>0</v>
      </c>
      <c r="JK13" s="1">
        <v>0</v>
      </c>
      <c r="JL13" s="1">
        <v>0</v>
      </c>
      <c r="JM13" s="1">
        <v>0</v>
      </c>
      <c r="JN13" s="1">
        <v>0</v>
      </c>
      <c r="JO13" s="1">
        <v>0</v>
      </c>
      <c r="JP13" s="1">
        <v>0.18</v>
      </c>
      <c r="JQ13" s="9"/>
      <c r="JR13" s="1">
        <f t="shared" si="0"/>
        <v>19317.580379999999</v>
      </c>
      <c r="JS13" s="1">
        <f t="shared" si="1"/>
        <v>18909.406800000004</v>
      </c>
      <c r="JT13" s="1">
        <f t="shared" si="2"/>
        <v>19119.150900000004</v>
      </c>
      <c r="JU13" s="1">
        <f t="shared" si="3"/>
        <v>19269.85383</v>
      </c>
      <c r="JV13" s="1">
        <f t="shared" si="4"/>
        <v>3577.3297000000002</v>
      </c>
      <c r="JW13" s="1">
        <f t="shared" si="5"/>
        <v>3501.7420000000006</v>
      </c>
      <c r="JX13" s="1">
        <f t="shared" si="6"/>
        <v>3540.5835000000006</v>
      </c>
      <c r="JY13" s="1">
        <f t="shared" si="7"/>
        <v>3568.49145</v>
      </c>
    </row>
    <row r="14" spans="1:285" x14ac:dyDescent="0.35">
      <c r="A14" s="2" t="s">
        <v>21</v>
      </c>
      <c r="B14" s="1">
        <v>182346</v>
      </c>
      <c r="C14" s="1">
        <v>185796</v>
      </c>
      <c r="D14" s="1">
        <v>187624</v>
      </c>
      <c r="E14" s="1">
        <v>191575</v>
      </c>
      <c r="F14" s="1">
        <v>193900.53099999999</v>
      </c>
      <c r="G14" s="1">
        <v>149416.557</v>
      </c>
      <c r="H14" s="1">
        <v>145003.17800000001</v>
      </c>
      <c r="I14" s="1">
        <v>149217.74100000001</v>
      </c>
      <c r="J14" s="1">
        <f t="shared" si="8"/>
        <v>48791.442999999999</v>
      </c>
      <c r="K14" s="1">
        <f t="shared" si="9"/>
        <v>44743.351999999999</v>
      </c>
      <c r="L14" s="1">
        <f t="shared" si="10"/>
        <v>33907.983999999997</v>
      </c>
      <c r="M14" s="1">
        <f t="shared" si="11"/>
        <v>33053.737999999998</v>
      </c>
      <c r="N14" s="1">
        <f t="shared" si="12"/>
        <v>145109.08799999999</v>
      </c>
      <c r="O14" s="1">
        <f t="shared" si="13"/>
        <v>104673.205</v>
      </c>
      <c r="P14" s="1">
        <f t="shared" si="14"/>
        <v>111095.19400000002</v>
      </c>
      <c r="Q14" s="1">
        <f t="shared" si="15"/>
        <v>116164.00300000001</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11569.28</v>
      </c>
      <c r="AQ14" s="1">
        <v>13831.080000000002</v>
      </c>
      <c r="AR14" s="1">
        <v>11817.08</v>
      </c>
      <c r="AS14" s="1">
        <v>14573.499999999998</v>
      </c>
      <c r="AT14" s="1">
        <v>0</v>
      </c>
      <c r="AU14" s="1">
        <v>11569.28</v>
      </c>
      <c r="AV14" s="1">
        <v>0</v>
      </c>
      <c r="AW14" s="1">
        <v>0</v>
      </c>
      <c r="AX14" s="1">
        <v>0</v>
      </c>
      <c r="AY14" s="1">
        <v>13831.080000000002</v>
      </c>
      <c r="AZ14" s="1">
        <v>0</v>
      </c>
      <c r="BA14" s="1">
        <v>0</v>
      </c>
      <c r="BB14" s="1">
        <v>0</v>
      </c>
      <c r="BC14" s="1">
        <v>11817.08</v>
      </c>
      <c r="BD14" s="1">
        <v>0</v>
      </c>
      <c r="BE14" s="1">
        <v>0</v>
      </c>
      <c r="BF14" s="1">
        <v>14573.499999999998</v>
      </c>
      <c r="BG14" s="1">
        <v>0</v>
      </c>
      <c r="BH14" s="1">
        <v>0</v>
      </c>
      <c r="BI14" s="1">
        <v>0</v>
      </c>
      <c r="BJ14" s="1">
        <v>0</v>
      </c>
      <c r="BK14" s="1">
        <v>0</v>
      </c>
      <c r="BL14" s="1">
        <v>0</v>
      </c>
      <c r="BM14" s="1">
        <v>0</v>
      </c>
      <c r="BN14" s="1">
        <v>0</v>
      </c>
      <c r="BO14" s="1">
        <v>0</v>
      </c>
      <c r="BP14" s="1">
        <v>0</v>
      </c>
      <c r="BQ14" s="1">
        <v>0</v>
      </c>
      <c r="BR14" s="1">
        <v>0</v>
      </c>
      <c r="BS14" s="1">
        <v>0</v>
      </c>
      <c r="BT14" s="1">
        <v>0</v>
      </c>
      <c r="BU14" s="1">
        <v>11560.790999999999</v>
      </c>
      <c r="BV14" s="1">
        <v>10469.487999999999</v>
      </c>
      <c r="BW14" s="1">
        <v>7195.8600000000006</v>
      </c>
      <c r="BX14" s="1">
        <v>7201.0060000000003</v>
      </c>
      <c r="BY14" s="1">
        <v>11560.790999999999</v>
      </c>
      <c r="BZ14" s="1">
        <v>10469.487999999999</v>
      </c>
      <c r="CA14" s="1">
        <v>7195.8600000000006</v>
      </c>
      <c r="CB14" s="1">
        <v>7201.0060000000003</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5053.9110000000001</v>
      </c>
      <c r="CT14" s="1">
        <v>3481.3069999999998</v>
      </c>
      <c r="CU14" s="1">
        <v>2169.66</v>
      </c>
      <c r="CV14" s="1">
        <v>2257.328</v>
      </c>
      <c r="CW14" s="1">
        <v>5026.3310000000001</v>
      </c>
      <c r="CX14" s="1">
        <v>3446.0169999999998</v>
      </c>
      <c r="CY14" s="1">
        <v>2118.7800000000002</v>
      </c>
      <c r="CZ14" s="1">
        <v>2220.8879999999999</v>
      </c>
      <c r="DA14" s="1">
        <v>27.58</v>
      </c>
      <c r="DB14" s="1">
        <v>35.29</v>
      </c>
      <c r="DC14" s="1">
        <v>50.88</v>
      </c>
      <c r="DD14" s="1">
        <v>36.44</v>
      </c>
      <c r="DE14" s="1">
        <v>0</v>
      </c>
      <c r="DF14" s="1">
        <v>0</v>
      </c>
      <c r="DG14" s="1">
        <v>0</v>
      </c>
      <c r="DH14" s="1">
        <v>0</v>
      </c>
      <c r="DI14" s="1">
        <v>0</v>
      </c>
      <c r="DJ14" s="1">
        <v>0</v>
      </c>
      <c r="DK14" s="1">
        <v>0</v>
      </c>
      <c r="DL14" s="1">
        <v>0</v>
      </c>
      <c r="DM14" s="1">
        <v>10755.799000000001</v>
      </c>
      <c r="DN14" s="1">
        <v>8914.7800000000007</v>
      </c>
      <c r="DO14" s="1">
        <v>5415.5499999999993</v>
      </c>
      <c r="DP14" s="1">
        <v>5207.1010000000006</v>
      </c>
      <c r="DQ14" s="1">
        <v>10755.799000000001</v>
      </c>
      <c r="DR14" s="1">
        <v>8914.7800000000007</v>
      </c>
      <c r="DS14" s="1">
        <v>5415.5499999999993</v>
      </c>
      <c r="DT14" s="1">
        <v>5207.1010000000006</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8102.6740000000009</v>
      </c>
      <c r="EL14" s="1">
        <v>4005.5</v>
      </c>
      <c r="EM14" s="1">
        <v>1439.16</v>
      </c>
      <c r="EN14" s="1">
        <v>1557.37</v>
      </c>
      <c r="EO14" s="1">
        <v>8099.634</v>
      </c>
      <c r="EP14" s="1">
        <v>4002.06</v>
      </c>
      <c r="EQ14" s="1">
        <v>1434.31</v>
      </c>
      <c r="ER14" s="1">
        <v>1552.8</v>
      </c>
      <c r="ES14" s="1">
        <v>3.04</v>
      </c>
      <c r="ET14" s="1">
        <v>3.44</v>
      </c>
      <c r="EU14" s="1">
        <v>4.8499999999999996</v>
      </c>
      <c r="EV14" s="1">
        <v>4.57</v>
      </c>
      <c r="EW14" s="1">
        <v>0</v>
      </c>
      <c r="EX14" s="1">
        <v>0</v>
      </c>
      <c r="EY14" s="1">
        <v>0</v>
      </c>
      <c r="EZ14" s="1">
        <v>0</v>
      </c>
      <c r="FA14" s="1">
        <v>0</v>
      </c>
      <c r="FB14" s="1">
        <v>0</v>
      </c>
      <c r="FC14" s="1">
        <v>0</v>
      </c>
      <c r="FD14" s="1">
        <v>0</v>
      </c>
      <c r="FE14" s="1">
        <v>148.898</v>
      </c>
      <c r="FF14" s="1">
        <v>196.46899999999999</v>
      </c>
      <c r="FG14" s="1">
        <v>234.554</v>
      </c>
      <c r="FH14" s="1">
        <v>234.78200000000001</v>
      </c>
      <c r="FI14" s="1">
        <v>148.898</v>
      </c>
      <c r="FJ14" s="1">
        <v>196.46899999999999</v>
      </c>
      <c r="FK14" s="1">
        <v>230.13200000000001</v>
      </c>
      <c r="FL14" s="1">
        <v>234.78200000000001</v>
      </c>
      <c r="FM14" s="1">
        <v>0</v>
      </c>
      <c r="FN14" s="1">
        <v>0</v>
      </c>
      <c r="FO14" s="1">
        <v>4.4220000000000006</v>
      </c>
      <c r="FP14" s="1">
        <v>0</v>
      </c>
      <c r="FQ14" s="1">
        <v>0</v>
      </c>
      <c r="FR14" s="1">
        <v>0</v>
      </c>
      <c r="FS14" s="1">
        <v>0</v>
      </c>
      <c r="FT14" s="1">
        <v>0</v>
      </c>
      <c r="FU14" s="1">
        <v>0</v>
      </c>
      <c r="FV14" s="1">
        <v>0</v>
      </c>
      <c r="FW14" s="1">
        <v>0</v>
      </c>
      <c r="FX14" s="1">
        <v>0</v>
      </c>
      <c r="FY14" s="1">
        <v>0</v>
      </c>
      <c r="FZ14" s="1">
        <v>0</v>
      </c>
      <c r="GA14" s="1">
        <v>0</v>
      </c>
      <c r="GB14" s="1">
        <v>0</v>
      </c>
      <c r="GC14" s="1">
        <v>592.952</v>
      </c>
      <c r="GD14" s="1">
        <v>972.53</v>
      </c>
      <c r="GE14" s="1">
        <v>743.6400000000001</v>
      </c>
      <c r="GF14" s="1">
        <v>815.67600000000004</v>
      </c>
      <c r="GG14" s="1">
        <v>584.12199999999996</v>
      </c>
      <c r="GH14" s="1">
        <v>959.30000000000007</v>
      </c>
      <c r="GI14" s="1">
        <v>732.81999999999994</v>
      </c>
      <c r="GJ14" s="1">
        <v>801.67899999999997</v>
      </c>
      <c r="GK14" s="1">
        <v>8.83</v>
      </c>
      <c r="GL14" s="1">
        <v>13.23</v>
      </c>
      <c r="GM14" s="1">
        <v>10.82</v>
      </c>
      <c r="GN14" s="1">
        <v>13.997</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267.57400000000001</v>
      </c>
      <c r="HF14" s="1">
        <v>2210.6799999999998</v>
      </c>
      <c r="HG14" s="1">
        <v>4225.5600000000004</v>
      </c>
      <c r="HH14" s="1">
        <v>470.64</v>
      </c>
      <c r="HI14" s="1">
        <v>267.57400000000001</v>
      </c>
      <c r="HJ14" s="1">
        <v>1197.24</v>
      </c>
      <c r="HK14" s="1">
        <v>2118.7399999999998</v>
      </c>
      <c r="HL14" s="1">
        <v>266.76</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1013.44</v>
      </c>
      <c r="IE14" s="1">
        <v>2106.8200000000002</v>
      </c>
      <c r="IF14" s="1">
        <v>203.88</v>
      </c>
      <c r="IG14" s="1">
        <v>0</v>
      </c>
      <c r="IH14" s="1">
        <v>0</v>
      </c>
      <c r="II14" s="1">
        <v>0</v>
      </c>
      <c r="IJ14" s="1">
        <v>0</v>
      </c>
      <c r="IK14" s="1">
        <v>0</v>
      </c>
      <c r="IL14" s="1">
        <v>0</v>
      </c>
      <c r="IM14" s="1">
        <v>0</v>
      </c>
      <c r="IN14" s="1">
        <v>0</v>
      </c>
      <c r="IO14" s="1">
        <v>739.56399999999996</v>
      </c>
      <c r="IP14" s="1">
        <v>661.51800000000003</v>
      </c>
      <c r="IQ14" s="1">
        <v>666.92000000000007</v>
      </c>
      <c r="IR14" s="1">
        <v>736.33500000000004</v>
      </c>
      <c r="IS14" s="1">
        <v>730.774</v>
      </c>
      <c r="IT14" s="1">
        <v>646.05799999999999</v>
      </c>
      <c r="IU14" s="1">
        <v>646.39</v>
      </c>
      <c r="IV14" s="1">
        <v>710.73500000000001</v>
      </c>
      <c r="IW14" s="1">
        <v>8.7899999999999991</v>
      </c>
      <c r="IX14" s="1">
        <v>15.46</v>
      </c>
      <c r="IY14" s="1">
        <v>20.53</v>
      </c>
      <c r="IZ14" s="1">
        <v>25.6</v>
      </c>
      <c r="JA14" s="1">
        <v>0</v>
      </c>
      <c r="JB14" s="1">
        <v>0</v>
      </c>
      <c r="JC14" s="1">
        <v>0</v>
      </c>
      <c r="JD14" s="1">
        <v>0</v>
      </c>
      <c r="JE14" s="1">
        <v>0</v>
      </c>
      <c r="JF14" s="1">
        <v>0</v>
      </c>
      <c r="JG14" s="1">
        <v>0</v>
      </c>
      <c r="JH14" s="1">
        <v>0</v>
      </c>
      <c r="JI14" s="1">
        <v>0</v>
      </c>
      <c r="JJ14" s="1">
        <v>0</v>
      </c>
      <c r="JK14" s="1">
        <v>0</v>
      </c>
      <c r="JL14" s="1">
        <v>0</v>
      </c>
      <c r="JM14" s="1">
        <v>0</v>
      </c>
      <c r="JN14" s="1">
        <v>0</v>
      </c>
      <c r="JO14" s="1">
        <v>0</v>
      </c>
      <c r="JP14" s="1">
        <v>0</v>
      </c>
      <c r="JQ14" s="9"/>
      <c r="JR14" s="1">
        <f t="shared" si="0"/>
        <v>39179.453759999997</v>
      </c>
      <c r="JS14" s="1">
        <f t="shared" si="1"/>
        <v>28261.765350000001</v>
      </c>
      <c r="JT14" s="1">
        <f t="shared" si="2"/>
        <v>29995.702380000006</v>
      </c>
      <c r="JU14" s="1">
        <f t="shared" si="3"/>
        <v>31364.280810000004</v>
      </c>
      <c r="JV14" s="1">
        <f t="shared" si="4"/>
        <v>7255.4543999999996</v>
      </c>
      <c r="JW14" s="1">
        <f t="shared" si="5"/>
        <v>5233.6602500000008</v>
      </c>
      <c r="JX14" s="1">
        <f t="shared" si="6"/>
        <v>5554.7597000000014</v>
      </c>
      <c r="JY14" s="1">
        <f t="shared" si="7"/>
        <v>5808.2001500000006</v>
      </c>
    </row>
    <row r="15" spans="1:285" x14ac:dyDescent="0.35">
      <c r="A15" s="2" t="s">
        <v>22</v>
      </c>
      <c r="B15" s="1">
        <v>246924</v>
      </c>
      <c r="C15" s="1">
        <v>246637</v>
      </c>
      <c r="D15" s="1">
        <v>247875</v>
      </c>
      <c r="E15" s="1">
        <v>252124</v>
      </c>
      <c r="F15" s="1">
        <v>193408.08199999999</v>
      </c>
      <c r="G15" s="1">
        <v>205710.049</v>
      </c>
      <c r="H15" s="1">
        <v>192268.114</v>
      </c>
      <c r="I15" s="1">
        <v>187443.356</v>
      </c>
      <c r="J15" s="1">
        <f t="shared" si="8"/>
        <v>62205.5</v>
      </c>
      <c r="K15" s="1">
        <f t="shared" si="9"/>
        <v>56116.06</v>
      </c>
      <c r="L15" s="1">
        <f t="shared" si="10"/>
        <v>51595.24</v>
      </c>
      <c r="M15" s="1">
        <f t="shared" si="11"/>
        <v>49717.85</v>
      </c>
      <c r="N15" s="1">
        <f t="shared" si="12"/>
        <v>131202.58199999999</v>
      </c>
      <c r="O15" s="1">
        <f t="shared" si="13"/>
        <v>149593.989</v>
      </c>
      <c r="P15" s="1">
        <f t="shared" si="14"/>
        <v>140672.87400000001</v>
      </c>
      <c r="Q15" s="1">
        <f t="shared" si="15"/>
        <v>137725.50599999999</v>
      </c>
      <c r="R15" s="1">
        <v>5292</v>
      </c>
      <c r="S15" s="1">
        <v>5534.9</v>
      </c>
      <c r="T15" s="1">
        <v>4861.01</v>
      </c>
      <c r="U15" s="1">
        <v>5588.76</v>
      </c>
      <c r="V15" s="1">
        <v>0</v>
      </c>
      <c r="W15" s="1">
        <v>0</v>
      </c>
      <c r="X15" s="1">
        <v>5292</v>
      </c>
      <c r="Y15" s="1">
        <v>0</v>
      </c>
      <c r="Z15" s="1">
        <v>0</v>
      </c>
      <c r="AA15" s="1">
        <v>5534.9</v>
      </c>
      <c r="AB15" s="1">
        <v>0</v>
      </c>
      <c r="AC15" s="1">
        <v>0</v>
      </c>
      <c r="AD15" s="1">
        <v>4861.01</v>
      </c>
      <c r="AE15" s="1">
        <v>0</v>
      </c>
      <c r="AF15" s="1">
        <v>0</v>
      </c>
      <c r="AG15" s="1">
        <v>5588.76</v>
      </c>
      <c r="AH15" s="1">
        <v>0</v>
      </c>
      <c r="AI15" s="1">
        <v>0</v>
      </c>
      <c r="AJ15" s="1">
        <v>0</v>
      </c>
      <c r="AK15" s="1">
        <v>0</v>
      </c>
      <c r="AL15" s="1">
        <v>0</v>
      </c>
      <c r="AM15" s="1">
        <v>0</v>
      </c>
      <c r="AN15" s="1">
        <v>0</v>
      </c>
      <c r="AO15" s="1">
        <v>0</v>
      </c>
      <c r="AP15" s="1">
        <v>12206</v>
      </c>
      <c r="AQ15" s="1">
        <v>13463.2</v>
      </c>
      <c r="AR15" s="1">
        <v>11167.010000000002</v>
      </c>
      <c r="AS15" s="1">
        <v>12112.81</v>
      </c>
      <c r="AT15" s="1">
        <v>0</v>
      </c>
      <c r="AU15" s="1">
        <v>12206</v>
      </c>
      <c r="AV15" s="1">
        <v>0</v>
      </c>
      <c r="AW15" s="1">
        <v>0</v>
      </c>
      <c r="AX15" s="1">
        <v>0</v>
      </c>
      <c r="AY15" s="1">
        <v>13463.2</v>
      </c>
      <c r="AZ15" s="1">
        <v>0</v>
      </c>
      <c r="BA15" s="1">
        <v>0</v>
      </c>
      <c r="BB15" s="1">
        <v>0</v>
      </c>
      <c r="BC15" s="1">
        <v>11167.010000000002</v>
      </c>
      <c r="BD15" s="1">
        <v>0</v>
      </c>
      <c r="BE15" s="1">
        <v>0</v>
      </c>
      <c r="BF15" s="1">
        <v>12112.81</v>
      </c>
      <c r="BG15" s="1">
        <v>0</v>
      </c>
      <c r="BH15" s="1">
        <v>0</v>
      </c>
      <c r="BI15" s="1">
        <v>0</v>
      </c>
      <c r="BJ15" s="1">
        <v>0</v>
      </c>
      <c r="BK15" s="1">
        <v>0</v>
      </c>
      <c r="BL15" s="1">
        <v>0</v>
      </c>
      <c r="BM15" s="1">
        <v>0</v>
      </c>
      <c r="BN15" s="1">
        <v>0</v>
      </c>
      <c r="BO15" s="1">
        <v>0</v>
      </c>
      <c r="BP15" s="1">
        <v>0</v>
      </c>
      <c r="BQ15" s="1">
        <v>0</v>
      </c>
      <c r="BR15" s="1">
        <v>0</v>
      </c>
      <c r="BS15" s="1">
        <v>0</v>
      </c>
      <c r="BT15" s="1">
        <v>0</v>
      </c>
      <c r="BU15" s="1">
        <v>10337</v>
      </c>
      <c r="BV15" s="1">
        <v>8907.5299999999988</v>
      </c>
      <c r="BW15" s="1">
        <v>8017.92</v>
      </c>
      <c r="BX15" s="1">
        <v>6855.96</v>
      </c>
      <c r="BY15" s="1">
        <v>10337</v>
      </c>
      <c r="BZ15" s="1">
        <v>8907.5299999999988</v>
      </c>
      <c r="CA15" s="1">
        <v>8017.92</v>
      </c>
      <c r="CB15" s="1">
        <v>6855.96</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5061</v>
      </c>
      <c r="CT15" s="1">
        <v>3218.27</v>
      </c>
      <c r="CU15" s="1">
        <v>2325.12</v>
      </c>
      <c r="CV15" s="1">
        <v>2456.0700000000002</v>
      </c>
      <c r="CW15" s="1">
        <v>5061</v>
      </c>
      <c r="CX15" s="1">
        <v>3218.27</v>
      </c>
      <c r="CY15" s="1">
        <v>2325.12</v>
      </c>
      <c r="CZ15" s="1">
        <v>2456.0700000000002</v>
      </c>
      <c r="DA15" s="1">
        <v>0</v>
      </c>
      <c r="DB15" s="1">
        <v>0</v>
      </c>
      <c r="DC15" s="1">
        <v>0</v>
      </c>
      <c r="DD15" s="1">
        <v>0</v>
      </c>
      <c r="DE15" s="1">
        <v>0</v>
      </c>
      <c r="DF15" s="1">
        <v>0</v>
      </c>
      <c r="DG15" s="1">
        <v>0</v>
      </c>
      <c r="DH15" s="1">
        <v>0</v>
      </c>
      <c r="DI15" s="1">
        <v>0</v>
      </c>
      <c r="DJ15" s="1">
        <v>0</v>
      </c>
      <c r="DK15" s="1">
        <v>0</v>
      </c>
      <c r="DL15" s="1">
        <v>0</v>
      </c>
      <c r="DM15" s="1">
        <v>7020</v>
      </c>
      <c r="DN15" s="1">
        <v>7214.92</v>
      </c>
      <c r="DO15" s="1">
        <v>6504.91</v>
      </c>
      <c r="DP15" s="1">
        <v>6909.07</v>
      </c>
      <c r="DQ15" s="1">
        <v>7020</v>
      </c>
      <c r="DR15" s="1">
        <v>7214.92</v>
      </c>
      <c r="DS15" s="1">
        <v>6504.91</v>
      </c>
      <c r="DT15" s="1">
        <v>6909.07</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14808.5</v>
      </c>
      <c r="EL15" s="1">
        <v>13403.45</v>
      </c>
      <c r="EM15" s="1">
        <v>12687.59</v>
      </c>
      <c r="EN15" s="1">
        <v>6959.38</v>
      </c>
      <c r="EO15" s="1">
        <v>14799.5</v>
      </c>
      <c r="EP15" s="1">
        <v>13387.99</v>
      </c>
      <c r="EQ15" s="1">
        <v>12679.63</v>
      </c>
      <c r="ER15" s="1">
        <v>6946.9600000000009</v>
      </c>
      <c r="ES15" s="1">
        <v>9</v>
      </c>
      <c r="ET15" s="1">
        <v>15.46</v>
      </c>
      <c r="EU15" s="1">
        <v>7.9600000000000009</v>
      </c>
      <c r="EV15" s="1">
        <v>12.42</v>
      </c>
      <c r="EW15" s="1">
        <v>0</v>
      </c>
      <c r="EX15" s="1">
        <v>0</v>
      </c>
      <c r="EY15" s="1">
        <v>0</v>
      </c>
      <c r="EZ15" s="1">
        <v>0</v>
      </c>
      <c r="FA15" s="1">
        <v>0</v>
      </c>
      <c r="FB15" s="1">
        <v>0</v>
      </c>
      <c r="FC15" s="1">
        <v>0</v>
      </c>
      <c r="FD15" s="1">
        <v>0</v>
      </c>
      <c r="FE15" s="1">
        <v>1250</v>
      </c>
      <c r="FF15" s="1">
        <v>1131.3499999999999</v>
      </c>
      <c r="FG15" s="1">
        <v>1298.33</v>
      </c>
      <c r="FH15" s="1">
        <v>1440.79</v>
      </c>
      <c r="FI15" s="1">
        <v>1250</v>
      </c>
      <c r="FJ15" s="1">
        <v>1131.3499999999999</v>
      </c>
      <c r="FK15" s="1">
        <v>1298.33</v>
      </c>
      <c r="FL15" s="1">
        <v>1440.79</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1430</v>
      </c>
      <c r="GD15" s="1">
        <v>1352.64</v>
      </c>
      <c r="GE15" s="1">
        <v>1171.3399999999999</v>
      </c>
      <c r="GF15" s="1">
        <v>1114.8599999999999</v>
      </c>
      <c r="GG15" s="1">
        <v>1430</v>
      </c>
      <c r="GH15" s="1">
        <v>1352.64</v>
      </c>
      <c r="GI15" s="1">
        <v>1171.3399999999999</v>
      </c>
      <c r="GJ15" s="1">
        <v>1114.8599999999999</v>
      </c>
      <c r="GK15" s="1">
        <v>0</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3697</v>
      </c>
      <c r="HF15" s="1">
        <v>1057.03</v>
      </c>
      <c r="HG15" s="1">
        <v>2255.86</v>
      </c>
      <c r="HH15" s="1">
        <v>5210.6400000000003</v>
      </c>
      <c r="HI15" s="1">
        <v>3697</v>
      </c>
      <c r="HJ15" s="1">
        <v>984</v>
      </c>
      <c r="HK15" s="1">
        <v>1515.83</v>
      </c>
      <c r="HL15" s="1">
        <v>3412.7</v>
      </c>
      <c r="HM15" s="1">
        <v>0</v>
      </c>
      <c r="HN15" s="1">
        <v>0</v>
      </c>
      <c r="HO15" s="1">
        <v>0</v>
      </c>
      <c r="HP15" s="1">
        <v>0</v>
      </c>
      <c r="HQ15" s="1">
        <v>0</v>
      </c>
      <c r="HR15" s="1">
        <v>0</v>
      </c>
      <c r="HS15" s="1">
        <v>0</v>
      </c>
      <c r="HT15" s="1">
        <v>0</v>
      </c>
      <c r="HU15" s="1">
        <v>0</v>
      </c>
      <c r="HV15" s="1">
        <v>73.03</v>
      </c>
      <c r="HW15" s="1">
        <v>47.84</v>
      </c>
      <c r="HX15" s="1">
        <v>140.24</v>
      </c>
      <c r="HY15" s="1">
        <v>0</v>
      </c>
      <c r="HZ15" s="1">
        <v>0</v>
      </c>
      <c r="IA15" s="1">
        <v>0</v>
      </c>
      <c r="IB15" s="1">
        <v>0</v>
      </c>
      <c r="IC15" s="1">
        <v>0</v>
      </c>
      <c r="ID15" s="1">
        <v>0</v>
      </c>
      <c r="IE15" s="1">
        <v>692.19</v>
      </c>
      <c r="IF15" s="1">
        <v>1657.7</v>
      </c>
      <c r="IG15" s="1">
        <v>0</v>
      </c>
      <c r="IH15" s="1">
        <v>0</v>
      </c>
      <c r="II15" s="1">
        <v>0</v>
      </c>
      <c r="IJ15" s="1">
        <v>0</v>
      </c>
      <c r="IK15" s="1">
        <v>0</v>
      </c>
      <c r="IL15" s="1">
        <v>0</v>
      </c>
      <c r="IM15" s="1">
        <v>0</v>
      </c>
      <c r="IN15" s="1">
        <v>0</v>
      </c>
      <c r="IO15" s="1">
        <v>1104</v>
      </c>
      <c r="IP15" s="1">
        <v>832.77</v>
      </c>
      <c r="IQ15" s="1">
        <v>1306.1500000000001</v>
      </c>
      <c r="IR15" s="1">
        <v>1069.51</v>
      </c>
      <c r="IS15" s="1">
        <v>1089</v>
      </c>
      <c r="IT15" s="1">
        <v>816.35</v>
      </c>
      <c r="IU15" s="1">
        <v>1289.8399999999999</v>
      </c>
      <c r="IV15" s="1">
        <v>1056.8699999999999</v>
      </c>
      <c r="IW15" s="1">
        <v>15</v>
      </c>
      <c r="IX15" s="1">
        <v>16.420000000000002</v>
      </c>
      <c r="IY15" s="1">
        <v>16.309999999999999</v>
      </c>
      <c r="IZ15" s="1">
        <v>12.64</v>
      </c>
      <c r="JA15" s="1">
        <v>0</v>
      </c>
      <c r="JB15" s="1">
        <v>0</v>
      </c>
      <c r="JC15" s="1">
        <v>0</v>
      </c>
      <c r="JD15" s="1">
        <v>0</v>
      </c>
      <c r="JE15" s="1">
        <v>0</v>
      </c>
      <c r="JF15" s="1">
        <v>0</v>
      </c>
      <c r="JG15" s="1">
        <v>0</v>
      </c>
      <c r="JH15" s="1">
        <v>0</v>
      </c>
      <c r="JI15" s="1">
        <v>0</v>
      </c>
      <c r="JJ15" s="1">
        <v>0</v>
      </c>
      <c r="JK15" s="1">
        <v>0</v>
      </c>
      <c r="JL15" s="1">
        <v>0</v>
      </c>
      <c r="JM15" s="1">
        <v>0</v>
      </c>
      <c r="JN15" s="1">
        <v>0</v>
      </c>
      <c r="JO15" s="1">
        <v>0</v>
      </c>
      <c r="JP15" s="1">
        <v>0</v>
      </c>
      <c r="JQ15" s="9"/>
      <c r="JR15" s="1">
        <f t="shared" si="0"/>
        <v>35424.697140000004</v>
      </c>
      <c r="JS15" s="1">
        <f t="shared" si="1"/>
        <v>40390.377030000003</v>
      </c>
      <c r="JT15" s="1">
        <f t="shared" si="2"/>
        <v>37981.675980000007</v>
      </c>
      <c r="JU15" s="1">
        <f t="shared" si="3"/>
        <v>37185.886619999997</v>
      </c>
      <c r="JV15" s="1">
        <f t="shared" si="4"/>
        <v>6560.1291000000001</v>
      </c>
      <c r="JW15" s="1">
        <f t="shared" si="5"/>
        <v>7479.6994500000001</v>
      </c>
      <c r="JX15" s="1">
        <f t="shared" si="6"/>
        <v>7033.6437000000005</v>
      </c>
      <c r="JY15" s="1">
        <f t="shared" si="7"/>
        <v>6886.2753000000002</v>
      </c>
    </row>
    <row r="16" spans="1:285" x14ac:dyDescent="0.35">
      <c r="A16" s="2" t="s">
        <v>23</v>
      </c>
      <c r="B16" s="1">
        <v>1148692</v>
      </c>
      <c r="C16" s="1">
        <v>1143285</v>
      </c>
      <c r="D16" s="1">
        <v>1153593</v>
      </c>
      <c r="E16" s="1">
        <v>1170238</v>
      </c>
      <c r="F16" s="1">
        <v>987024.21</v>
      </c>
      <c r="G16" s="1">
        <v>911383.87999999989</v>
      </c>
      <c r="H16" s="1">
        <v>905545.04</v>
      </c>
      <c r="I16" s="1">
        <v>934180.5</v>
      </c>
      <c r="J16" s="1">
        <f t="shared" si="8"/>
        <v>141643.08000000002</v>
      </c>
      <c r="K16" s="1">
        <f t="shared" si="9"/>
        <v>137309.75</v>
      </c>
      <c r="L16" s="1">
        <f t="shared" si="10"/>
        <v>134192.80000000002</v>
      </c>
      <c r="M16" s="1">
        <f t="shared" si="11"/>
        <v>140122.28999999998</v>
      </c>
      <c r="N16" s="1">
        <f t="shared" si="12"/>
        <v>845381.12999999989</v>
      </c>
      <c r="O16" s="1">
        <f t="shared" si="13"/>
        <v>774074.12999999989</v>
      </c>
      <c r="P16" s="1">
        <f t="shared" si="14"/>
        <v>771352.24</v>
      </c>
      <c r="Q16" s="1">
        <f t="shared" si="15"/>
        <v>794058.21</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25658.42</v>
      </c>
      <c r="AQ16" s="1">
        <v>29333.299999999996</v>
      </c>
      <c r="AR16" s="1">
        <v>25937.7</v>
      </c>
      <c r="AS16" s="1">
        <v>28389.350000000002</v>
      </c>
      <c r="AT16" s="1">
        <v>0</v>
      </c>
      <c r="AU16" s="1">
        <v>25658.42</v>
      </c>
      <c r="AV16" s="1">
        <v>0</v>
      </c>
      <c r="AW16" s="1">
        <v>0</v>
      </c>
      <c r="AX16" s="1">
        <v>0</v>
      </c>
      <c r="AY16" s="1">
        <v>29333.299999999996</v>
      </c>
      <c r="AZ16" s="1">
        <v>0</v>
      </c>
      <c r="BA16" s="1">
        <v>0</v>
      </c>
      <c r="BB16" s="1">
        <v>0</v>
      </c>
      <c r="BC16" s="1">
        <v>25937.7</v>
      </c>
      <c r="BD16" s="1">
        <v>0</v>
      </c>
      <c r="BE16" s="1">
        <v>0</v>
      </c>
      <c r="BF16" s="1">
        <v>28389.350000000002</v>
      </c>
      <c r="BG16" s="1">
        <v>0</v>
      </c>
      <c r="BH16" s="1">
        <v>0</v>
      </c>
      <c r="BI16" s="1">
        <v>0</v>
      </c>
      <c r="BJ16" s="1">
        <v>0</v>
      </c>
      <c r="BK16" s="1">
        <v>0</v>
      </c>
      <c r="BL16" s="1">
        <v>0</v>
      </c>
      <c r="BM16" s="1">
        <v>0</v>
      </c>
      <c r="BN16" s="1">
        <v>0</v>
      </c>
      <c r="BO16" s="1">
        <v>0</v>
      </c>
      <c r="BP16" s="1">
        <v>0</v>
      </c>
      <c r="BQ16" s="1">
        <v>0</v>
      </c>
      <c r="BR16" s="1">
        <v>0</v>
      </c>
      <c r="BS16" s="1">
        <v>0</v>
      </c>
      <c r="BT16" s="1">
        <v>0</v>
      </c>
      <c r="BU16" s="1">
        <v>39121.050000000003</v>
      </c>
      <c r="BV16" s="1">
        <v>37448.67</v>
      </c>
      <c r="BW16" s="1">
        <v>35377.040000000001</v>
      </c>
      <c r="BX16" s="1">
        <v>36639.42</v>
      </c>
      <c r="BY16" s="1">
        <v>39121.050000000003</v>
      </c>
      <c r="BZ16" s="1">
        <v>37448.67</v>
      </c>
      <c r="CA16" s="1">
        <v>35377.040000000001</v>
      </c>
      <c r="CB16" s="1">
        <v>36639.42</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5543.27</v>
      </c>
      <c r="CT16" s="1">
        <v>5744.52</v>
      </c>
      <c r="CU16" s="1">
        <v>6997.4000000000005</v>
      </c>
      <c r="CV16" s="1">
        <v>5857.8600000000006</v>
      </c>
      <c r="CW16" s="1">
        <v>5543.27</v>
      </c>
      <c r="CX16" s="1">
        <v>5744.52</v>
      </c>
      <c r="CY16" s="1">
        <v>6997.4000000000005</v>
      </c>
      <c r="CZ16" s="1">
        <v>5857.8600000000006</v>
      </c>
      <c r="DA16" s="1">
        <v>0</v>
      </c>
      <c r="DB16" s="1">
        <v>0</v>
      </c>
      <c r="DC16" s="1">
        <v>0</v>
      </c>
      <c r="DD16" s="1">
        <v>0</v>
      </c>
      <c r="DE16" s="1">
        <v>0</v>
      </c>
      <c r="DF16" s="1">
        <v>0</v>
      </c>
      <c r="DG16" s="1">
        <v>0</v>
      </c>
      <c r="DH16" s="1">
        <v>0</v>
      </c>
      <c r="DI16" s="1">
        <v>0</v>
      </c>
      <c r="DJ16" s="1">
        <v>0</v>
      </c>
      <c r="DK16" s="1">
        <v>0</v>
      </c>
      <c r="DL16" s="1">
        <v>0</v>
      </c>
      <c r="DM16" s="1">
        <v>20322.330000000002</v>
      </c>
      <c r="DN16" s="1">
        <v>16551.71</v>
      </c>
      <c r="DO16" s="1">
        <v>13443.35</v>
      </c>
      <c r="DP16" s="1">
        <v>12708.17</v>
      </c>
      <c r="DQ16" s="1">
        <v>20322.330000000002</v>
      </c>
      <c r="DR16" s="1">
        <v>16551.71</v>
      </c>
      <c r="DS16" s="1">
        <v>13443.35</v>
      </c>
      <c r="DT16" s="1">
        <v>12708.17</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18401.849999999999</v>
      </c>
      <c r="EL16" s="1">
        <v>16052.09</v>
      </c>
      <c r="EM16" s="1">
        <v>17300.53</v>
      </c>
      <c r="EN16" s="1">
        <v>17332.36</v>
      </c>
      <c r="EO16" s="1">
        <v>18401.849999999999</v>
      </c>
      <c r="EP16" s="1">
        <v>16052.09</v>
      </c>
      <c r="EQ16" s="1">
        <v>17300.53</v>
      </c>
      <c r="ER16" s="1">
        <v>17332.36</v>
      </c>
      <c r="ES16" s="1">
        <v>0</v>
      </c>
      <c r="ET16" s="1">
        <v>0</v>
      </c>
      <c r="EU16" s="1">
        <v>0</v>
      </c>
      <c r="EV16" s="1">
        <v>0</v>
      </c>
      <c r="EW16" s="1">
        <v>0</v>
      </c>
      <c r="EX16" s="1">
        <v>0</v>
      </c>
      <c r="EY16" s="1">
        <v>0</v>
      </c>
      <c r="EZ16" s="1">
        <v>0</v>
      </c>
      <c r="FA16" s="1">
        <v>0</v>
      </c>
      <c r="FB16" s="1">
        <v>0</v>
      </c>
      <c r="FC16" s="1">
        <v>0</v>
      </c>
      <c r="FD16" s="1">
        <v>0</v>
      </c>
      <c r="FE16" s="1">
        <v>1482.44</v>
      </c>
      <c r="FF16" s="1">
        <v>1896.01</v>
      </c>
      <c r="FG16" s="1">
        <v>2025.09</v>
      </c>
      <c r="FH16" s="1">
        <v>887.89</v>
      </c>
      <c r="FI16" s="1">
        <v>1482.44</v>
      </c>
      <c r="FJ16" s="1">
        <v>1896.01</v>
      </c>
      <c r="FK16" s="1">
        <v>2025.09</v>
      </c>
      <c r="FL16" s="1">
        <v>887.89</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7014.72</v>
      </c>
      <c r="GD16" s="1">
        <v>6580.8</v>
      </c>
      <c r="GE16" s="1">
        <v>6075.94</v>
      </c>
      <c r="GF16" s="1">
        <v>10732.47</v>
      </c>
      <c r="GG16" s="1">
        <v>6368.0399999999991</v>
      </c>
      <c r="GH16" s="1">
        <v>5960.74</v>
      </c>
      <c r="GI16" s="1">
        <v>5554.77</v>
      </c>
      <c r="GJ16" s="1">
        <v>9433.1</v>
      </c>
      <c r="GK16" s="1">
        <v>0</v>
      </c>
      <c r="GL16" s="1">
        <v>0</v>
      </c>
      <c r="GM16" s="1">
        <v>0</v>
      </c>
      <c r="GN16" s="1">
        <v>0</v>
      </c>
      <c r="GO16" s="1">
        <v>0</v>
      </c>
      <c r="GP16" s="1">
        <v>0</v>
      </c>
      <c r="GQ16" s="1">
        <v>0</v>
      </c>
      <c r="GR16" s="1">
        <v>0</v>
      </c>
      <c r="GS16" s="1">
        <v>0</v>
      </c>
      <c r="GT16" s="1">
        <v>0</v>
      </c>
      <c r="GU16" s="1">
        <v>0</v>
      </c>
      <c r="GV16" s="1">
        <v>0</v>
      </c>
      <c r="GW16" s="1">
        <v>0</v>
      </c>
      <c r="GX16" s="1">
        <v>0</v>
      </c>
      <c r="GY16" s="1">
        <v>0</v>
      </c>
      <c r="GZ16" s="1">
        <v>0</v>
      </c>
      <c r="HA16" s="1">
        <v>646.67999999999995</v>
      </c>
      <c r="HB16" s="1">
        <v>620.05999999999995</v>
      </c>
      <c r="HC16" s="1">
        <v>521.16999999999996</v>
      </c>
      <c r="HD16" s="1">
        <v>1299.3699999999999</v>
      </c>
      <c r="HE16" s="1">
        <v>16126.18</v>
      </c>
      <c r="HF16" s="1">
        <v>17451.34</v>
      </c>
      <c r="HG16" s="1">
        <v>19103.580000000002</v>
      </c>
      <c r="HH16" s="1">
        <v>18936.28</v>
      </c>
      <c r="HI16" s="1">
        <v>16126.18</v>
      </c>
      <c r="HJ16" s="1">
        <v>17451.34</v>
      </c>
      <c r="HK16" s="1">
        <v>19103.580000000002</v>
      </c>
      <c r="HL16" s="1">
        <v>18936.28</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7972.82</v>
      </c>
      <c r="IP16" s="1">
        <v>6251.3099999999986</v>
      </c>
      <c r="IQ16" s="1">
        <v>7932.17</v>
      </c>
      <c r="IR16" s="1">
        <v>8638.49</v>
      </c>
      <c r="IS16" s="1">
        <v>7910.07</v>
      </c>
      <c r="IT16" s="1">
        <v>6153.41</v>
      </c>
      <c r="IU16" s="1">
        <v>7590.5</v>
      </c>
      <c r="IV16" s="1">
        <v>8398.9699999999993</v>
      </c>
      <c r="IW16" s="1">
        <v>62.75</v>
      </c>
      <c r="IX16" s="1">
        <v>97.899999999999991</v>
      </c>
      <c r="IY16" s="1">
        <v>341.67</v>
      </c>
      <c r="IZ16" s="1">
        <v>239.52</v>
      </c>
      <c r="JA16" s="1">
        <v>0</v>
      </c>
      <c r="JB16" s="1">
        <v>0</v>
      </c>
      <c r="JC16" s="1">
        <v>0</v>
      </c>
      <c r="JD16" s="1">
        <v>0</v>
      </c>
      <c r="JE16" s="1">
        <v>0</v>
      </c>
      <c r="JF16" s="1">
        <v>0</v>
      </c>
      <c r="JG16" s="1">
        <v>0</v>
      </c>
      <c r="JH16" s="1">
        <v>0</v>
      </c>
      <c r="JI16" s="1">
        <v>0</v>
      </c>
      <c r="JJ16" s="1">
        <v>0</v>
      </c>
      <c r="JK16" s="1">
        <v>0</v>
      </c>
      <c r="JL16" s="1">
        <v>0</v>
      </c>
      <c r="JM16" s="1">
        <v>0</v>
      </c>
      <c r="JN16" s="1">
        <v>0</v>
      </c>
      <c r="JO16" s="1">
        <v>0</v>
      </c>
      <c r="JP16" s="1">
        <v>0</v>
      </c>
      <c r="JQ16" s="9"/>
      <c r="JR16" s="1">
        <f t="shared" si="0"/>
        <v>228252.90509999997</v>
      </c>
      <c r="JS16" s="1">
        <f t="shared" si="1"/>
        <v>209000.01509999999</v>
      </c>
      <c r="JT16" s="1">
        <f t="shared" si="2"/>
        <v>208265.1048</v>
      </c>
      <c r="JU16" s="1">
        <f t="shared" si="3"/>
        <v>214395.71669999999</v>
      </c>
      <c r="JV16" s="1">
        <f t="shared" si="4"/>
        <v>42269.056499999999</v>
      </c>
      <c r="JW16" s="1">
        <f t="shared" si="5"/>
        <v>38703.706499999993</v>
      </c>
      <c r="JX16" s="1">
        <f t="shared" si="6"/>
        <v>38567.612000000001</v>
      </c>
      <c r="JY16" s="1">
        <f t="shared" si="7"/>
        <v>39702.910499999998</v>
      </c>
    </row>
    <row r="17" spans="1:285" x14ac:dyDescent="0.35">
      <c r="A17" s="2" t="s">
        <v>24</v>
      </c>
      <c r="B17" s="1">
        <v>102293</v>
      </c>
      <c r="C17" s="1">
        <v>103271</v>
      </c>
      <c r="D17" s="1">
        <v>104287</v>
      </c>
      <c r="E17" s="1">
        <v>105513</v>
      </c>
      <c r="F17" s="1">
        <v>30656.241999999998</v>
      </c>
      <c r="G17" s="1">
        <v>29937.069</v>
      </c>
      <c r="H17" s="1">
        <v>26638.081999999999</v>
      </c>
      <c r="I17" s="1">
        <v>27674.671999999999</v>
      </c>
      <c r="J17" s="1">
        <f t="shared" si="8"/>
        <v>16864.844999999998</v>
      </c>
      <c r="K17" s="1">
        <f t="shared" si="9"/>
        <v>16523.392</v>
      </c>
      <c r="L17" s="1">
        <f t="shared" si="10"/>
        <v>14353.511000000002</v>
      </c>
      <c r="M17" s="1">
        <f t="shared" si="11"/>
        <v>14955.286</v>
      </c>
      <c r="N17" s="1">
        <f t="shared" si="12"/>
        <v>13791.397000000001</v>
      </c>
      <c r="O17" s="1">
        <f t="shared" si="13"/>
        <v>13413.677</v>
      </c>
      <c r="P17" s="1">
        <f t="shared" si="14"/>
        <v>12284.570999999996</v>
      </c>
      <c r="Q17" s="1">
        <f t="shared" si="15"/>
        <v>12719.385999999999</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7378.7699999999986</v>
      </c>
      <c r="AQ17" s="1">
        <v>7123.9760000000006</v>
      </c>
      <c r="AR17" s="1">
        <v>5946.4300000000012</v>
      </c>
      <c r="AS17" s="1">
        <v>6888.1900000000005</v>
      </c>
      <c r="AT17" s="1">
        <v>0</v>
      </c>
      <c r="AU17" s="1">
        <v>7378.7699999999986</v>
      </c>
      <c r="AV17" s="1">
        <v>0</v>
      </c>
      <c r="AW17" s="1">
        <v>0</v>
      </c>
      <c r="AX17" s="1">
        <v>0</v>
      </c>
      <c r="AY17" s="1">
        <v>7123.9760000000006</v>
      </c>
      <c r="AZ17" s="1">
        <v>0</v>
      </c>
      <c r="BA17" s="1">
        <v>0</v>
      </c>
      <c r="BB17" s="1">
        <v>0</v>
      </c>
      <c r="BC17" s="1">
        <v>5946.4300000000012</v>
      </c>
      <c r="BD17" s="1">
        <v>0</v>
      </c>
      <c r="BE17" s="1">
        <v>0</v>
      </c>
      <c r="BF17" s="1">
        <v>6888.1900000000005</v>
      </c>
      <c r="BG17" s="1">
        <v>0</v>
      </c>
      <c r="BH17" s="1">
        <v>0</v>
      </c>
      <c r="BI17" s="1">
        <v>0</v>
      </c>
      <c r="BJ17" s="1">
        <v>0</v>
      </c>
      <c r="BK17" s="1">
        <v>0</v>
      </c>
      <c r="BL17" s="1">
        <v>0</v>
      </c>
      <c r="BM17" s="1">
        <v>0</v>
      </c>
      <c r="BN17" s="1">
        <v>0</v>
      </c>
      <c r="BO17" s="1">
        <v>0</v>
      </c>
      <c r="BP17" s="1">
        <v>0</v>
      </c>
      <c r="BQ17" s="1">
        <v>0</v>
      </c>
      <c r="BR17" s="1">
        <v>0</v>
      </c>
      <c r="BS17" s="1">
        <v>0</v>
      </c>
      <c r="BT17" s="1">
        <v>0</v>
      </c>
      <c r="BU17" s="1">
        <v>4567.6109999999999</v>
      </c>
      <c r="BV17" s="1">
        <v>4141.4830000000002</v>
      </c>
      <c r="BW17" s="1">
        <v>3652.95</v>
      </c>
      <c r="BX17" s="1">
        <v>3543.3870000000002</v>
      </c>
      <c r="BY17" s="1">
        <v>4567.0410000000002</v>
      </c>
      <c r="BZ17" s="1">
        <v>4141.4830000000002</v>
      </c>
      <c r="CA17" s="1">
        <v>3652.95</v>
      </c>
      <c r="CB17" s="1">
        <v>3543.3870000000002</v>
      </c>
      <c r="CC17" s="1">
        <v>0.56999999999999995</v>
      </c>
      <c r="CD17" s="1">
        <v>0</v>
      </c>
      <c r="CE17" s="1">
        <v>0</v>
      </c>
      <c r="CF17" s="1">
        <v>0</v>
      </c>
      <c r="CG17" s="1">
        <v>0</v>
      </c>
      <c r="CH17" s="1">
        <v>0</v>
      </c>
      <c r="CI17" s="1">
        <v>0</v>
      </c>
      <c r="CJ17" s="1">
        <v>0</v>
      </c>
      <c r="CK17" s="1">
        <v>0</v>
      </c>
      <c r="CL17" s="1">
        <v>0</v>
      </c>
      <c r="CM17" s="1">
        <v>0</v>
      </c>
      <c r="CN17" s="1">
        <v>0</v>
      </c>
      <c r="CO17" s="1">
        <v>0</v>
      </c>
      <c r="CP17" s="1">
        <v>0</v>
      </c>
      <c r="CQ17" s="1">
        <v>0</v>
      </c>
      <c r="CR17" s="1">
        <v>0</v>
      </c>
      <c r="CS17" s="1">
        <v>1099.577</v>
      </c>
      <c r="CT17" s="1">
        <v>1053.7380000000001</v>
      </c>
      <c r="CU17" s="1">
        <v>964.78699999999992</v>
      </c>
      <c r="CV17" s="1">
        <v>919.21199999999999</v>
      </c>
      <c r="CW17" s="1">
        <v>1099.577</v>
      </c>
      <c r="CX17" s="1">
        <v>1053.7380000000001</v>
      </c>
      <c r="CY17" s="1">
        <v>964.78699999999992</v>
      </c>
      <c r="CZ17" s="1">
        <v>919.21199999999999</v>
      </c>
      <c r="DA17" s="1">
        <v>0</v>
      </c>
      <c r="DB17" s="1">
        <v>0</v>
      </c>
      <c r="DC17" s="1">
        <v>0</v>
      </c>
      <c r="DD17" s="1">
        <v>0</v>
      </c>
      <c r="DE17" s="1">
        <v>0</v>
      </c>
      <c r="DF17" s="1">
        <v>0</v>
      </c>
      <c r="DG17" s="1">
        <v>0</v>
      </c>
      <c r="DH17" s="1">
        <v>0</v>
      </c>
      <c r="DI17" s="1">
        <v>0</v>
      </c>
      <c r="DJ17" s="1">
        <v>0</v>
      </c>
      <c r="DK17" s="1">
        <v>0</v>
      </c>
      <c r="DL17" s="1">
        <v>0</v>
      </c>
      <c r="DM17" s="1">
        <v>2752.2080000000001</v>
      </c>
      <c r="DN17" s="1">
        <v>3113.0949999999998</v>
      </c>
      <c r="DO17" s="1">
        <v>2845.027</v>
      </c>
      <c r="DP17" s="1">
        <v>2716.9349999999999</v>
      </c>
      <c r="DQ17" s="1">
        <v>2752.2080000000001</v>
      </c>
      <c r="DR17" s="1">
        <v>3113.0949999999998</v>
      </c>
      <c r="DS17" s="1">
        <v>2845.027</v>
      </c>
      <c r="DT17" s="1">
        <v>2716.9349999999999</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517.37300000000005</v>
      </c>
      <c r="EL17" s="1">
        <v>505.93</v>
      </c>
      <c r="EM17" s="1">
        <v>428.29</v>
      </c>
      <c r="EN17" s="1">
        <v>417.79099999999988</v>
      </c>
      <c r="EO17" s="1">
        <v>517.37300000000005</v>
      </c>
      <c r="EP17" s="1">
        <v>505.93</v>
      </c>
      <c r="EQ17" s="1">
        <v>428.29</v>
      </c>
      <c r="ER17" s="1">
        <v>417.79099999999988</v>
      </c>
      <c r="ES17" s="1">
        <v>0</v>
      </c>
      <c r="ET17" s="1">
        <v>0</v>
      </c>
      <c r="EU17" s="1">
        <v>0</v>
      </c>
      <c r="EV17" s="1">
        <v>0</v>
      </c>
      <c r="EW17" s="1">
        <v>0</v>
      </c>
      <c r="EX17" s="1">
        <v>0</v>
      </c>
      <c r="EY17" s="1">
        <v>0</v>
      </c>
      <c r="EZ17" s="1">
        <v>0</v>
      </c>
      <c r="FA17" s="1">
        <v>0</v>
      </c>
      <c r="FB17" s="1">
        <v>0</v>
      </c>
      <c r="FC17" s="1">
        <v>0</v>
      </c>
      <c r="FD17" s="1">
        <v>0</v>
      </c>
      <c r="FE17" s="1">
        <v>102.307</v>
      </c>
      <c r="FF17" s="1">
        <v>132.59899999999999</v>
      </c>
      <c r="FG17" s="1">
        <v>161.30000000000001</v>
      </c>
      <c r="FH17" s="1">
        <v>138.29900000000001</v>
      </c>
      <c r="FI17" s="1">
        <v>101.20699999999999</v>
      </c>
      <c r="FJ17" s="1">
        <v>131.447</v>
      </c>
      <c r="FK17" s="1">
        <v>125.265</v>
      </c>
      <c r="FL17" s="1">
        <v>121.10899999999999</v>
      </c>
      <c r="FM17" s="1">
        <v>1.1000000000000001</v>
      </c>
      <c r="FN17" s="1">
        <v>1.1519999999999999</v>
      </c>
      <c r="FO17" s="1">
        <v>36.034999999999997</v>
      </c>
      <c r="FP17" s="1">
        <v>17.190000000000001</v>
      </c>
      <c r="FQ17" s="1">
        <v>0</v>
      </c>
      <c r="FR17" s="1">
        <v>0</v>
      </c>
      <c r="FS17" s="1">
        <v>0</v>
      </c>
      <c r="FT17" s="1">
        <v>0</v>
      </c>
      <c r="FU17" s="1">
        <v>0</v>
      </c>
      <c r="FV17" s="1">
        <v>0</v>
      </c>
      <c r="FW17" s="1">
        <v>0</v>
      </c>
      <c r="FX17" s="1">
        <v>0</v>
      </c>
      <c r="FY17" s="1">
        <v>0</v>
      </c>
      <c r="FZ17" s="1">
        <v>0</v>
      </c>
      <c r="GA17" s="1">
        <v>0</v>
      </c>
      <c r="GB17" s="1">
        <v>0</v>
      </c>
      <c r="GC17" s="1">
        <v>30.326000000000001</v>
      </c>
      <c r="GD17" s="1">
        <v>18.227</v>
      </c>
      <c r="GE17" s="1">
        <v>30.19</v>
      </c>
      <c r="GF17" s="1">
        <v>40.302999999999997</v>
      </c>
      <c r="GG17" s="1">
        <v>30.326000000000001</v>
      </c>
      <c r="GH17" s="1">
        <v>18.227</v>
      </c>
      <c r="GI17" s="1">
        <v>30.19</v>
      </c>
      <c r="GJ17" s="1">
        <v>40.302999999999997</v>
      </c>
      <c r="GK17" s="1">
        <v>0</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27.488</v>
      </c>
      <c r="HG17" s="1">
        <v>0</v>
      </c>
      <c r="HH17" s="1">
        <v>0</v>
      </c>
      <c r="HI17" s="1">
        <v>0</v>
      </c>
      <c r="HJ17" s="1">
        <v>27.488</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416.673</v>
      </c>
      <c r="IP17" s="1">
        <v>406.85599999999999</v>
      </c>
      <c r="IQ17" s="1">
        <v>324.53699999999998</v>
      </c>
      <c r="IR17" s="1">
        <v>291.16899999999998</v>
      </c>
      <c r="IS17" s="1">
        <v>326.29300000000001</v>
      </c>
      <c r="IT17" s="1">
        <v>290.64800000000002</v>
      </c>
      <c r="IU17" s="1">
        <v>238.024</v>
      </c>
      <c r="IV17" s="1">
        <v>215.07300000000001</v>
      </c>
      <c r="IW17" s="1">
        <v>90.38</v>
      </c>
      <c r="IX17" s="1">
        <v>116.208</v>
      </c>
      <c r="IY17" s="1">
        <v>86.513000000000005</v>
      </c>
      <c r="IZ17" s="1">
        <v>76.096000000000004</v>
      </c>
      <c r="JA17" s="1">
        <v>0</v>
      </c>
      <c r="JB17" s="1">
        <v>0</v>
      </c>
      <c r="JC17" s="1">
        <v>0</v>
      </c>
      <c r="JD17" s="1">
        <v>0</v>
      </c>
      <c r="JE17" s="1">
        <v>0</v>
      </c>
      <c r="JF17" s="1">
        <v>0</v>
      </c>
      <c r="JG17" s="1">
        <v>0</v>
      </c>
      <c r="JH17" s="1">
        <v>0</v>
      </c>
      <c r="JI17" s="1">
        <v>0</v>
      </c>
      <c r="JJ17" s="1">
        <v>0</v>
      </c>
      <c r="JK17" s="1">
        <v>0</v>
      </c>
      <c r="JL17" s="1">
        <v>0</v>
      </c>
      <c r="JM17" s="1">
        <v>0</v>
      </c>
      <c r="JN17" s="1">
        <v>0</v>
      </c>
      <c r="JO17" s="1">
        <v>0</v>
      </c>
      <c r="JP17" s="1">
        <v>0</v>
      </c>
      <c r="JQ17" s="9"/>
      <c r="JR17" s="1">
        <f t="shared" si="0"/>
        <v>3723.6771900000003</v>
      </c>
      <c r="JS17" s="1">
        <f t="shared" si="1"/>
        <v>3621.6927900000001</v>
      </c>
      <c r="JT17" s="1">
        <f t="shared" si="2"/>
        <v>3316.8341699999992</v>
      </c>
      <c r="JU17" s="1">
        <f t="shared" si="3"/>
        <v>3434.2342199999998</v>
      </c>
      <c r="JV17" s="1">
        <f t="shared" si="4"/>
        <v>689.56985000000009</v>
      </c>
      <c r="JW17" s="1">
        <f t="shared" si="5"/>
        <v>670.68385000000001</v>
      </c>
      <c r="JX17" s="1">
        <f t="shared" si="6"/>
        <v>614.22854999999981</v>
      </c>
      <c r="JY17" s="1">
        <f t="shared" si="7"/>
        <v>635.96929999999998</v>
      </c>
    </row>
    <row r="18" spans="1:285" x14ac:dyDescent="0.35">
      <c r="A18" s="2" t="s">
        <v>25</v>
      </c>
      <c r="B18" s="1">
        <v>154564</v>
      </c>
      <c r="C18" s="1">
        <v>154954</v>
      </c>
      <c r="D18" s="1">
        <v>156268</v>
      </c>
      <c r="E18" s="1">
        <v>159189</v>
      </c>
      <c r="F18" s="1">
        <v>113063.73699999999</v>
      </c>
      <c r="G18" s="1">
        <v>117460.01</v>
      </c>
      <c r="H18" s="1">
        <v>116449.091</v>
      </c>
      <c r="I18" s="1">
        <v>127192.56</v>
      </c>
      <c r="J18" s="1">
        <f t="shared" si="8"/>
        <v>22551.475000000002</v>
      </c>
      <c r="K18" s="1">
        <f t="shared" si="9"/>
        <v>24727.83</v>
      </c>
      <c r="L18" s="1">
        <f t="shared" si="10"/>
        <v>23673.021000000001</v>
      </c>
      <c r="M18" s="1">
        <f t="shared" si="11"/>
        <v>26659.9</v>
      </c>
      <c r="N18" s="1">
        <f t="shared" si="12"/>
        <v>90512.261999999988</v>
      </c>
      <c r="O18" s="1">
        <f t="shared" si="13"/>
        <v>92732.18</v>
      </c>
      <c r="P18" s="1">
        <f t="shared" si="14"/>
        <v>92776.07</v>
      </c>
      <c r="Q18" s="1">
        <f t="shared" si="15"/>
        <v>100532.66</v>
      </c>
      <c r="R18" s="1">
        <v>0</v>
      </c>
      <c r="S18" s="1">
        <v>0</v>
      </c>
      <c r="T18" s="1">
        <v>0</v>
      </c>
      <c r="U18" s="1">
        <v>0</v>
      </c>
      <c r="V18" s="1">
        <v>0</v>
      </c>
      <c r="W18" s="1">
        <v>0</v>
      </c>
      <c r="X18" s="1">
        <v>0</v>
      </c>
      <c r="Y18" s="1">
        <v>0</v>
      </c>
      <c r="Z18" s="1">
        <v>0</v>
      </c>
      <c r="AA18" s="1">
        <v>0</v>
      </c>
      <c r="AB18" s="1">
        <v>0</v>
      </c>
      <c r="AC18" s="1">
        <v>0</v>
      </c>
      <c r="AD18" s="1">
        <v>0</v>
      </c>
      <c r="AE18" s="1">
        <v>0</v>
      </c>
      <c r="AF18" s="1">
        <v>0</v>
      </c>
      <c r="AG18" s="1">
        <v>0</v>
      </c>
      <c r="AH18" s="1">
        <v>0</v>
      </c>
      <c r="AI18" s="1">
        <v>0</v>
      </c>
      <c r="AJ18" s="1">
        <v>0</v>
      </c>
      <c r="AK18" s="1">
        <v>0</v>
      </c>
      <c r="AL18" s="1">
        <v>0</v>
      </c>
      <c r="AM18" s="1">
        <v>0</v>
      </c>
      <c r="AN18" s="1">
        <v>0</v>
      </c>
      <c r="AO18" s="1">
        <v>0</v>
      </c>
      <c r="AP18" s="1">
        <v>4019.56</v>
      </c>
      <c r="AQ18" s="1">
        <v>3910.68</v>
      </c>
      <c r="AR18" s="1">
        <v>3709.02</v>
      </c>
      <c r="AS18" s="1">
        <v>3780.7200000000003</v>
      </c>
      <c r="AT18" s="1">
        <v>0</v>
      </c>
      <c r="AU18" s="1">
        <v>7378.7699999999986</v>
      </c>
      <c r="AV18" s="1">
        <v>0</v>
      </c>
      <c r="AW18" s="1">
        <v>0</v>
      </c>
      <c r="AX18" s="1">
        <v>0</v>
      </c>
      <c r="AY18" s="1">
        <v>7123.9760000000006</v>
      </c>
      <c r="AZ18" s="1">
        <v>0</v>
      </c>
      <c r="BA18" s="1">
        <v>0</v>
      </c>
      <c r="BB18" s="1">
        <v>0</v>
      </c>
      <c r="BC18" s="1">
        <v>3709.02</v>
      </c>
      <c r="BD18" s="1">
        <v>0</v>
      </c>
      <c r="BE18" s="1">
        <v>0</v>
      </c>
      <c r="BF18" s="1">
        <v>3780.7200000000003</v>
      </c>
      <c r="BG18" s="1">
        <v>0</v>
      </c>
      <c r="BH18" s="1">
        <v>0</v>
      </c>
      <c r="BI18" s="1">
        <v>0</v>
      </c>
      <c r="BJ18" s="1">
        <v>0</v>
      </c>
      <c r="BK18" s="1">
        <v>0</v>
      </c>
      <c r="BL18" s="1">
        <v>0</v>
      </c>
      <c r="BM18" s="1">
        <v>0</v>
      </c>
      <c r="BN18" s="1">
        <v>0</v>
      </c>
      <c r="BO18" s="1">
        <v>0</v>
      </c>
      <c r="BP18" s="1">
        <v>0</v>
      </c>
      <c r="BQ18" s="1">
        <v>0</v>
      </c>
      <c r="BR18" s="1">
        <v>0</v>
      </c>
      <c r="BS18" s="1">
        <v>0</v>
      </c>
      <c r="BT18" s="1">
        <v>0</v>
      </c>
      <c r="BU18" s="1">
        <v>4637.08</v>
      </c>
      <c r="BV18" s="1">
        <v>6655.42</v>
      </c>
      <c r="BW18" s="1">
        <v>6186.4400000000014</v>
      </c>
      <c r="BX18" s="1">
        <v>7331.15</v>
      </c>
      <c r="BY18" s="1">
        <v>4637.08</v>
      </c>
      <c r="BZ18" s="1">
        <v>6655.42</v>
      </c>
      <c r="CA18" s="1">
        <v>6186.4400000000014</v>
      </c>
      <c r="CB18" s="1">
        <v>6131.82</v>
      </c>
      <c r="CC18" s="1">
        <v>0</v>
      </c>
      <c r="CD18" s="1">
        <v>0</v>
      </c>
      <c r="CE18" s="1">
        <v>0</v>
      </c>
      <c r="CF18" s="1">
        <v>0</v>
      </c>
      <c r="CG18" s="1">
        <v>0</v>
      </c>
      <c r="CH18" s="1">
        <v>0</v>
      </c>
      <c r="CI18" s="1">
        <v>0</v>
      </c>
      <c r="CJ18" s="1">
        <v>0</v>
      </c>
      <c r="CK18" s="1">
        <v>0</v>
      </c>
      <c r="CL18" s="1">
        <v>0</v>
      </c>
      <c r="CM18" s="1">
        <v>0</v>
      </c>
      <c r="CN18" s="1">
        <v>1199.33</v>
      </c>
      <c r="CO18" s="1">
        <v>0</v>
      </c>
      <c r="CP18" s="1">
        <v>0</v>
      </c>
      <c r="CQ18" s="1">
        <v>0</v>
      </c>
      <c r="CR18" s="1">
        <v>0</v>
      </c>
      <c r="CS18" s="1">
        <v>1544.96</v>
      </c>
      <c r="CT18" s="1">
        <v>837.18000000000006</v>
      </c>
      <c r="CU18" s="1">
        <v>954.95</v>
      </c>
      <c r="CV18" s="1">
        <v>1246.68</v>
      </c>
      <c r="CW18" s="1">
        <v>1544.96</v>
      </c>
      <c r="CX18" s="1">
        <v>837.18000000000006</v>
      </c>
      <c r="CY18" s="1">
        <v>954.95</v>
      </c>
      <c r="CZ18" s="1">
        <v>1246.68</v>
      </c>
      <c r="DA18" s="1">
        <v>0</v>
      </c>
      <c r="DB18" s="1">
        <v>0</v>
      </c>
      <c r="DC18" s="1">
        <v>0</v>
      </c>
      <c r="DD18" s="1">
        <v>0</v>
      </c>
      <c r="DE18" s="1">
        <v>0</v>
      </c>
      <c r="DF18" s="1">
        <v>0</v>
      </c>
      <c r="DG18" s="1">
        <v>0</v>
      </c>
      <c r="DH18" s="1">
        <v>0</v>
      </c>
      <c r="DI18" s="1">
        <v>0</v>
      </c>
      <c r="DJ18" s="1">
        <v>0</v>
      </c>
      <c r="DK18" s="1">
        <v>0</v>
      </c>
      <c r="DL18" s="1">
        <v>0</v>
      </c>
      <c r="DM18" s="1">
        <v>4065.402</v>
      </c>
      <c r="DN18" s="1">
        <v>3900.86</v>
      </c>
      <c r="DO18" s="1">
        <v>3550.59</v>
      </c>
      <c r="DP18" s="1">
        <v>3568.99</v>
      </c>
      <c r="DQ18" s="1">
        <v>4065.402</v>
      </c>
      <c r="DR18" s="1">
        <v>3900.86</v>
      </c>
      <c r="DS18" s="1">
        <v>3550.59</v>
      </c>
      <c r="DT18" s="1">
        <v>3568.99</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4900.442</v>
      </c>
      <c r="EL18" s="1">
        <v>4001.91</v>
      </c>
      <c r="EM18" s="1">
        <v>4251.125</v>
      </c>
      <c r="EN18" s="1">
        <v>5531</v>
      </c>
      <c r="EO18" s="1">
        <v>4893.7620000000006</v>
      </c>
      <c r="EP18" s="1">
        <v>3991.5</v>
      </c>
      <c r="EQ18" s="1">
        <v>4242.5550000000003</v>
      </c>
      <c r="ER18" s="1">
        <v>5527.09</v>
      </c>
      <c r="ES18" s="1">
        <v>6.68</v>
      </c>
      <c r="ET18" s="1">
        <v>10.41</v>
      </c>
      <c r="EU18" s="1">
        <v>8.57</v>
      </c>
      <c r="EV18" s="1">
        <v>3.91</v>
      </c>
      <c r="EW18" s="1">
        <v>0</v>
      </c>
      <c r="EX18" s="1">
        <v>0</v>
      </c>
      <c r="EY18" s="1">
        <v>0</v>
      </c>
      <c r="EZ18" s="1">
        <v>0</v>
      </c>
      <c r="FA18" s="1">
        <v>0</v>
      </c>
      <c r="FB18" s="1">
        <v>0</v>
      </c>
      <c r="FC18" s="1">
        <v>0</v>
      </c>
      <c r="FD18" s="1">
        <v>0</v>
      </c>
      <c r="FE18" s="1">
        <v>246.20500000000001</v>
      </c>
      <c r="FF18" s="1">
        <v>409.45</v>
      </c>
      <c r="FG18" s="1">
        <v>225.946</v>
      </c>
      <c r="FH18" s="1">
        <v>267.19</v>
      </c>
      <c r="FI18" s="1">
        <v>246.20500000000001</v>
      </c>
      <c r="FJ18" s="1">
        <v>409.45</v>
      </c>
      <c r="FK18" s="1">
        <v>129.126</v>
      </c>
      <c r="FL18" s="1">
        <v>229.01</v>
      </c>
      <c r="FM18" s="1">
        <v>0</v>
      </c>
      <c r="FN18" s="1">
        <v>0</v>
      </c>
      <c r="FO18" s="1">
        <v>96.82</v>
      </c>
      <c r="FP18" s="1">
        <v>38.18</v>
      </c>
      <c r="FQ18" s="1">
        <v>0</v>
      </c>
      <c r="FR18" s="1">
        <v>0</v>
      </c>
      <c r="FS18" s="1">
        <v>0</v>
      </c>
      <c r="FT18" s="1">
        <v>0</v>
      </c>
      <c r="FU18" s="1">
        <v>0</v>
      </c>
      <c r="FV18" s="1">
        <v>0</v>
      </c>
      <c r="FW18" s="1">
        <v>0</v>
      </c>
      <c r="FX18" s="1">
        <v>0</v>
      </c>
      <c r="FY18" s="1">
        <v>0</v>
      </c>
      <c r="FZ18" s="1">
        <v>0</v>
      </c>
      <c r="GA18" s="1">
        <v>0</v>
      </c>
      <c r="GB18" s="1">
        <v>0</v>
      </c>
      <c r="GC18" s="1">
        <v>2044.0260000000001</v>
      </c>
      <c r="GD18" s="1">
        <v>4006.26</v>
      </c>
      <c r="GE18" s="1">
        <v>4794.25</v>
      </c>
      <c r="GF18" s="1">
        <v>4934.17</v>
      </c>
      <c r="GG18" s="1">
        <v>2044.0260000000001</v>
      </c>
      <c r="GH18" s="1">
        <v>4006.26</v>
      </c>
      <c r="GI18" s="1">
        <v>4794.25</v>
      </c>
      <c r="GJ18" s="1">
        <v>4934.17</v>
      </c>
      <c r="GK18" s="1">
        <v>0</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1093.8</v>
      </c>
      <c r="IP18" s="1">
        <v>1006.07</v>
      </c>
      <c r="IQ18" s="1">
        <v>0.7</v>
      </c>
      <c r="IR18" s="1">
        <v>0</v>
      </c>
      <c r="IS18" s="1">
        <v>1077.1500000000001</v>
      </c>
      <c r="IT18" s="1">
        <v>1005</v>
      </c>
      <c r="IU18" s="1">
        <v>0</v>
      </c>
      <c r="IV18" s="1">
        <v>0</v>
      </c>
      <c r="IW18" s="1">
        <v>16.649999999999999</v>
      </c>
      <c r="IX18" s="1">
        <v>1.07</v>
      </c>
      <c r="IY18" s="1">
        <v>0.7</v>
      </c>
      <c r="IZ18" s="1">
        <v>0</v>
      </c>
      <c r="JA18" s="1">
        <v>0</v>
      </c>
      <c r="JB18" s="1">
        <v>0</v>
      </c>
      <c r="JC18" s="1">
        <v>0</v>
      </c>
      <c r="JD18" s="1">
        <v>0</v>
      </c>
      <c r="JE18" s="1">
        <v>0</v>
      </c>
      <c r="JF18" s="1">
        <v>0</v>
      </c>
      <c r="JG18" s="1">
        <v>0</v>
      </c>
      <c r="JH18" s="1">
        <v>0</v>
      </c>
      <c r="JI18" s="1">
        <v>0</v>
      </c>
      <c r="JJ18" s="1">
        <v>0</v>
      </c>
      <c r="JK18" s="1">
        <v>0</v>
      </c>
      <c r="JL18" s="1">
        <v>0</v>
      </c>
      <c r="JM18" s="1">
        <v>0</v>
      </c>
      <c r="JN18" s="1">
        <v>0</v>
      </c>
      <c r="JO18" s="1">
        <v>0</v>
      </c>
      <c r="JP18" s="1">
        <v>0</v>
      </c>
      <c r="JQ18" s="9"/>
      <c r="JR18" s="1">
        <f t="shared" si="0"/>
        <v>24438.310739999997</v>
      </c>
      <c r="JS18" s="1">
        <f t="shared" si="1"/>
        <v>25037.688600000001</v>
      </c>
      <c r="JT18" s="1">
        <f t="shared" si="2"/>
        <v>25049.538900000003</v>
      </c>
      <c r="JU18" s="1">
        <f t="shared" si="3"/>
        <v>27143.818200000002</v>
      </c>
      <c r="JV18" s="1">
        <f t="shared" si="4"/>
        <v>4525.6130999999996</v>
      </c>
      <c r="JW18" s="1">
        <f t="shared" si="5"/>
        <v>4636.6089999999995</v>
      </c>
      <c r="JX18" s="1">
        <f t="shared" si="6"/>
        <v>4638.8035000000009</v>
      </c>
      <c r="JY18" s="1">
        <f t="shared" si="7"/>
        <v>5026.6330000000007</v>
      </c>
    </row>
    <row r="19" spans="1:285" x14ac:dyDescent="0.35">
      <c r="A19" s="2" t="s">
        <v>26</v>
      </c>
      <c r="B19" s="1">
        <v>141560</v>
      </c>
      <c r="C19" s="1">
        <v>140976</v>
      </c>
      <c r="D19" s="1">
        <v>141680</v>
      </c>
      <c r="E19" s="1">
        <v>143070</v>
      </c>
      <c r="F19" s="1">
        <v>167230.658</v>
      </c>
      <c r="G19" s="1">
        <v>196705.01</v>
      </c>
      <c r="H19" s="1">
        <v>199680.28099999999</v>
      </c>
      <c r="I19" s="1">
        <v>202319.03899999999</v>
      </c>
      <c r="J19" s="1">
        <f t="shared" si="8"/>
        <v>16704.565999999999</v>
      </c>
      <c r="K19" s="1">
        <f t="shared" si="9"/>
        <v>25296.527000000002</v>
      </c>
      <c r="L19" s="1">
        <f t="shared" si="10"/>
        <v>27002.798000000003</v>
      </c>
      <c r="M19" s="1">
        <f t="shared" si="11"/>
        <v>28046.371999999999</v>
      </c>
      <c r="N19" s="1">
        <f t="shared" si="12"/>
        <v>150526.092</v>
      </c>
      <c r="O19" s="1">
        <f t="shared" si="13"/>
        <v>171408.48300000001</v>
      </c>
      <c r="P19" s="1">
        <f t="shared" si="14"/>
        <v>172677.48299999998</v>
      </c>
      <c r="Q19" s="1">
        <f t="shared" si="15"/>
        <v>174272.66699999999</v>
      </c>
      <c r="R19" s="1">
        <v>0</v>
      </c>
      <c r="S19" s="1">
        <v>0</v>
      </c>
      <c r="T19" s="1">
        <v>0</v>
      </c>
      <c r="U19" s="1">
        <v>0</v>
      </c>
      <c r="V19" s="1">
        <v>0</v>
      </c>
      <c r="W19" s="1">
        <v>0</v>
      </c>
      <c r="X19" s="1">
        <v>0</v>
      </c>
      <c r="Y19" s="1">
        <v>0</v>
      </c>
      <c r="Z19" s="1">
        <v>0</v>
      </c>
      <c r="AA19" s="1">
        <v>0</v>
      </c>
      <c r="AB19" s="1">
        <v>0</v>
      </c>
      <c r="AC19" s="1">
        <v>0</v>
      </c>
      <c r="AD19" s="1">
        <v>0</v>
      </c>
      <c r="AE19" s="1">
        <v>0</v>
      </c>
      <c r="AF19" s="1">
        <v>0</v>
      </c>
      <c r="AG19" s="1">
        <v>0</v>
      </c>
      <c r="AH19" s="1">
        <v>0</v>
      </c>
      <c r="AI19" s="1">
        <v>0</v>
      </c>
      <c r="AJ19" s="1">
        <v>0</v>
      </c>
      <c r="AK19" s="1">
        <v>0</v>
      </c>
      <c r="AL19" s="1">
        <v>0</v>
      </c>
      <c r="AM19" s="1">
        <v>0</v>
      </c>
      <c r="AN19" s="1">
        <v>0</v>
      </c>
      <c r="AO19" s="1">
        <v>0</v>
      </c>
      <c r="AP19" s="1">
        <v>2981.5699999999997</v>
      </c>
      <c r="AQ19" s="1">
        <v>3278.9800000000005</v>
      </c>
      <c r="AR19" s="1">
        <v>3165.18</v>
      </c>
      <c r="AS19" s="1">
        <v>3362.7</v>
      </c>
      <c r="AT19" s="1">
        <v>0</v>
      </c>
      <c r="AU19" s="1">
        <v>2981.5699999999997</v>
      </c>
      <c r="AV19" s="1">
        <v>0</v>
      </c>
      <c r="AW19" s="1">
        <v>0</v>
      </c>
      <c r="AX19" s="1">
        <v>0</v>
      </c>
      <c r="AY19" s="1">
        <v>3278.9800000000005</v>
      </c>
      <c r="AZ19" s="1">
        <v>0</v>
      </c>
      <c r="BA19" s="1">
        <v>0</v>
      </c>
      <c r="BB19" s="1">
        <v>0</v>
      </c>
      <c r="BC19" s="1">
        <v>3165.18</v>
      </c>
      <c r="BD19" s="1">
        <v>0</v>
      </c>
      <c r="BE19" s="1">
        <v>0</v>
      </c>
      <c r="BF19" s="1">
        <v>3362.7</v>
      </c>
      <c r="BG19" s="1">
        <v>0</v>
      </c>
      <c r="BH19" s="1">
        <v>0</v>
      </c>
      <c r="BI19" s="1">
        <v>0</v>
      </c>
      <c r="BJ19" s="1">
        <v>0</v>
      </c>
      <c r="BK19" s="1">
        <v>0</v>
      </c>
      <c r="BL19" s="1">
        <v>0</v>
      </c>
      <c r="BM19" s="1">
        <v>0</v>
      </c>
      <c r="BN19" s="1">
        <v>0</v>
      </c>
      <c r="BO19" s="1">
        <v>0</v>
      </c>
      <c r="BP19" s="1">
        <v>0</v>
      </c>
      <c r="BQ19" s="1">
        <v>0</v>
      </c>
      <c r="BR19" s="1">
        <v>0</v>
      </c>
      <c r="BS19" s="1">
        <v>0</v>
      </c>
      <c r="BT19" s="1">
        <v>0</v>
      </c>
      <c r="BU19" s="1">
        <v>3393.06</v>
      </c>
      <c r="BV19" s="1">
        <v>4173.17</v>
      </c>
      <c r="BW19" s="1">
        <v>3939.22</v>
      </c>
      <c r="BX19" s="1">
        <v>3917</v>
      </c>
      <c r="BY19" s="1">
        <v>3384.64</v>
      </c>
      <c r="BZ19" s="1">
        <v>4161.6500000000005</v>
      </c>
      <c r="CA19" s="1">
        <v>3924.06</v>
      </c>
      <c r="CB19" s="1">
        <v>3896.9</v>
      </c>
      <c r="CC19" s="1">
        <v>8.42</v>
      </c>
      <c r="CD19" s="1">
        <v>11.52</v>
      </c>
      <c r="CE19" s="1">
        <v>15.16</v>
      </c>
      <c r="CF19" s="1">
        <v>20.100000000000001</v>
      </c>
      <c r="CG19" s="1">
        <v>0</v>
      </c>
      <c r="CH19" s="1">
        <v>0</v>
      </c>
      <c r="CI19" s="1">
        <v>0</v>
      </c>
      <c r="CJ19" s="1">
        <v>0</v>
      </c>
      <c r="CK19" s="1">
        <v>0</v>
      </c>
      <c r="CL19" s="1">
        <v>0</v>
      </c>
      <c r="CM19" s="1">
        <v>0</v>
      </c>
      <c r="CN19" s="1">
        <v>0</v>
      </c>
      <c r="CO19" s="1">
        <v>0</v>
      </c>
      <c r="CP19" s="1">
        <v>0</v>
      </c>
      <c r="CQ19" s="1">
        <v>0</v>
      </c>
      <c r="CR19" s="1">
        <v>0</v>
      </c>
      <c r="CS19" s="1">
        <v>984.77</v>
      </c>
      <c r="CT19" s="1">
        <v>1305.69</v>
      </c>
      <c r="CU19" s="1">
        <v>1392.7</v>
      </c>
      <c r="CV19" s="1">
        <v>1591.43</v>
      </c>
      <c r="CW19" s="1">
        <v>984.77</v>
      </c>
      <c r="CX19" s="1">
        <v>1305.69</v>
      </c>
      <c r="CY19" s="1">
        <v>1392.7</v>
      </c>
      <c r="CZ19" s="1">
        <v>1591.43</v>
      </c>
      <c r="DA19" s="1">
        <v>0</v>
      </c>
      <c r="DB19" s="1">
        <v>0</v>
      </c>
      <c r="DC19" s="1">
        <v>0</v>
      </c>
      <c r="DD19" s="1">
        <v>0</v>
      </c>
      <c r="DE19" s="1">
        <v>0</v>
      </c>
      <c r="DF19" s="1">
        <v>0</v>
      </c>
      <c r="DG19" s="1">
        <v>0</v>
      </c>
      <c r="DH19" s="1">
        <v>0</v>
      </c>
      <c r="DI19" s="1">
        <v>0</v>
      </c>
      <c r="DJ19" s="1">
        <v>0</v>
      </c>
      <c r="DK19" s="1">
        <v>0</v>
      </c>
      <c r="DL19" s="1">
        <v>0</v>
      </c>
      <c r="DM19" s="1">
        <v>2745.17</v>
      </c>
      <c r="DN19" s="1">
        <v>4595.0200000000004</v>
      </c>
      <c r="DO19" s="1">
        <v>4128.2420000000002</v>
      </c>
      <c r="DP19" s="1">
        <v>4336.6100000000006</v>
      </c>
      <c r="DQ19" s="1">
        <v>2745.17</v>
      </c>
      <c r="DR19" s="1">
        <v>4595.0200000000004</v>
      </c>
      <c r="DS19" s="1">
        <v>4128.2420000000002</v>
      </c>
      <c r="DT19" s="1">
        <v>4336.6100000000006</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2454.2689999999998</v>
      </c>
      <c r="EL19" s="1">
        <v>5107.8110000000006</v>
      </c>
      <c r="EM19" s="1">
        <v>6793.4400000000014</v>
      </c>
      <c r="EN19" s="1">
        <v>7038.67</v>
      </c>
      <c r="EO19" s="1">
        <v>2454.2689999999998</v>
      </c>
      <c r="EP19" s="1">
        <v>5104.2510000000002</v>
      </c>
      <c r="EQ19" s="1">
        <v>6793.4400000000014</v>
      </c>
      <c r="ER19" s="1">
        <v>7038.67</v>
      </c>
      <c r="ES19" s="1">
        <v>0</v>
      </c>
      <c r="ET19" s="1">
        <v>0</v>
      </c>
      <c r="EU19" s="1">
        <v>0</v>
      </c>
      <c r="EV19" s="1">
        <v>0</v>
      </c>
      <c r="EW19" s="1">
        <v>0</v>
      </c>
      <c r="EX19" s="1">
        <v>3.56</v>
      </c>
      <c r="EY19" s="1">
        <v>0</v>
      </c>
      <c r="EZ19" s="1">
        <v>0</v>
      </c>
      <c r="FA19" s="1">
        <v>0</v>
      </c>
      <c r="FB19" s="1">
        <v>0</v>
      </c>
      <c r="FC19" s="1">
        <v>0</v>
      </c>
      <c r="FD19" s="1">
        <v>0</v>
      </c>
      <c r="FE19" s="1">
        <v>49.963000000000001</v>
      </c>
      <c r="FF19" s="1">
        <v>118.52500000000001</v>
      </c>
      <c r="FG19" s="1">
        <v>243.26</v>
      </c>
      <c r="FH19" s="1">
        <v>254.71199999999999</v>
      </c>
      <c r="FI19" s="1">
        <v>49.963000000000001</v>
      </c>
      <c r="FJ19" s="1">
        <v>67.105000000000004</v>
      </c>
      <c r="FK19" s="1">
        <v>163.72</v>
      </c>
      <c r="FL19" s="1">
        <v>162.19200000000001</v>
      </c>
      <c r="FM19" s="1">
        <v>0</v>
      </c>
      <c r="FN19" s="1">
        <v>51.42</v>
      </c>
      <c r="FO19" s="1">
        <v>79.539999999999992</v>
      </c>
      <c r="FP19" s="1">
        <v>92.52</v>
      </c>
      <c r="FQ19" s="1">
        <v>0</v>
      </c>
      <c r="FR19" s="1">
        <v>0</v>
      </c>
      <c r="FS19" s="1">
        <v>0</v>
      </c>
      <c r="FT19" s="1">
        <v>0</v>
      </c>
      <c r="FU19" s="1">
        <v>0</v>
      </c>
      <c r="FV19" s="1">
        <v>0</v>
      </c>
      <c r="FW19" s="1">
        <v>0</v>
      </c>
      <c r="FX19" s="1">
        <v>0</v>
      </c>
      <c r="FY19" s="1">
        <v>0</v>
      </c>
      <c r="FZ19" s="1">
        <v>0</v>
      </c>
      <c r="GA19" s="1">
        <v>0</v>
      </c>
      <c r="GB19" s="1">
        <v>0</v>
      </c>
      <c r="GC19" s="1">
        <v>1972.67</v>
      </c>
      <c r="GD19" s="1">
        <v>2164.0300000000002</v>
      </c>
      <c r="GE19" s="1">
        <v>2103.42</v>
      </c>
      <c r="GF19" s="1">
        <v>2394.5300000000002</v>
      </c>
      <c r="GG19" s="1">
        <v>1972.67</v>
      </c>
      <c r="GH19" s="1">
        <v>2164.0300000000002</v>
      </c>
      <c r="GI19" s="1">
        <v>2103.42</v>
      </c>
      <c r="GJ19" s="1">
        <v>2394.5300000000002</v>
      </c>
      <c r="GK19" s="1">
        <v>0</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1824.67</v>
      </c>
      <c r="HF19" s="1">
        <v>2049.88</v>
      </c>
      <c r="HG19" s="1">
        <v>476.38</v>
      </c>
      <c r="HH19" s="1">
        <v>0</v>
      </c>
      <c r="HI19" s="1">
        <v>1824.67</v>
      </c>
      <c r="HJ19" s="1">
        <v>2049.88</v>
      </c>
      <c r="HK19" s="1">
        <v>476.38</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298.42399999999998</v>
      </c>
      <c r="IP19" s="1">
        <v>2503.4209999999998</v>
      </c>
      <c r="IQ19" s="1">
        <v>4760.9560000000001</v>
      </c>
      <c r="IR19" s="1">
        <v>5150.72</v>
      </c>
      <c r="IS19" s="1">
        <v>285.8</v>
      </c>
      <c r="IT19" s="1">
        <v>2459.52</v>
      </c>
      <c r="IU19" s="1">
        <v>4723.42</v>
      </c>
      <c r="IV19" s="1">
        <v>5106.8900000000003</v>
      </c>
      <c r="IW19" s="1">
        <v>12.624000000000001</v>
      </c>
      <c r="IX19" s="1">
        <v>43.901000000000003</v>
      </c>
      <c r="IY19" s="1">
        <v>37.536000000000001</v>
      </c>
      <c r="IZ19" s="1">
        <v>43.83</v>
      </c>
      <c r="JA19" s="1">
        <v>0</v>
      </c>
      <c r="JB19" s="1">
        <v>0</v>
      </c>
      <c r="JC19" s="1">
        <v>0</v>
      </c>
      <c r="JD19" s="1">
        <v>0</v>
      </c>
      <c r="JE19" s="1">
        <v>0</v>
      </c>
      <c r="JF19" s="1">
        <v>0</v>
      </c>
      <c r="JG19" s="1">
        <v>0</v>
      </c>
      <c r="JH19" s="1">
        <v>0</v>
      </c>
      <c r="JI19" s="1">
        <v>0</v>
      </c>
      <c r="JJ19" s="1">
        <v>0</v>
      </c>
      <c r="JK19" s="1">
        <v>0</v>
      </c>
      <c r="JL19" s="1">
        <v>0</v>
      </c>
      <c r="JM19" s="1">
        <v>0</v>
      </c>
      <c r="JN19" s="1">
        <v>0</v>
      </c>
      <c r="JO19" s="1">
        <v>0</v>
      </c>
      <c r="JP19" s="1">
        <v>0</v>
      </c>
      <c r="JQ19" s="9"/>
      <c r="JR19" s="1">
        <f t="shared" si="0"/>
        <v>40642.044840000002</v>
      </c>
      <c r="JS19" s="1">
        <f t="shared" si="1"/>
        <v>46280.290410000001</v>
      </c>
      <c r="JT19" s="1">
        <f t="shared" si="2"/>
        <v>46622.920409999999</v>
      </c>
      <c r="JU19" s="1">
        <f t="shared" si="3"/>
        <v>47053.620089999997</v>
      </c>
      <c r="JV19" s="1">
        <f t="shared" si="4"/>
        <v>7526.3046000000004</v>
      </c>
      <c r="JW19" s="1">
        <f t="shared" si="5"/>
        <v>8570.4241500000007</v>
      </c>
      <c r="JX19" s="1">
        <f t="shared" si="6"/>
        <v>8633.8741499999996</v>
      </c>
      <c r="JY19" s="1">
        <f t="shared" si="7"/>
        <v>8713.6333500000001</v>
      </c>
    </row>
    <row r="20" spans="1:285" x14ac:dyDescent="0.35">
      <c r="A20" s="2" t="s">
        <v>27</v>
      </c>
      <c r="B20" s="1">
        <v>79647</v>
      </c>
      <c r="C20" s="1">
        <v>80473</v>
      </c>
      <c r="D20" s="1">
        <v>81490</v>
      </c>
      <c r="E20" s="1">
        <v>82771</v>
      </c>
      <c r="F20" s="1">
        <v>19979.835999999999</v>
      </c>
      <c r="G20" s="1">
        <v>28181.492999999999</v>
      </c>
      <c r="H20" s="1">
        <v>23822.839</v>
      </c>
      <c r="I20" s="1">
        <v>24786.449000000001</v>
      </c>
      <c r="J20" s="1">
        <f t="shared" si="8"/>
        <v>11701.513999999997</v>
      </c>
      <c r="K20" s="1">
        <f t="shared" si="9"/>
        <v>15845.471000000001</v>
      </c>
      <c r="L20" s="1">
        <f t="shared" si="10"/>
        <v>12631.641</v>
      </c>
      <c r="M20" s="1">
        <f t="shared" si="11"/>
        <v>13774.890000000001</v>
      </c>
      <c r="N20" s="1">
        <f t="shared" si="12"/>
        <v>8278.3220000000019</v>
      </c>
      <c r="O20" s="1">
        <f t="shared" si="13"/>
        <v>12336.021999999997</v>
      </c>
      <c r="P20" s="1">
        <f t="shared" si="14"/>
        <v>11191.198</v>
      </c>
      <c r="Q20" s="1">
        <f t="shared" si="15"/>
        <v>11011.558999999999</v>
      </c>
      <c r="R20" s="1">
        <v>0</v>
      </c>
      <c r="S20" s="1">
        <v>0</v>
      </c>
      <c r="T20" s="1">
        <v>0</v>
      </c>
      <c r="U20" s="1">
        <v>0</v>
      </c>
      <c r="V20" s="1">
        <v>0</v>
      </c>
      <c r="W20" s="1">
        <v>0</v>
      </c>
      <c r="X20" s="1">
        <v>0</v>
      </c>
      <c r="Y20" s="1">
        <v>0</v>
      </c>
      <c r="Z20" s="1">
        <v>0</v>
      </c>
      <c r="AA20" s="1">
        <v>0</v>
      </c>
      <c r="AB20" s="1">
        <v>0</v>
      </c>
      <c r="AC20" s="1">
        <v>0</v>
      </c>
      <c r="AD20" s="1">
        <v>0</v>
      </c>
      <c r="AE20" s="1">
        <v>0</v>
      </c>
      <c r="AF20" s="1">
        <v>0</v>
      </c>
      <c r="AG20" s="1">
        <v>0</v>
      </c>
      <c r="AH20" s="1">
        <v>0</v>
      </c>
      <c r="AI20" s="1">
        <v>0</v>
      </c>
      <c r="AJ20" s="1">
        <v>0</v>
      </c>
      <c r="AK20" s="1">
        <v>0</v>
      </c>
      <c r="AL20" s="1">
        <v>0</v>
      </c>
      <c r="AM20" s="1">
        <v>0</v>
      </c>
      <c r="AN20" s="1">
        <v>0</v>
      </c>
      <c r="AO20" s="1">
        <v>0</v>
      </c>
      <c r="AP20" s="1">
        <v>5842.7199999999993</v>
      </c>
      <c r="AQ20" s="1">
        <v>6675.75</v>
      </c>
      <c r="AR20" s="1">
        <v>5515.32</v>
      </c>
      <c r="AS20" s="1">
        <v>6421.06</v>
      </c>
      <c r="AT20" s="1">
        <v>0</v>
      </c>
      <c r="AU20" s="1">
        <v>5842.7199999999993</v>
      </c>
      <c r="AV20" s="1">
        <v>0</v>
      </c>
      <c r="AW20" s="1">
        <v>0</v>
      </c>
      <c r="AX20" s="1">
        <v>6675.75</v>
      </c>
      <c r="AY20" s="1">
        <v>0</v>
      </c>
      <c r="AZ20" s="1">
        <v>0</v>
      </c>
      <c r="BA20" s="1">
        <v>0</v>
      </c>
      <c r="BB20" s="1">
        <v>5515.32</v>
      </c>
      <c r="BC20" s="1">
        <v>0</v>
      </c>
      <c r="BD20" s="1">
        <v>0</v>
      </c>
      <c r="BE20" s="1">
        <v>6421.06</v>
      </c>
      <c r="BF20" s="1">
        <v>0</v>
      </c>
      <c r="BG20" s="1">
        <v>0</v>
      </c>
      <c r="BH20" s="1">
        <v>0</v>
      </c>
      <c r="BI20" s="1">
        <v>0</v>
      </c>
      <c r="BJ20" s="1">
        <v>0</v>
      </c>
      <c r="BK20" s="1">
        <v>0</v>
      </c>
      <c r="BL20" s="1">
        <v>0</v>
      </c>
      <c r="BM20" s="1">
        <v>0</v>
      </c>
      <c r="BN20" s="1">
        <v>0</v>
      </c>
      <c r="BO20" s="1">
        <v>0</v>
      </c>
      <c r="BP20" s="1">
        <v>0</v>
      </c>
      <c r="BQ20" s="1">
        <v>0</v>
      </c>
      <c r="BR20" s="1">
        <v>0</v>
      </c>
      <c r="BS20" s="1">
        <v>0</v>
      </c>
      <c r="BT20" s="1">
        <v>0</v>
      </c>
      <c r="BU20" s="1">
        <v>2144.087</v>
      </c>
      <c r="BV20" s="1">
        <v>3505.6509999999998</v>
      </c>
      <c r="BW20" s="1">
        <v>2619.9059999999999</v>
      </c>
      <c r="BX20" s="1">
        <v>2785.0529999999999</v>
      </c>
      <c r="BY20" s="1">
        <v>2144.087</v>
      </c>
      <c r="BZ20" s="1">
        <v>3362.777</v>
      </c>
      <c r="CA20" s="1">
        <v>2442.1039999999998</v>
      </c>
      <c r="CB20" s="1">
        <v>2745.9830000000002</v>
      </c>
      <c r="CC20" s="1">
        <v>0</v>
      </c>
      <c r="CD20" s="1">
        <v>142.874</v>
      </c>
      <c r="CE20" s="1">
        <v>177.80199999999999</v>
      </c>
      <c r="CF20" s="1">
        <v>39.07</v>
      </c>
      <c r="CG20" s="1">
        <v>0</v>
      </c>
      <c r="CH20" s="1">
        <v>0</v>
      </c>
      <c r="CI20" s="1">
        <v>0</v>
      </c>
      <c r="CJ20" s="1">
        <v>0</v>
      </c>
      <c r="CK20" s="1">
        <v>0</v>
      </c>
      <c r="CL20" s="1">
        <v>0</v>
      </c>
      <c r="CM20" s="1">
        <v>0</v>
      </c>
      <c r="CN20" s="1">
        <v>0</v>
      </c>
      <c r="CO20" s="1">
        <v>0</v>
      </c>
      <c r="CP20" s="1">
        <v>0</v>
      </c>
      <c r="CQ20" s="1">
        <v>0</v>
      </c>
      <c r="CR20" s="1">
        <v>0</v>
      </c>
      <c r="CS20" s="1">
        <v>387.63799999999998</v>
      </c>
      <c r="CT20" s="1">
        <v>705.23</v>
      </c>
      <c r="CU20" s="1">
        <v>804.077</v>
      </c>
      <c r="CV20" s="1">
        <v>727.52499999999998</v>
      </c>
      <c r="CW20" s="1">
        <v>387.63799999999998</v>
      </c>
      <c r="CX20" s="1">
        <v>667.53199999999993</v>
      </c>
      <c r="CY20" s="1">
        <v>642.49</v>
      </c>
      <c r="CZ20" s="1">
        <v>446.21499999999997</v>
      </c>
      <c r="DA20" s="1">
        <v>0</v>
      </c>
      <c r="DB20" s="1">
        <v>37.698</v>
      </c>
      <c r="DC20" s="1">
        <v>161.58699999999999</v>
      </c>
      <c r="DD20" s="1">
        <v>281.31</v>
      </c>
      <c r="DE20" s="1">
        <v>0</v>
      </c>
      <c r="DF20" s="1">
        <v>0</v>
      </c>
      <c r="DG20" s="1">
        <v>0</v>
      </c>
      <c r="DH20" s="1">
        <v>0</v>
      </c>
      <c r="DI20" s="1">
        <v>0</v>
      </c>
      <c r="DJ20" s="1">
        <v>0</v>
      </c>
      <c r="DK20" s="1">
        <v>0</v>
      </c>
      <c r="DL20" s="1">
        <v>0</v>
      </c>
      <c r="DM20" s="1">
        <v>2568.4450000000002</v>
      </c>
      <c r="DN20" s="1">
        <v>4053.3020000000001</v>
      </c>
      <c r="DO20" s="1">
        <v>2890.3820000000001</v>
      </c>
      <c r="DP20" s="1">
        <v>2961.8539999999998</v>
      </c>
      <c r="DQ20" s="1">
        <v>2568.4450000000002</v>
      </c>
      <c r="DR20" s="1">
        <v>3285.654</v>
      </c>
      <c r="DS20" s="1">
        <v>2890.3820000000001</v>
      </c>
      <c r="DT20" s="1">
        <v>2961.8539999999998</v>
      </c>
      <c r="DU20" s="1">
        <v>0</v>
      </c>
      <c r="DV20" s="1">
        <v>767.64800000000002</v>
      </c>
      <c r="DW20" s="1">
        <v>0</v>
      </c>
      <c r="DX20" s="1">
        <v>0</v>
      </c>
      <c r="DY20" s="1">
        <v>0</v>
      </c>
      <c r="DZ20" s="1">
        <v>0</v>
      </c>
      <c r="EA20" s="1">
        <v>0</v>
      </c>
      <c r="EB20" s="1">
        <v>0</v>
      </c>
      <c r="EC20" s="1">
        <v>0</v>
      </c>
      <c r="ED20" s="1">
        <v>0</v>
      </c>
      <c r="EE20" s="1">
        <v>0</v>
      </c>
      <c r="EF20" s="1">
        <v>0</v>
      </c>
      <c r="EG20" s="1">
        <v>0</v>
      </c>
      <c r="EH20" s="1">
        <v>0</v>
      </c>
      <c r="EI20" s="1">
        <v>0</v>
      </c>
      <c r="EJ20" s="1">
        <v>0</v>
      </c>
      <c r="EK20" s="1">
        <v>471.34500000000003</v>
      </c>
      <c r="EL20" s="1">
        <v>672.11099999999999</v>
      </c>
      <c r="EM20" s="1">
        <v>552.11800000000005</v>
      </c>
      <c r="EN20" s="1">
        <v>612.21799999999996</v>
      </c>
      <c r="EO20" s="1">
        <v>471.34500000000003</v>
      </c>
      <c r="EP20" s="1">
        <v>561.96600000000001</v>
      </c>
      <c r="EQ20" s="1">
        <v>439.35800000000012</v>
      </c>
      <c r="ER20" s="1">
        <v>337.2</v>
      </c>
      <c r="ES20" s="1">
        <v>0</v>
      </c>
      <c r="ET20" s="1">
        <v>110.145</v>
      </c>
      <c r="EU20" s="1">
        <v>112.76</v>
      </c>
      <c r="EV20" s="1">
        <v>275.01799999999997</v>
      </c>
      <c r="EW20" s="1">
        <v>0</v>
      </c>
      <c r="EX20" s="1">
        <v>0</v>
      </c>
      <c r="EY20" s="1">
        <v>0</v>
      </c>
      <c r="EZ20" s="1">
        <v>0</v>
      </c>
      <c r="FA20" s="1">
        <v>0</v>
      </c>
      <c r="FB20" s="1">
        <v>0</v>
      </c>
      <c r="FC20" s="1">
        <v>0</v>
      </c>
      <c r="FD20" s="1">
        <v>0</v>
      </c>
      <c r="FE20" s="1">
        <v>11.256</v>
      </c>
      <c r="FF20" s="1">
        <v>8.2330000000000005</v>
      </c>
      <c r="FG20" s="1">
        <v>3.1829999999999998</v>
      </c>
      <c r="FH20" s="1">
        <v>2.282</v>
      </c>
      <c r="FI20" s="1">
        <v>0</v>
      </c>
      <c r="FJ20" s="1">
        <v>0</v>
      </c>
      <c r="FK20" s="1">
        <v>0</v>
      </c>
      <c r="FL20" s="1">
        <v>0</v>
      </c>
      <c r="FM20" s="1">
        <v>11.256</v>
      </c>
      <c r="FN20" s="1">
        <v>8.2330000000000005</v>
      </c>
      <c r="FO20" s="1">
        <v>3.1829999999999998</v>
      </c>
      <c r="FP20" s="1">
        <v>2.282</v>
      </c>
      <c r="FQ20" s="1">
        <v>0</v>
      </c>
      <c r="FR20" s="1">
        <v>0</v>
      </c>
      <c r="FS20" s="1">
        <v>0</v>
      </c>
      <c r="FT20" s="1">
        <v>0</v>
      </c>
      <c r="FU20" s="1">
        <v>0</v>
      </c>
      <c r="FV20" s="1">
        <v>0</v>
      </c>
      <c r="FW20" s="1">
        <v>0</v>
      </c>
      <c r="FX20" s="1">
        <v>0</v>
      </c>
      <c r="FY20" s="1">
        <v>0</v>
      </c>
      <c r="FZ20" s="1">
        <v>0</v>
      </c>
      <c r="GA20" s="1">
        <v>0</v>
      </c>
      <c r="GB20" s="1">
        <v>0</v>
      </c>
      <c r="GC20" s="1">
        <v>71.08</v>
      </c>
      <c r="GD20" s="1">
        <v>74.02000000000001</v>
      </c>
      <c r="GE20" s="1">
        <v>64.06</v>
      </c>
      <c r="GF20" s="1">
        <v>49.02</v>
      </c>
      <c r="GG20" s="1">
        <v>71.08</v>
      </c>
      <c r="GH20" s="1">
        <v>74.02000000000001</v>
      </c>
      <c r="GI20" s="1">
        <v>64.06</v>
      </c>
      <c r="GJ20" s="1">
        <v>49.02</v>
      </c>
      <c r="GK20" s="1">
        <v>0</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204.94300000000001</v>
      </c>
      <c r="IP20" s="1">
        <v>151.17400000000001</v>
      </c>
      <c r="IQ20" s="1">
        <v>182.595</v>
      </c>
      <c r="IR20" s="1">
        <v>215.87799999999999</v>
      </c>
      <c r="IS20" s="1">
        <v>204.94300000000001</v>
      </c>
      <c r="IT20" s="1">
        <v>151.17400000000001</v>
      </c>
      <c r="IU20" s="1">
        <v>182.595</v>
      </c>
      <c r="IV20" s="1">
        <v>215.87799999999999</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0</v>
      </c>
      <c r="JO20" s="1">
        <v>0</v>
      </c>
      <c r="JP20" s="1">
        <v>0</v>
      </c>
      <c r="JQ20" s="9"/>
      <c r="JR20" s="1">
        <f t="shared" si="0"/>
        <v>2235.1469400000005</v>
      </c>
      <c r="JS20" s="1">
        <f t="shared" si="1"/>
        <v>3330.7259399999994</v>
      </c>
      <c r="JT20" s="1">
        <f t="shared" si="2"/>
        <v>3021.6234600000003</v>
      </c>
      <c r="JU20" s="1">
        <f t="shared" si="3"/>
        <v>2973.12093</v>
      </c>
      <c r="JV20" s="1">
        <f t="shared" si="4"/>
        <v>413.91610000000014</v>
      </c>
      <c r="JW20" s="1">
        <f t="shared" si="5"/>
        <v>616.80109999999991</v>
      </c>
      <c r="JX20" s="1">
        <f t="shared" si="6"/>
        <v>559.55990000000008</v>
      </c>
      <c r="JY20" s="1">
        <f t="shared" si="7"/>
        <v>550.57794999999999</v>
      </c>
    </row>
    <row r="21" spans="1:285" x14ac:dyDescent="0.35">
      <c r="A21" s="2" t="s">
        <v>28</v>
      </c>
      <c r="B21" s="1">
        <v>295712</v>
      </c>
      <c r="C21" s="1">
        <v>296169</v>
      </c>
      <c r="D21" s="1">
        <v>299957</v>
      </c>
      <c r="E21" s="1">
        <v>305575</v>
      </c>
      <c r="F21" s="1">
        <v>68613.955000000002</v>
      </c>
      <c r="G21" s="1">
        <v>69711.051999999996</v>
      </c>
      <c r="H21" s="1">
        <v>65046.035000000003</v>
      </c>
      <c r="I21" s="1">
        <v>63272.275999999998</v>
      </c>
      <c r="J21" s="1">
        <f t="shared" si="8"/>
        <v>43740.316999999995</v>
      </c>
      <c r="K21" s="1">
        <f t="shared" si="9"/>
        <v>46526.936999999998</v>
      </c>
      <c r="L21" s="1">
        <f t="shared" si="10"/>
        <v>41581.359000000004</v>
      </c>
      <c r="M21" s="1">
        <f t="shared" si="11"/>
        <v>41132.22</v>
      </c>
      <c r="N21" s="1">
        <f t="shared" si="12"/>
        <v>24873.638000000006</v>
      </c>
      <c r="O21" s="1">
        <f t="shared" si="13"/>
        <v>23184.114999999998</v>
      </c>
      <c r="P21" s="1">
        <f t="shared" si="14"/>
        <v>23464.675999999999</v>
      </c>
      <c r="Q21" s="1">
        <f t="shared" si="15"/>
        <v>22140.055999999997</v>
      </c>
      <c r="R21" s="1">
        <v>0</v>
      </c>
      <c r="S21" s="1">
        <v>0</v>
      </c>
      <c r="T21" s="1">
        <v>0</v>
      </c>
      <c r="U21" s="1">
        <v>0</v>
      </c>
      <c r="V21" s="1">
        <v>0</v>
      </c>
      <c r="W21" s="1">
        <v>0</v>
      </c>
      <c r="X21" s="1">
        <v>0</v>
      </c>
      <c r="Y21" s="1">
        <v>0</v>
      </c>
      <c r="Z21" s="1">
        <v>0</v>
      </c>
      <c r="AA21" s="1">
        <v>0</v>
      </c>
      <c r="AB21" s="1">
        <v>0</v>
      </c>
      <c r="AC21" s="1">
        <v>0</v>
      </c>
      <c r="AD21" s="1">
        <v>0</v>
      </c>
      <c r="AE21" s="1">
        <v>0</v>
      </c>
      <c r="AF21" s="1">
        <v>0</v>
      </c>
      <c r="AG21" s="1">
        <v>0</v>
      </c>
      <c r="AH21" s="1">
        <v>0</v>
      </c>
      <c r="AI21" s="1">
        <v>0</v>
      </c>
      <c r="AJ21" s="1">
        <v>0</v>
      </c>
      <c r="AK21" s="1">
        <v>0</v>
      </c>
      <c r="AL21" s="1">
        <v>0</v>
      </c>
      <c r="AM21" s="1">
        <v>0</v>
      </c>
      <c r="AN21" s="1">
        <v>0</v>
      </c>
      <c r="AO21" s="1">
        <v>0</v>
      </c>
      <c r="AP21" s="1">
        <v>19924.3</v>
      </c>
      <c r="AQ21" s="1">
        <v>22221.46</v>
      </c>
      <c r="AR21" s="1">
        <v>20151.920000000002</v>
      </c>
      <c r="AS21" s="1">
        <v>20095.93</v>
      </c>
      <c r="AT21" s="1">
        <v>0</v>
      </c>
      <c r="AU21" s="1">
        <v>19924.3</v>
      </c>
      <c r="AV21" s="1">
        <v>0</v>
      </c>
      <c r="AW21" s="1">
        <v>0</v>
      </c>
      <c r="AX21" s="1">
        <v>22221.46</v>
      </c>
      <c r="AY21" s="1">
        <v>0</v>
      </c>
      <c r="AZ21" s="1">
        <v>0</v>
      </c>
      <c r="BA21" s="1">
        <v>0</v>
      </c>
      <c r="BB21" s="1">
        <v>20151.920000000002</v>
      </c>
      <c r="BC21" s="1">
        <v>0</v>
      </c>
      <c r="BD21" s="1">
        <v>0</v>
      </c>
      <c r="BE21" s="1">
        <v>20095.93</v>
      </c>
      <c r="BF21" s="1">
        <v>0</v>
      </c>
      <c r="BG21" s="1">
        <v>0</v>
      </c>
      <c r="BH21" s="1">
        <v>0</v>
      </c>
      <c r="BI21" s="1">
        <v>0</v>
      </c>
      <c r="BJ21" s="1">
        <v>0</v>
      </c>
      <c r="BK21" s="1">
        <v>0</v>
      </c>
      <c r="BL21" s="1">
        <v>0</v>
      </c>
      <c r="BM21" s="1">
        <v>0</v>
      </c>
      <c r="BN21" s="1">
        <v>0</v>
      </c>
      <c r="BO21" s="1">
        <v>0</v>
      </c>
      <c r="BP21" s="1">
        <v>0</v>
      </c>
      <c r="BQ21" s="1">
        <v>0</v>
      </c>
      <c r="BR21" s="1">
        <v>0</v>
      </c>
      <c r="BS21" s="1">
        <v>0</v>
      </c>
      <c r="BT21" s="1">
        <v>0</v>
      </c>
      <c r="BU21" s="1">
        <v>10585.04</v>
      </c>
      <c r="BV21" s="1">
        <v>10938.72</v>
      </c>
      <c r="BW21" s="1">
        <v>9859.44</v>
      </c>
      <c r="BX21" s="1">
        <v>9774.52</v>
      </c>
      <c r="BY21" s="1">
        <v>10585.04</v>
      </c>
      <c r="BZ21" s="1">
        <v>10938.72</v>
      </c>
      <c r="CA21" s="1">
        <v>9859.44</v>
      </c>
      <c r="CB21" s="1">
        <v>9774.52</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1720.91</v>
      </c>
      <c r="CT21" s="1">
        <v>1919.498</v>
      </c>
      <c r="CU21" s="1">
        <v>1773.1590000000001</v>
      </c>
      <c r="CV21" s="1">
        <v>1780.384</v>
      </c>
      <c r="CW21" s="1">
        <v>1720.91</v>
      </c>
      <c r="CX21" s="1">
        <v>1919.498</v>
      </c>
      <c r="CY21" s="1">
        <v>1773.1590000000001</v>
      </c>
      <c r="CZ21" s="1">
        <v>1780.384</v>
      </c>
      <c r="DA21" s="1">
        <v>0</v>
      </c>
      <c r="DB21" s="1">
        <v>0</v>
      </c>
      <c r="DC21" s="1">
        <v>0</v>
      </c>
      <c r="DD21" s="1">
        <v>0</v>
      </c>
      <c r="DE21" s="1">
        <v>0</v>
      </c>
      <c r="DF21" s="1">
        <v>0</v>
      </c>
      <c r="DG21" s="1">
        <v>0</v>
      </c>
      <c r="DH21" s="1">
        <v>0</v>
      </c>
      <c r="DI21" s="1">
        <v>0</v>
      </c>
      <c r="DJ21" s="1">
        <v>0</v>
      </c>
      <c r="DK21" s="1">
        <v>0</v>
      </c>
      <c r="DL21" s="1">
        <v>0</v>
      </c>
      <c r="DM21" s="1">
        <v>9125.4700000000012</v>
      </c>
      <c r="DN21" s="1">
        <v>9227.6699999999983</v>
      </c>
      <c r="DO21" s="1">
        <v>7994.4940000000006</v>
      </c>
      <c r="DP21" s="1">
        <v>7559.2730000000001</v>
      </c>
      <c r="DQ21" s="1">
        <v>9125.4700000000012</v>
      </c>
      <c r="DR21" s="1">
        <v>9227.6699999999983</v>
      </c>
      <c r="DS21" s="1">
        <v>7994.4940000000006</v>
      </c>
      <c r="DT21" s="1">
        <v>7559.2730000000001</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2286.9899999999998</v>
      </c>
      <c r="EL21" s="1">
        <v>2066.9699999999998</v>
      </c>
      <c r="EM21" s="1">
        <v>1561.5550000000001</v>
      </c>
      <c r="EN21" s="1">
        <v>1728.825</v>
      </c>
      <c r="EO21" s="1">
        <v>2286.9899999999998</v>
      </c>
      <c r="EP21" s="1">
        <v>2066.9699999999998</v>
      </c>
      <c r="EQ21" s="1">
        <v>1561.5550000000001</v>
      </c>
      <c r="ER21" s="1">
        <v>1728.825</v>
      </c>
      <c r="ES21" s="1">
        <v>0</v>
      </c>
      <c r="ET21" s="1">
        <v>0</v>
      </c>
      <c r="EU21" s="1">
        <v>0</v>
      </c>
      <c r="EV21" s="1">
        <v>0</v>
      </c>
      <c r="EW21" s="1">
        <v>0</v>
      </c>
      <c r="EX21" s="1">
        <v>0</v>
      </c>
      <c r="EY21" s="1">
        <v>0</v>
      </c>
      <c r="EZ21" s="1">
        <v>0</v>
      </c>
      <c r="FA21" s="1">
        <v>0</v>
      </c>
      <c r="FB21" s="1">
        <v>0</v>
      </c>
      <c r="FC21" s="1">
        <v>0</v>
      </c>
      <c r="FD21" s="1">
        <v>0</v>
      </c>
      <c r="FE21" s="1">
        <v>44.805999999999997</v>
      </c>
      <c r="FF21" s="1">
        <v>53.146999999999998</v>
      </c>
      <c r="FG21" s="1">
        <v>68.176999999999992</v>
      </c>
      <c r="FH21" s="1">
        <v>62.564</v>
      </c>
      <c r="FI21" s="1">
        <v>44.805999999999997</v>
      </c>
      <c r="FJ21" s="1">
        <v>53.146999999999998</v>
      </c>
      <c r="FK21" s="1">
        <v>68.176999999999992</v>
      </c>
      <c r="FL21" s="1">
        <v>62.564</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52.801000000000002</v>
      </c>
      <c r="GD21" s="1">
        <v>99.472000000000008</v>
      </c>
      <c r="GE21" s="1">
        <v>172.614</v>
      </c>
      <c r="GF21" s="1">
        <v>130.72399999999999</v>
      </c>
      <c r="GG21" s="1">
        <v>52.801000000000002</v>
      </c>
      <c r="GH21" s="1">
        <v>99.472000000000008</v>
      </c>
      <c r="GI21" s="1">
        <v>172.614</v>
      </c>
      <c r="GJ21" s="1">
        <v>130.72399999999999</v>
      </c>
      <c r="GK21" s="1">
        <v>0</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0</v>
      </c>
      <c r="JO21" s="1">
        <v>0</v>
      </c>
      <c r="JP21" s="1">
        <v>0</v>
      </c>
      <c r="JQ21" s="9"/>
      <c r="JR21" s="1">
        <f t="shared" si="0"/>
        <v>6715.8822600000021</v>
      </c>
      <c r="JS21" s="1">
        <f t="shared" si="1"/>
        <v>6259.7110499999999</v>
      </c>
      <c r="JT21" s="1">
        <f t="shared" si="2"/>
        <v>6335.46252</v>
      </c>
      <c r="JU21" s="1">
        <f t="shared" si="3"/>
        <v>5977.8151199999993</v>
      </c>
      <c r="JV21" s="1">
        <f t="shared" si="4"/>
        <v>1243.6819000000005</v>
      </c>
      <c r="JW21" s="1">
        <f t="shared" si="5"/>
        <v>1159.2057499999999</v>
      </c>
      <c r="JX21" s="1">
        <f t="shared" si="6"/>
        <v>1173.2338</v>
      </c>
      <c r="JY21" s="1">
        <f t="shared" si="7"/>
        <v>1107.0028</v>
      </c>
    </row>
    <row r="22" spans="1:285" x14ac:dyDescent="0.35">
      <c r="A22" s="2" t="s">
        <v>29</v>
      </c>
      <c r="B22" s="1">
        <v>70181</v>
      </c>
      <c r="C22" s="1">
        <v>70815</v>
      </c>
      <c r="D22" s="1">
        <v>70741</v>
      </c>
      <c r="E22" s="1">
        <v>71126</v>
      </c>
      <c r="F22" s="1">
        <v>23731.884999999998</v>
      </c>
      <c r="G22" s="1">
        <v>19208.855</v>
      </c>
      <c r="H22" s="1">
        <v>15209.798000000001</v>
      </c>
      <c r="I22" s="1">
        <v>15048.357</v>
      </c>
      <c r="J22" s="1">
        <f t="shared" si="8"/>
        <v>11120.614999999998</v>
      </c>
      <c r="K22" s="1">
        <f t="shared" si="9"/>
        <v>10951.494999999997</v>
      </c>
      <c r="L22" s="1">
        <f t="shared" si="10"/>
        <v>10313.447999999999</v>
      </c>
      <c r="M22" s="1">
        <f t="shared" si="11"/>
        <v>10509.976999999999</v>
      </c>
      <c r="N22" s="1">
        <f t="shared" si="12"/>
        <v>12611.27</v>
      </c>
      <c r="O22" s="1">
        <f t="shared" si="13"/>
        <v>8257.3600000000024</v>
      </c>
      <c r="P22" s="1">
        <f t="shared" si="14"/>
        <v>4896.3500000000022</v>
      </c>
      <c r="Q22" s="1">
        <f t="shared" si="15"/>
        <v>4538.380000000001</v>
      </c>
      <c r="R22" s="1">
        <v>0</v>
      </c>
      <c r="S22" s="1">
        <v>0</v>
      </c>
      <c r="T22" s="1">
        <v>0</v>
      </c>
      <c r="U22" s="1">
        <v>0</v>
      </c>
      <c r="V22" s="1">
        <v>0</v>
      </c>
      <c r="W22" s="1">
        <v>0</v>
      </c>
      <c r="X22" s="1">
        <v>0</v>
      </c>
      <c r="Y22" s="1">
        <v>0</v>
      </c>
      <c r="Z22" s="1">
        <v>0</v>
      </c>
      <c r="AA22" s="1">
        <v>0</v>
      </c>
      <c r="AB22" s="1">
        <v>0</v>
      </c>
      <c r="AC22" s="1">
        <v>0</v>
      </c>
      <c r="AD22" s="1">
        <v>0</v>
      </c>
      <c r="AE22" s="1">
        <v>0</v>
      </c>
      <c r="AF22" s="1">
        <v>0</v>
      </c>
      <c r="AG22" s="1">
        <v>0</v>
      </c>
      <c r="AH22" s="1">
        <v>0</v>
      </c>
      <c r="AI22" s="1">
        <v>0</v>
      </c>
      <c r="AJ22" s="1">
        <v>0</v>
      </c>
      <c r="AK22" s="1">
        <v>0</v>
      </c>
      <c r="AL22" s="1">
        <v>0</v>
      </c>
      <c r="AM22" s="1">
        <v>0</v>
      </c>
      <c r="AN22" s="1">
        <v>0</v>
      </c>
      <c r="AO22" s="1">
        <v>0</v>
      </c>
      <c r="AP22" s="1">
        <v>5223.7599999999993</v>
      </c>
      <c r="AQ22" s="1">
        <v>5023.8799999999992</v>
      </c>
      <c r="AR22" s="1">
        <v>4531.66</v>
      </c>
      <c r="AS22" s="1">
        <v>4886.6799999999994</v>
      </c>
      <c r="AT22" s="1">
        <v>0</v>
      </c>
      <c r="AU22" s="1">
        <v>5223.7599999999993</v>
      </c>
      <c r="AV22" s="1">
        <v>0</v>
      </c>
      <c r="AW22" s="1">
        <v>0</v>
      </c>
      <c r="AX22" s="1">
        <v>0</v>
      </c>
      <c r="AY22" s="1">
        <v>5023.8799999999992</v>
      </c>
      <c r="AZ22" s="1">
        <v>0</v>
      </c>
      <c r="BA22" s="1">
        <v>0</v>
      </c>
      <c r="BB22" s="1">
        <v>0</v>
      </c>
      <c r="BC22" s="1">
        <v>4531.66</v>
      </c>
      <c r="BD22" s="1">
        <v>0</v>
      </c>
      <c r="BE22" s="1">
        <v>0</v>
      </c>
      <c r="BF22" s="1">
        <v>4886.6799999999994</v>
      </c>
      <c r="BG22" s="1">
        <v>0</v>
      </c>
      <c r="BH22" s="1">
        <v>0</v>
      </c>
      <c r="BI22" s="1">
        <v>0</v>
      </c>
      <c r="BJ22" s="1">
        <v>0</v>
      </c>
      <c r="BK22" s="1">
        <v>0</v>
      </c>
      <c r="BL22" s="1">
        <v>0</v>
      </c>
      <c r="BM22" s="1">
        <v>0</v>
      </c>
      <c r="BN22" s="1">
        <v>0</v>
      </c>
      <c r="BO22" s="1">
        <v>0</v>
      </c>
      <c r="BP22" s="1">
        <v>0</v>
      </c>
      <c r="BQ22" s="1">
        <v>0</v>
      </c>
      <c r="BR22" s="1">
        <v>0</v>
      </c>
      <c r="BS22" s="1">
        <v>0</v>
      </c>
      <c r="BT22" s="1">
        <v>0</v>
      </c>
      <c r="BU22" s="1">
        <v>2508.88</v>
      </c>
      <c r="BV22" s="1">
        <v>2543.54</v>
      </c>
      <c r="BW22" s="1">
        <v>2219.3200000000002</v>
      </c>
      <c r="BX22" s="1">
        <v>2111.44</v>
      </c>
      <c r="BY22" s="1">
        <v>2508.88</v>
      </c>
      <c r="BZ22" s="1">
        <v>2543.54</v>
      </c>
      <c r="CA22" s="1">
        <v>2219.3200000000002</v>
      </c>
      <c r="CB22" s="1">
        <v>2111.44</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790.35</v>
      </c>
      <c r="CT22" s="1">
        <v>1158.0899999999999</v>
      </c>
      <c r="CU22" s="1">
        <v>1292.71</v>
      </c>
      <c r="CV22" s="1">
        <v>1503.61</v>
      </c>
      <c r="CW22" s="1">
        <v>790.35</v>
      </c>
      <c r="CX22" s="1">
        <v>1158.0899999999999</v>
      </c>
      <c r="CY22" s="1">
        <v>1292.71</v>
      </c>
      <c r="CZ22" s="1">
        <v>1503.61</v>
      </c>
      <c r="DA22" s="1">
        <v>0</v>
      </c>
      <c r="DB22" s="1">
        <v>0</v>
      </c>
      <c r="DC22" s="1">
        <v>0</v>
      </c>
      <c r="DD22" s="1">
        <v>0</v>
      </c>
      <c r="DE22" s="1">
        <v>0</v>
      </c>
      <c r="DF22" s="1">
        <v>0</v>
      </c>
      <c r="DG22" s="1">
        <v>0</v>
      </c>
      <c r="DH22" s="1">
        <v>0</v>
      </c>
      <c r="DI22" s="1">
        <v>0</v>
      </c>
      <c r="DJ22" s="1">
        <v>0</v>
      </c>
      <c r="DK22" s="1">
        <v>0</v>
      </c>
      <c r="DL22" s="1">
        <v>0</v>
      </c>
      <c r="DM22" s="1">
        <v>1794.62</v>
      </c>
      <c r="DN22" s="1">
        <v>1497.768</v>
      </c>
      <c r="DO22" s="1">
        <v>1509.768</v>
      </c>
      <c r="DP22" s="1">
        <v>1206.5340000000001</v>
      </c>
      <c r="DQ22" s="1">
        <v>1794.62</v>
      </c>
      <c r="DR22" s="1">
        <v>1497.768</v>
      </c>
      <c r="DS22" s="1">
        <v>1509.768</v>
      </c>
      <c r="DT22" s="1">
        <v>1206.5340000000001</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483.58499999999998</v>
      </c>
      <c r="EL22" s="1">
        <v>355.33499999999998</v>
      </c>
      <c r="EM22" s="1">
        <v>409.89</v>
      </c>
      <c r="EN22" s="1">
        <v>362.11</v>
      </c>
      <c r="EO22" s="1">
        <v>483.58499999999998</v>
      </c>
      <c r="EP22" s="1">
        <v>355.33499999999998</v>
      </c>
      <c r="EQ22" s="1">
        <v>409.89</v>
      </c>
      <c r="ER22" s="1">
        <v>362.11</v>
      </c>
      <c r="ES22" s="1">
        <v>0</v>
      </c>
      <c r="ET22" s="1">
        <v>0</v>
      </c>
      <c r="EU22" s="1">
        <v>0</v>
      </c>
      <c r="EV22" s="1">
        <v>0</v>
      </c>
      <c r="EW22" s="1">
        <v>0</v>
      </c>
      <c r="EX22" s="1">
        <v>0</v>
      </c>
      <c r="EY22" s="1">
        <v>0</v>
      </c>
      <c r="EZ22" s="1">
        <v>0</v>
      </c>
      <c r="FA22" s="1">
        <v>0</v>
      </c>
      <c r="FB22" s="1">
        <v>0</v>
      </c>
      <c r="FC22" s="1">
        <v>0</v>
      </c>
      <c r="FD22" s="1">
        <v>0</v>
      </c>
      <c r="FE22" s="1">
        <v>128.47999999999999</v>
      </c>
      <c r="FF22" s="1">
        <v>106.992</v>
      </c>
      <c r="FG22" s="1">
        <v>95.87</v>
      </c>
      <c r="FH22" s="1">
        <v>113.143</v>
      </c>
      <c r="FI22" s="1">
        <v>128.47999999999999</v>
      </c>
      <c r="FJ22" s="1">
        <v>106.992</v>
      </c>
      <c r="FK22" s="1">
        <v>95.87</v>
      </c>
      <c r="FL22" s="1">
        <v>113.143</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1.58</v>
      </c>
      <c r="GD22" s="1">
        <v>0</v>
      </c>
      <c r="GE22" s="1">
        <v>0</v>
      </c>
      <c r="GF22" s="1">
        <v>0</v>
      </c>
      <c r="GG22" s="1">
        <v>1.58</v>
      </c>
      <c r="GH22" s="1">
        <v>0</v>
      </c>
      <c r="GI22" s="1">
        <v>0</v>
      </c>
      <c r="GJ22" s="1">
        <v>0</v>
      </c>
      <c r="GK22" s="1">
        <v>0</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9.6300000000000008</v>
      </c>
      <c r="HF22" s="1">
        <v>0</v>
      </c>
      <c r="HG22" s="1">
        <v>0</v>
      </c>
      <c r="HH22" s="1">
        <v>0</v>
      </c>
      <c r="HI22" s="1">
        <v>9.6300000000000008</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179.73</v>
      </c>
      <c r="IP22" s="1">
        <v>265.89</v>
      </c>
      <c r="IQ22" s="1">
        <v>254.23</v>
      </c>
      <c r="IR22" s="1">
        <v>326.45999999999998</v>
      </c>
      <c r="IS22" s="1">
        <v>179.73</v>
      </c>
      <c r="IT22" s="1">
        <v>265.89</v>
      </c>
      <c r="IU22" s="1">
        <v>254.23</v>
      </c>
      <c r="IV22" s="1">
        <v>326.45999999999998</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0</v>
      </c>
      <c r="JO22" s="1">
        <v>0</v>
      </c>
      <c r="JP22" s="1">
        <v>0</v>
      </c>
      <c r="JQ22" s="9"/>
      <c r="JR22" s="1">
        <f t="shared" si="0"/>
        <v>3405.0429000000004</v>
      </c>
      <c r="JS22" s="1">
        <f t="shared" si="1"/>
        <v>2229.4872000000009</v>
      </c>
      <c r="JT22" s="1">
        <f t="shared" si="2"/>
        <v>1322.0145000000007</v>
      </c>
      <c r="JU22" s="1">
        <f t="shared" si="3"/>
        <v>1225.3626000000004</v>
      </c>
      <c r="JV22" s="1">
        <f t="shared" si="4"/>
        <v>630.56350000000009</v>
      </c>
      <c r="JW22" s="1">
        <f t="shared" si="5"/>
        <v>412.86800000000017</v>
      </c>
      <c r="JX22" s="1">
        <f t="shared" si="6"/>
        <v>244.81750000000011</v>
      </c>
      <c r="JY22" s="1">
        <f t="shared" si="7"/>
        <v>226.91900000000007</v>
      </c>
    </row>
    <row r="23" spans="1:285" x14ac:dyDescent="0.35">
      <c r="A23" s="2" t="s">
        <v>30</v>
      </c>
      <c r="B23" s="1">
        <v>399564</v>
      </c>
      <c r="C23" s="1">
        <v>400155</v>
      </c>
      <c r="D23" s="1">
        <v>402784</v>
      </c>
      <c r="E23" s="1">
        <v>406626</v>
      </c>
      <c r="F23" s="1">
        <v>410252.34</v>
      </c>
      <c r="G23" s="1">
        <v>442513.42</v>
      </c>
      <c r="H23" s="1">
        <v>425944.24</v>
      </c>
      <c r="I23" s="1">
        <v>450087.96</v>
      </c>
      <c r="J23" s="1">
        <f t="shared" si="8"/>
        <v>112730.56999999996</v>
      </c>
      <c r="K23" s="1">
        <f t="shared" si="9"/>
        <v>119927.23999999999</v>
      </c>
      <c r="L23" s="1">
        <f t="shared" si="10"/>
        <v>119025.12000000001</v>
      </c>
      <c r="M23" s="1">
        <f t="shared" si="11"/>
        <v>129598.73000000001</v>
      </c>
      <c r="N23" s="1">
        <f t="shared" si="12"/>
        <v>297521.77000000008</v>
      </c>
      <c r="O23" s="1">
        <f t="shared" si="13"/>
        <v>322586.18</v>
      </c>
      <c r="P23" s="1">
        <f t="shared" si="14"/>
        <v>306919.12</v>
      </c>
      <c r="Q23" s="1">
        <f t="shared" si="15"/>
        <v>320489.23</v>
      </c>
      <c r="R23" s="1">
        <v>5238.5</v>
      </c>
      <c r="S23" s="1">
        <v>5426.45</v>
      </c>
      <c r="T23" s="1">
        <v>4799.97</v>
      </c>
      <c r="U23" s="1">
        <v>4324.8</v>
      </c>
      <c r="V23" s="1">
        <v>0</v>
      </c>
      <c r="W23" s="1">
        <v>0</v>
      </c>
      <c r="X23" s="1">
        <v>5238.5</v>
      </c>
      <c r="Y23" s="1">
        <v>0</v>
      </c>
      <c r="Z23" s="1">
        <v>0</v>
      </c>
      <c r="AA23" s="1">
        <v>5426.45</v>
      </c>
      <c r="AB23" s="1">
        <v>0</v>
      </c>
      <c r="AC23" s="1">
        <v>0</v>
      </c>
      <c r="AD23" s="1">
        <v>4799.97</v>
      </c>
      <c r="AE23" s="1">
        <v>0</v>
      </c>
      <c r="AF23" s="1">
        <v>0</v>
      </c>
      <c r="AG23" s="1">
        <v>4324.8</v>
      </c>
      <c r="AH23" s="1">
        <v>0</v>
      </c>
      <c r="AI23" s="1">
        <v>0</v>
      </c>
      <c r="AJ23" s="1">
        <v>0</v>
      </c>
      <c r="AK23" s="1">
        <v>0</v>
      </c>
      <c r="AL23" s="1">
        <v>0</v>
      </c>
      <c r="AM23" s="1">
        <v>0</v>
      </c>
      <c r="AN23" s="1">
        <v>0</v>
      </c>
      <c r="AO23" s="1">
        <v>0</v>
      </c>
      <c r="AP23" s="1">
        <v>24197.73</v>
      </c>
      <c r="AQ23" s="1">
        <v>26653.75</v>
      </c>
      <c r="AR23" s="1">
        <v>24153.86</v>
      </c>
      <c r="AS23" s="1">
        <v>25859.94</v>
      </c>
      <c r="AT23" s="1">
        <v>0</v>
      </c>
      <c r="AU23" s="1">
        <v>24197.73</v>
      </c>
      <c r="AV23" s="1">
        <v>0</v>
      </c>
      <c r="AW23" s="1">
        <v>0</v>
      </c>
      <c r="AX23" s="1">
        <v>0</v>
      </c>
      <c r="AY23" s="1">
        <v>26653.75</v>
      </c>
      <c r="AZ23" s="1">
        <v>0</v>
      </c>
      <c r="BA23" s="1">
        <v>0</v>
      </c>
      <c r="BB23" s="1">
        <v>0</v>
      </c>
      <c r="BC23" s="1">
        <v>24153.86</v>
      </c>
      <c r="BD23" s="1">
        <v>0</v>
      </c>
      <c r="BE23" s="1">
        <v>0</v>
      </c>
      <c r="BF23" s="1">
        <v>25859.94</v>
      </c>
      <c r="BG23" s="1">
        <v>0</v>
      </c>
      <c r="BH23" s="1">
        <v>0</v>
      </c>
      <c r="BI23" s="1">
        <v>0</v>
      </c>
      <c r="BJ23" s="1">
        <v>0</v>
      </c>
      <c r="BK23" s="1">
        <v>0</v>
      </c>
      <c r="BL23" s="1">
        <v>0</v>
      </c>
      <c r="BM23" s="1">
        <v>0</v>
      </c>
      <c r="BN23" s="1">
        <v>0</v>
      </c>
      <c r="BO23" s="1">
        <v>0</v>
      </c>
      <c r="BP23" s="1">
        <v>0</v>
      </c>
      <c r="BQ23" s="1">
        <v>0</v>
      </c>
      <c r="BR23" s="1">
        <v>0</v>
      </c>
      <c r="BS23" s="1">
        <v>0</v>
      </c>
      <c r="BT23" s="1">
        <v>0</v>
      </c>
      <c r="BU23" s="1">
        <v>35787.339999999997</v>
      </c>
      <c r="BV23" s="1">
        <v>38300</v>
      </c>
      <c r="BW23" s="1">
        <v>31150.67</v>
      </c>
      <c r="BX23" s="1">
        <v>30338.04</v>
      </c>
      <c r="BY23" s="1">
        <v>35787.339999999997</v>
      </c>
      <c r="BZ23" s="1">
        <v>38300</v>
      </c>
      <c r="CA23" s="1">
        <v>31150.67</v>
      </c>
      <c r="CB23" s="1">
        <v>30338.04</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10863.9</v>
      </c>
      <c r="CT23" s="1">
        <v>9994.869999999999</v>
      </c>
      <c r="CU23" s="1">
        <v>10295.57</v>
      </c>
      <c r="CV23" s="1">
        <v>14067.48</v>
      </c>
      <c r="CW23" s="1">
        <v>10806.38</v>
      </c>
      <c r="CX23" s="1">
        <v>9994.869999999999</v>
      </c>
      <c r="CY23" s="1">
        <v>10241.85</v>
      </c>
      <c r="CZ23" s="1">
        <v>14000.84</v>
      </c>
      <c r="DA23" s="1">
        <v>0</v>
      </c>
      <c r="DB23" s="1">
        <v>0</v>
      </c>
      <c r="DC23" s="1">
        <v>0</v>
      </c>
      <c r="DD23" s="1">
        <v>0</v>
      </c>
      <c r="DE23" s="1">
        <v>0</v>
      </c>
      <c r="DF23" s="1">
        <v>0</v>
      </c>
      <c r="DG23" s="1">
        <v>0</v>
      </c>
      <c r="DH23" s="1">
        <v>0</v>
      </c>
      <c r="DI23" s="1">
        <v>57.52</v>
      </c>
      <c r="DJ23" s="1">
        <v>0</v>
      </c>
      <c r="DK23" s="1">
        <v>53.72</v>
      </c>
      <c r="DL23" s="1">
        <v>66.64</v>
      </c>
      <c r="DM23" s="1">
        <v>10496.34</v>
      </c>
      <c r="DN23" s="1">
        <v>9886.16</v>
      </c>
      <c r="DO23" s="1">
        <v>10173.549999999999</v>
      </c>
      <c r="DP23" s="1">
        <v>8974.64</v>
      </c>
      <c r="DQ23" s="1">
        <v>10496.34</v>
      </c>
      <c r="DR23" s="1">
        <v>9886.16</v>
      </c>
      <c r="DS23" s="1">
        <v>10173.549999999999</v>
      </c>
      <c r="DT23" s="1">
        <v>8974.64</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8491.7900000000009</v>
      </c>
      <c r="EL23" s="1">
        <v>7466.76</v>
      </c>
      <c r="EM23" s="1">
        <v>7227.2999999999993</v>
      </c>
      <c r="EN23" s="1">
        <v>14480.44</v>
      </c>
      <c r="EO23" s="1">
        <v>8300.69</v>
      </c>
      <c r="EP23" s="1">
        <v>7308.9</v>
      </c>
      <c r="EQ23" s="1">
        <v>7126.98</v>
      </c>
      <c r="ER23" s="1">
        <v>14374.76</v>
      </c>
      <c r="ES23" s="1">
        <v>191.1</v>
      </c>
      <c r="ET23" s="1">
        <v>157.86000000000001</v>
      </c>
      <c r="EU23" s="1">
        <v>100.32</v>
      </c>
      <c r="EV23" s="1">
        <v>105.68</v>
      </c>
      <c r="EW23" s="1">
        <v>0</v>
      </c>
      <c r="EX23" s="1">
        <v>0</v>
      </c>
      <c r="EY23" s="1">
        <v>0</v>
      </c>
      <c r="EZ23" s="1">
        <v>0</v>
      </c>
      <c r="FA23" s="1">
        <v>0</v>
      </c>
      <c r="FB23" s="1">
        <v>0</v>
      </c>
      <c r="FC23" s="1">
        <v>0</v>
      </c>
      <c r="FD23" s="1">
        <v>0</v>
      </c>
      <c r="FE23" s="1">
        <v>455.15</v>
      </c>
      <c r="FF23" s="1">
        <v>1018.88</v>
      </c>
      <c r="FG23" s="1">
        <v>1063.8800000000001</v>
      </c>
      <c r="FH23" s="1">
        <v>794.93999999999994</v>
      </c>
      <c r="FI23" s="1">
        <v>105.7</v>
      </c>
      <c r="FJ23" s="1">
        <v>242.75</v>
      </c>
      <c r="FK23" s="1">
        <v>243.76</v>
      </c>
      <c r="FL23" s="1">
        <v>217.31</v>
      </c>
      <c r="FM23" s="1">
        <v>347.38</v>
      </c>
      <c r="FN23" s="1">
        <v>776.13</v>
      </c>
      <c r="FO23" s="1">
        <v>820.12</v>
      </c>
      <c r="FP23" s="1">
        <v>577.63</v>
      </c>
      <c r="FQ23" s="1">
        <v>0</v>
      </c>
      <c r="FR23" s="1">
        <v>0</v>
      </c>
      <c r="FS23" s="1">
        <v>0</v>
      </c>
      <c r="FT23" s="1">
        <v>0</v>
      </c>
      <c r="FU23" s="1">
        <v>2.0699999999999998</v>
      </c>
      <c r="FV23" s="1">
        <v>0</v>
      </c>
      <c r="FW23" s="1">
        <v>0</v>
      </c>
      <c r="FX23" s="1">
        <v>0</v>
      </c>
      <c r="FY23" s="1">
        <v>0</v>
      </c>
      <c r="FZ23" s="1">
        <v>0</v>
      </c>
      <c r="GA23" s="1">
        <v>0</v>
      </c>
      <c r="GB23" s="1">
        <v>0</v>
      </c>
      <c r="GC23" s="1">
        <v>5488.5599999999986</v>
      </c>
      <c r="GD23" s="1">
        <v>6912.76</v>
      </c>
      <c r="GE23" s="1">
        <v>6909.2</v>
      </c>
      <c r="GF23" s="1">
        <v>6867.3200000000006</v>
      </c>
      <c r="GG23" s="1">
        <v>5484.7</v>
      </c>
      <c r="GH23" s="1">
        <v>6912.76</v>
      </c>
      <c r="GI23" s="1">
        <v>6909.2</v>
      </c>
      <c r="GJ23" s="1">
        <v>6867.3200000000006</v>
      </c>
      <c r="GK23" s="1">
        <v>3.86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8936.4500000000007</v>
      </c>
      <c r="HF23" s="1">
        <v>11091.08</v>
      </c>
      <c r="HG23" s="1">
        <v>20063.580000000002</v>
      </c>
      <c r="HH23" s="1">
        <v>20394.72</v>
      </c>
      <c r="HI23" s="1">
        <v>8936.4500000000007</v>
      </c>
      <c r="HJ23" s="1">
        <v>9568.0499999999993</v>
      </c>
      <c r="HK23" s="1">
        <v>13483.16</v>
      </c>
      <c r="HL23" s="1">
        <v>11280.81</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1501.36</v>
      </c>
      <c r="IE23" s="1">
        <v>6564.1200000000008</v>
      </c>
      <c r="IF23" s="1">
        <v>9108.68</v>
      </c>
      <c r="IG23" s="1">
        <v>0</v>
      </c>
      <c r="IH23" s="1">
        <v>0</v>
      </c>
      <c r="II23" s="1">
        <v>0</v>
      </c>
      <c r="IJ23" s="1">
        <v>0</v>
      </c>
      <c r="IK23" s="1">
        <v>0</v>
      </c>
      <c r="IL23" s="1">
        <v>21.67</v>
      </c>
      <c r="IM23" s="1">
        <v>16.3</v>
      </c>
      <c r="IN23" s="1">
        <v>5.23</v>
      </c>
      <c r="IO23" s="1">
        <v>2774.81</v>
      </c>
      <c r="IP23" s="1">
        <v>3176.53</v>
      </c>
      <c r="IQ23" s="1">
        <v>3187.54</v>
      </c>
      <c r="IR23" s="1">
        <v>3496.41</v>
      </c>
      <c r="IS23" s="1">
        <v>2621.39</v>
      </c>
      <c r="IT23" s="1">
        <v>3065.18</v>
      </c>
      <c r="IU23" s="1">
        <v>3039.58</v>
      </c>
      <c r="IV23" s="1">
        <v>3357.67</v>
      </c>
      <c r="IW23" s="1">
        <v>153.41999999999999</v>
      </c>
      <c r="IX23" s="1">
        <v>111.35</v>
      </c>
      <c r="IY23" s="1">
        <v>147.96</v>
      </c>
      <c r="IZ23" s="1">
        <v>138.74</v>
      </c>
      <c r="JA23" s="1">
        <v>0</v>
      </c>
      <c r="JB23" s="1">
        <v>0</v>
      </c>
      <c r="JC23" s="1">
        <v>0</v>
      </c>
      <c r="JD23" s="1">
        <v>0</v>
      </c>
      <c r="JE23" s="1">
        <v>0</v>
      </c>
      <c r="JF23" s="1">
        <v>0</v>
      </c>
      <c r="JG23" s="1">
        <v>0</v>
      </c>
      <c r="JH23" s="1">
        <v>0</v>
      </c>
      <c r="JI23" s="1">
        <v>0</v>
      </c>
      <c r="JJ23" s="1">
        <v>0</v>
      </c>
      <c r="JK23" s="1">
        <v>0</v>
      </c>
      <c r="JL23" s="1">
        <v>0</v>
      </c>
      <c r="JM23" s="1">
        <v>0</v>
      </c>
      <c r="JN23" s="1">
        <v>0</v>
      </c>
      <c r="JO23" s="1">
        <v>0</v>
      </c>
      <c r="JP23" s="1">
        <v>0</v>
      </c>
      <c r="JQ23" s="9"/>
      <c r="JR23" s="1">
        <f t="shared" si="0"/>
        <v>80330.877900000021</v>
      </c>
      <c r="JS23" s="1">
        <f t="shared" si="1"/>
        <v>87098.26860000001</v>
      </c>
      <c r="JT23" s="1">
        <f t="shared" si="2"/>
        <v>82868.162400000001</v>
      </c>
      <c r="JU23" s="1">
        <f t="shared" si="3"/>
        <v>86532.092099999994</v>
      </c>
      <c r="JV23" s="1">
        <f t="shared" si="4"/>
        <v>14876.088500000005</v>
      </c>
      <c r="JW23" s="1">
        <f t="shared" si="5"/>
        <v>16129.309000000001</v>
      </c>
      <c r="JX23" s="1">
        <f t="shared" si="6"/>
        <v>15345.956</v>
      </c>
      <c r="JY23" s="1">
        <f t="shared" si="7"/>
        <v>16024.461499999999</v>
      </c>
    </row>
    <row r="24" spans="1:285" x14ac:dyDescent="0.35">
      <c r="A24" s="2" t="s">
        <v>31</v>
      </c>
      <c r="B24" s="1">
        <v>123188</v>
      </c>
      <c r="C24" s="1">
        <v>125195</v>
      </c>
      <c r="D24" s="1">
        <v>127160</v>
      </c>
      <c r="E24" s="1">
        <v>129099</v>
      </c>
      <c r="F24" s="1">
        <v>90450.68</v>
      </c>
      <c r="G24" s="1">
        <v>93974.32</v>
      </c>
      <c r="H24" s="1">
        <v>83883.649999999994</v>
      </c>
      <c r="I24" s="1">
        <v>86696.459999999992</v>
      </c>
      <c r="J24" s="1">
        <f t="shared" si="8"/>
        <v>29039.800000000003</v>
      </c>
      <c r="K24" s="1">
        <f t="shared" si="9"/>
        <v>41889.37999999999</v>
      </c>
      <c r="L24" s="1">
        <f t="shared" si="10"/>
        <v>36355.830000000009</v>
      </c>
      <c r="M24" s="1">
        <f t="shared" si="11"/>
        <v>37380.800000000003</v>
      </c>
      <c r="N24" s="1">
        <f t="shared" si="12"/>
        <v>61410.87999999999</v>
      </c>
      <c r="O24" s="1">
        <f t="shared" si="13"/>
        <v>52084.940000000017</v>
      </c>
      <c r="P24" s="1">
        <f t="shared" si="14"/>
        <v>47527.819999999985</v>
      </c>
      <c r="Q24" s="1">
        <f t="shared" si="15"/>
        <v>49315.659999999989</v>
      </c>
      <c r="R24" s="1">
        <v>0</v>
      </c>
      <c r="S24" s="1">
        <v>5073.8599999999997</v>
      </c>
      <c r="T24" s="1">
        <v>5479.14</v>
      </c>
      <c r="U24" s="1">
        <v>5174.68</v>
      </c>
      <c r="V24" s="1">
        <v>0</v>
      </c>
      <c r="W24" s="1">
        <v>0</v>
      </c>
      <c r="X24" s="1">
        <v>0</v>
      </c>
      <c r="Y24" s="1">
        <v>0</v>
      </c>
      <c r="Z24" s="1">
        <v>0</v>
      </c>
      <c r="AA24" s="1">
        <v>5073.8599999999997</v>
      </c>
      <c r="AB24" s="1">
        <v>0</v>
      </c>
      <c r="AC24" s="1">
        <v>0</v>
      </c>
      <c r="AD24" s="1">
        <v>5479.14</v>
      </c>
      <c r="AE24" s="1">
        <v>0</v>
      </c>
      <c r="AF24" s="1">
        <v>0</v>
      </c>
      <c r="AG24" s="1">
        <v>5174.68</v>
      </c>
      <c r="AH24" s="1">
        <v>0</v>
      </c>
      <c r="AI24" s="1">
        <v>0</v>
      </c>
      <c r="AJ24" s="1">
        <v>0</v>
      </c>
      <c r="AK24" s="1">
        <v>0</v>
      </c>
      <c r="AL24" s="1">
        <v>0</v>
      </c>
      <c r="AM24" s="1">
        <v>0</v>
      </c>
      <c r="AN24" s="1">
        <v>0</v>
      </c>
      <c r="AO24" s="1">
        <v>0</v>
      </c>
      <c r="AP24" s="1">
        <v>7025.5899999999992</v>
      </c>
      <c r="AQ24" s="1">
        <v>7231.6600000000008</v>
      </c>
      <c r="AR24" s="1">
        <v>6475.0400000000009</v>
      </c>
      <c r="AS24" s="1">
        <v>7513.54</v>
      </c>
      <c r="AT24" s="1">
        <v>0</v>
      </c>
      <c r="AU24" s="1">
        <v>7025.5899999999992</v>
      </c>
      <c r="AV24" s="1">
        <v>0</v>
      </c>
      <c r="AW24" s="1">
        <v>0</v>
      </c>
      <c r="AX24" s="1">
        <v>0</v>
      </c>
      <c r="AY24" s="1">
        <v>7231.6600000000008</v>
      </c>
      <c r="AZ24" s="1">
        <v>0</v>
      </c>
      <c r="BA24" s="1">
        <v>0</v>
      </c>
      <c r="BB24" s="1">
        <v>0</v>
      </c>
      <c r="BC24" s="1">
        <v>6475.0400000000009</v>
      </c>
      <c r="BD24" s="1">
        <v>0</v>
      </c>
      <c r="BE24" s="1">
        <v>0</v>
      </c>
      <c r="BF24" s="1">
        <v>7513.54</v>
      </c>
      <c r="BG24" s="1">
        <v>0</v>
      </c>
      <c r="BH24" s="1">
        <v>0</v>
      </c>
      <c r="BI24" s="1">
        <v>0</v>
      </c>
      <c r="BJ24" s="1">
        <v>0</v>
      </c>
      <c r="BK24" s="1">
        <v>0</v>
      </c>
      <c r="BL24" s="1">
        <v>0</v>
      </c>
      <c r="BM24" s="1">
        <v>0</v>
      </c>
      <c r="BN24" s="1">
        <v>0</v>
      </c>
      <c r="BO24" s="1">
        <v>0</v>
      </c>
      <c r="BP24" s="1">
        <v>0</v>
      </c>
      <c r="BQ24" s="1">
        <v>0</v>
      </c>
      <c r="BR24" s="1">
        <v>0</v>
      </c>
      <c r="BS24" s="1">
        <v>0</v>
      </c>
      <c r="BT24" s="1">
        <v>0</v>
      </c>
      <c r="BU24" s="1">
        <v>9124.76</v>
      </c>
      <c r="BV24" s="1">
        <v>13694.71</v>
      </c>
      <c r="BW24" s="1">
        <v>10380.870000000001</v>
      </c>
      <c r="BX24" s="1">
        <v>9133.9000000000015</v>
      </c>
      <c r="BY24" s="1">
        <v>9015.4</v>
      </c>
      <c r="BZ24" s="1">
        <v>13480.54</v>
      </c>
      <c r="CA24" s="1">
        <v>10172.23</v>
      </c>
      <c r="CB24" s="1">
        <v>8923.73</v>
      </c>
      <c r="CC24" s="1">
        <v>109.36</v>
      </c>
      <c r="CD24" s="1">
        <v>214.17</v>
      </c>
      <c r="CE24" s="1">
        <v>208.64</v>
      </c>
      <c r="CF24" s="1">
        <v>210.17</v>
      </c>
      <c r="CG24" s="1">
        <v>0</v>
      </c>
      <c r="CH24" s="1">
        <v>0</v>
      </c>
      <c r="CI24" s="1">
        <v>0</v>
      </c>
      <c r="CJ24" s="1">
        <v>0</v>
      </c>
      <c r="CK24" s="1">
        <v>0</v>
      </c>
      <c r="CL24" s="1">
        <v>0</v>
      </c>
      <c r="CM24" s="1">
        <v>0</v>
      </c>
      <c r="CN24" s="1">
        <v>0</v>
      </c>
      <c r="CO24" s="1">
        <v>0</v>
      </c>
      <c r="CP24" s="1">
        <v>0</v>
      </c>
      <c r="CQ24" s="1">
        <v>0</v>
      </c>
      <c r="CR24" s="1">
        <v>0</v>
      </c>
      <c r="CS24" s="1">
        <v>2066.06</v>
      </c>
      <c r="CT24" s="1">
        <v>3951.19</v>
      </c>
      <c r="CU24" s="1">
        <v>3316.86</v>
      </c>
      <c r="CV24" s="1">
        <v>3752.42</v>
      </c>
      <c r="CW24" s="1">
        <v>1956.7</v>
      </c>
      <c r="CX24" s="1">
        <v>3737.02</v>
      </c>
      <c r="CY24" s="1">
        <v>3107.07</v>
      </c>
      <c r="CZ24" s="1">
        <v>3542.25</v>
      </c>
      <c r="DA24" s="1">
        <v>109.36</v>
      </c>
      <c r="DB24" s="1">
        <v>214.17</v>
      </c>
      <c r="DC24" s="1">
        <v>209.79</v>
      </c>
      <c r="DD24" s="1">
        <v>210.17</v>
      </c>
      <c r="DE24" s="1">
        <v>0</v>
      </c>
      <c r="DF24" s="1">
        <v>0</v>
      </c>
      <c r="DG24" s="1">
        <v>0</v>
      </c>
      <c r="DH24" s="1">
        <v>0</v>
      </c>
      <c r="DI24" s="1">
        <v>0</v>
      </c>
      <c r="DJ24" s="1">
        <v>0</v>
      </c>
      <c r="DK24" s="1">
        <v>0</v>
      </c>
      <c r="DL24" s="1">
        <v>0</v>
      </c>
      <c r="DM24" s="1">
        <v>3672.52</v>
      </c>
      <c r="DN24" s="1">
        <v>3697.81</v>
      </c>
      <c r="DO24" s="1">
        <v>2890.58</v>
      </c>
      <c r="DP24" s="1">
        <v>2872.09</v>
      </c>
      <c r="DQ24" s="1">
        <v>3672.52</v>
      </c>
      <c r="DR24" s="1">
        <v>3697.81</v>
      </c>
      <c r="DS24" s="1">
        <v>2890.58</v>
      </c>
      <c r="DT24" s="1">
        <v>2872.09</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1517.91</v>
      </c>
      <c r="EL24" s="1">
        <v>1681.35</v>
      </c>
      <c r="EM24" s="1">
        <v>1446.5</v>
      </c>
      <c r="EN24" s="1">
        <v>1610.92</v>
      </c>
      <c r="EO24" s="1">
        <v>1405.11</v>
      </c>
      <c r="EP24" s="1">
        <v>1462.09</v>
      </c>
      <c r="EQ24" s="1">
        <v>1228.17</v>
      </c>
      <c r="ER24" s="1">
        <v>1536.94</v>
      </c>
      <c r="ES24" s="1">
        <v>112.8</v>
      </c>
      <c r="ET24" s="1">
        <v>219.26</v>
      </c>
      <c r="EU24" s="1">
        <v>218.33</v>
      </c>
      <c r="EV24" s="1">
        <v>73.98</v>
      </c>
      <c r="EW24" s="1">
        <v>0</v>
      </c>
      <c r="EX24" s="1">
        <v>0</v>
      </c>
      <c r="EY24" s="1">
        <v>0</v>
      </c>
      <c r="EZ24" s="1">
        <v>0</v>
      </c>
      <c r="FA24" s="1">
        <v>0</v>
      </c>
      <c r="FB24" s="1">
        <v>0</v>
      </c>
      <c r="FC24" s="1">
        <v>0</v>
      </c>
      <c r="FD24" s="1">
        <v>0</v>
      </c>
      <c r="FE24" s="1">
        <v>426.81</v>
      </c>
      <c r="FF24" s="1">
        <v>636.70000000000005</v>
      </c>
      <c r="FG24" s="1">
        <v>537.09</v>
      </c>
      <c r="FH24" s="1">
        <v>553.19000000000005</v>
      </c>
      <c r="FI24" s="1">
        <v>394.21</v>
      </c>
      <c r="FJ24" s="1">
        <v>422.53</v>
      </c>
      <c r="FK24" s="1">
        <v>328.45</v>
      </c>
      <c r="FL24" s="1">
        <v>343.02</v>
      </c>
      <c r="FM24" s="1">
        <v>32.6</v>
      </c>
      <c r="FN24" s="1">
        <v>214.17</v>
      </c>
      <c r="FO24" s="1">
        <v>208.64</v>
      </c>
      <c r="FP24" s="1">
        <v>210.17</v>
      </c>
      <c r="FQ24" s="1">
        <v>0</v>
      </c>
      <c r="FR24" s="1">
        <v>0</v>
      </c>
      <c r="FS24" s="1">
        <v>0</v>
      </c>
      <c r="FT24" s="1">
        <v>0</v>
      </c>
      <c r="FU24" s="1">
        <v>0</v>
      </c>
      <c r="FV24" s="1">
        <v>0</v>
      </c>
      <c r="FW24" s="1">
        <v>0</v>
      </c>
      <c r="FX24" s="1">
        <v>0</v>
      </c>
      <c r="FY24" s="1">
        <v>0</v>
      </c>
      <c r="FZ24" s="1">
        <v>0</v>
      </c>
      <c r="GA24" s="1">
        <v>0</v>
      </c>
      <c r="GB24" s="1">
        <v>0</v>
      </c>
      <c r="GC24" s="1">
        <v>810.06000000000006</v>
      </c>
      <c r="GD24" s="1">
        <v>1308.25</v>
      </c>
      <c r="GE24" s="1">
        <v>998.94</v>
      </c>
      <c r="GF24" s="1">
        <v>1062.05</v>
      </c>
      <c r="GG24" s="1">
        <v>700.7</v>
      </c>
      <c r="GH24" s="1">
        <v>1094.08</v>
      </c>
      <c r="GI24" s="1">
        <v>788</v>
      </c>
      <c r="GJ24" s="1">
        <v>851.88000000000011</v>
      </c>
      <c r="GK24" s="1">
        <v>109.36</v>
      </c>
      <c r="GL24" s="1">
        <v>214.17</v>
      </c>
      <c r="GM24" s="1">
        <v>210.94</v>
      </c>
      <c r="GN24" s="1">
        <v>210.17</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3029.76</v>
      </c>
      <c r="HF24" s="1">
        <v>3539.63</v>
      </c>
      <c r="HG24" s="1">
        <v>3767.8</v>
      </c>
      <c r="HH24" s="1">
        <v>4122.3900000000003</v>
      </c>
      <c r="HI24" s="1">
        <v>2954.02</v>
      </c>
      <c r="HJ24" s="1">
        <v>3388.99</v>
      </c>
      <c r="HK24" s="1">
        <v>3615.16</v>
      </c>
      <c r="HL24" s="1">
        <v>4019.34</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75.739999999999995</v>
      </c>
      <c r="ID24" s="1">
        <v>150.63999999999999</v>
      </c>
      <c r="IE24" s="1">
        <v>152.63999999999999</v>
      </c>
      <c r="IF24" s="1">
        <v>103.05</v>
      </c>
      <c r="IG24" s="1">
        <v>0</v>
      </c>
      <c r="IH24" s="1">
        <v>0</v>
      </c>
      <c r="II24" s="1">
        <v>0</v>
      </c>
      <c r="IJ24" s="1">
        <v>0</v>
      </c>
      <c r="IK24" s="1">
        <v>0</v>
      </c>
      <c r="IL24" s="1">
        <v>0</v>
      </c>
      <c r="IM24" s="1">
        <v>0</v>
      </c>
      <c r="IN24" s="1">
        <v>0</v>
      </c>
      <c r="IO24" s="1">
        <v>1366.33</v>
      </c>
      <c r="IP24" s="1">
        <v>1074.22</v>
      </c>
      <c r="IQ24" s="1">
        <v>1063.01</v>
      </c>
      <c r="IR24" s="1">
        <v>1585.62</v>
      </c>
      <c r="IS24" s="1">
        <v>1248.97</v>
      </c>
      <c r="IT24" s="1">
        <v>851.04</v>
      </c>
      <c r="IU24" s="1">
        <v>838.74</v>
      </c>
      <c r="IV24" s="1">
        <v>1355.61</v>
      </c>
      <c r="IW24" s="1">
        <v>117.36</v>
      </c>
      <c r="IX24" s="1">
        <v>223.18</v>
      </c>
      <c r="IY24" s="1">
        <v>224.27</v>
      </c>
      <c r="IZ24" s="1">
        <v>230.01</v>
      </c>
      <c r="JA24" s="1">
        <v>0</v>
      </c>
      <c r="JB24" s="1">
        <v>0</v>
      </c>
      <c r="JC24" s="1">
        <v>0</v>
      </c>
      <c r="JD24" s="1">
        <v>0</v>
      </c>
      <c r="JE24" s="1">
        <v>0</v>
      </c>
      <c r="JF24" s="1">
        <v>0</v>
      </c>
      <c r="JG24" s="1">
        <v>0</v>
      </c>
      <c r="JH24" s="1">
        <v>0</v>
      </c>
      <c r="JI24" s="1">
        <v>0</v>
      </c>
      <c r="JJ24" s="1">
        <v>0</v>
      </c>
      <c r="JK24" s="1">
        <v>0</v>
      </c>
      <c r="JL24" s="1">
        <v>0</v>
      </c>
      <c r="JM24" s="1">
        <v>0</v>
      </c>
      <c r="JN24" s="1">
        <v>0</v>
      </c>
      <c r="JO24" s="1">
        <v>0</v>
      </c>
      <c r="JP24" s="1">
        <v>0</v>
      </c>
      <c r="JQ24" s="9"/>
      <c r="JR24" s="1">
        <f t="shared" si="0"/>
        <v>16580.937599999997</v>
      </c>
      <c r="JS24" s="1">
        <f t="shared" si="1"/>
        <v>14062.933800000006</v>
      </c>
      <c r="JT24" s="1">
        <f t="shared" si="2"/>
        <v>12832.511399999998</v>
      </c>
      <c r="JU24" s="1">
        <f t="shared" si="3"/>
        <v>13315.228199999998</v>
      </c>
      <c r="JV24" s="1">
        <f t="shared" si="4"/>
        <v>3070.5439999999999</v>
      </c>
      <c r="JW24" s="1">
        <f t="shared" si="5"/>
        <v>2604.2470000000012</v>
      </c>
      <c r="JX24" s="1">
        <f t="shared" si="6"/>
        <v>2376.3909999999992</v>
      </c>
      <c r="JY24" s="1">
        <f t="shared" si="7"/>
        <v>2465.7829999999994</v>
      </c>
    </row>
    <row r="25" spans="1:285" x14ac:dyDescent="0.35">
      <c r="A25" s="2" t="s">
        <v>32</v>
      </c>
      <c r="B25" s="1">
        <v>547141</v>
      </c>
      <c r="C25" s="1">
        <v>546839</v>
      </c>
      <c r="D25" s="1">
        <v>551522</v>
      </c>
      <c r="E25" s="1">
        <v>559071</v>
      </c>
      <c r="F25" s="1">
        <v>741642.21</v>
      </c>
      <c r="G25" s="1">
        <v>739397.68599999999</v>
      </c>
      <c r="H25" s="1">
        <v>702857.8330000001</v>
      </c>
      <c r="I25" s="1">
        <v>692259.52</v>
      </c>
      <c r="J25" s="1">
        <f t="shared" si="8"/>
        <v>210285.71</v>
      </c>
      <c r="K25" s="1">
        <f t="shared" si="9"/>
        <v>207280.06</v>
      </c>
      <c r="L25" s="1">
        <f t="shared" si="10"/>
        <v>217544.84</v>
      </c>
      <c r="M25" s="1">
        <f t="shared" si="11"/>
        <v>197241.83000000005</v>
      </c>
      <c r="N25" s="1">
        <f t="shared" si="12"/>
        <v>531356.5</v>
      </c>
      <c r="O25" s="1">
        <f t="shared" si="13"/>
        <v>532117.62599999993</v>
      </c>
      <c r="P25" s="1">
        <f t="shared" si="14"/>
        <v>485312.99300000013</v>
      </c>
      <c r="Q25" s="1">
        <f t="shared" si="15"/>
        <v>495017.68999999994</v>
      </c>
      <c r="R25" s="1">
        <v>0</v>
      </c>
      <c r="S25" s="1">
        <v>0</v>
      </c>
      <c r="T25" s="1">
        <v>0</v>
      </c>
      <c r="U25" s="1">
        <v>0</v>
      </c>
      <c r="V25" s="1">
        <v>0</v>
      </c>
      <c r="W25" s="1">
        <v>0</v>
      </c>
      <c r="X25" s="1">
        <v>0</v>
      </c>
      <c r="Y25" s="1">
        <v>0</v>
      </c>
      <c r="Z25" s="1">
        <v>0</v>
      </c>
      <c r="AA25" s="1">
        <v>0</v>
      </c>
      <c r="AB25" s="1">
        <v>0</v>
      </c>
      <c r="AC25" s="1">
        <v>0</v>
      </c>
      <c r="AD25" s="1">
        <v>0</v>
      </c>
      <c r="AE25" s="1">
        <v>0</v>
      </c>
      <c r="AF25" s="1">
        <v>0</v>
      </c>
      <c r="AG25" s="1">
        <v>0</v>
      </c>
      <c r="AH25" s="1">
        <v>0</v>
      </c>
      <c r="AI25" s="1">
        <v>0</v>
      </c>
      <c r="AJ25" s="1">
        <v>0</v>
      </c>
      <c r="AK25" s="1">
        <v>0</v>
      </c>
      <c r="AL25" s="1">
        <v>0</v>
      </c>
      <c r="AM25" s="1">
        <v>0</v>
      </c>
      <c r="AN25" s="1">
        <v>0</v>
      </c>
      <c r="AO25" s="1">
        <v>0</v>
      </c>
      <c r="AP25" s="1">
        <v>28870</v>
      </c>
      <c r="AQ25" s="1">
        <v>18314.32</v>
      </c>
      <c r="AR25" s="1">
        <v>15871.52</v>
      </c>
      <c r="AS25" s="1">
        <v>17544.98</v>
      </c>
      <c r="AT25" s="1">
        <v>0</v>
      </c>
      <c r="AU25" s="1">
        <v>26058</v>
      </c>
      <c r="AV25" s="1">
        <v>2812</v>
      </c>
      <c r="AW25" s="1">
        <v>0</v>
      </c>
      <c r="AX25" s="1">
        <v>0</v>
      </c>
      <c r="AY25" s="1">
        <v>18314.32</v>
      </c>
      <c r="AZ25" s="1">
        <v>0</v>
      </c>
      <c r="BA25" s="1">
        <v>0</v>
      </c>
      <c r="BB25" s="1">
        <v>0</v>
      </c>
      <c r="BC25" s="1">
        <v>15871.52</v>
      </c>
      <c r="BD25" s="1">
        <v>0</v>
      </c>
      <c r="BE25" s="1">
        <v>0</v>
      </c>
      <c r="BF25" s="1">
        <v>17544.98</v>
      </c>
      <c r="BG25" s="1">
        <v>0</v>
      </c>
      <c r="BH25" s="1">
        <v>0</v>
      </c>
      <c r="BI25" s="1">
        <v>0</v>
      </c>
      <c r="BJ25" s="1">
        <v>0</v>
      </c>
      <c r="BK25" s="1">
        <v>0</v>
      </c>
      <c r="BL25" s="1">
        <v>0</v>
      </c>
      <c r="BM25" s="1">
        <v>0</v>
      </c>
      <c r="BN25" s="1">
        <v>0</v>
      </c>
      <c r="BO25" s="1">
        <v>0</v>
      </c>
      <c r="BP25" s="1">
        <v>0</v>
      </c>
      <c r="BQ25" s="1">
        <v>0</v>
      </c>
      <c r="BR25" s="1">
        <v>0</v>
      </c>
      <c r="BS25" s="1">
        <v>0</v>
      </c>
      <c r="BT25" s="1">
        <v>0</v>
      </c>
      <c r="BU25" s="1">
        <v>34554</v>
      </c>
      <c r="BV25" s="1">
        <v>33566.26</v>
      </c>
      <c r="BW25" s="1">
        <v>49205.67</v>
      </c>
      <c r="BX25" s="1">
        <v>38113.93</v>
      </c>
      <c r="BY25" s="1">
        <v>34554</v>
      </c>
      <c r="BZ25" s="1">
        <v>33566.26</v>
      </c>
      <c r="CA25" s="1">
        <v>49205.67</v>
      </c>
      <c r="CB25" s="1">
        <v>38113.93</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37083</v>
      </c>
      <c r="CT25" s="1">
        <v>31563.61</v>
      </c>
      <c r="CU25" s="1">
        <v>33479.800000000003</v>
      </c>
      <c r="CV25" s="1">
        <v>34051.240000000013</v>
      </c>
      <c r="CW25" s="1">
        <v>37083</v>
      </c>
      <c r="CX25" s="1">
        <v>31563.61</v>
      </c>
      <c r="CY25" s="1">
        <v>33479.800000000003</v>
      </c>
      <c r="CZ25" s="1">
        <v>34051.240000000013</v>
      </c>
      <c r="DA25" s="1">
        <v>0</v>
      </c>
      <c r="DB25" s="1">
        <v>0</v>
      </c>
      <c r="DC25" s="1">
        <v>0</v>
      </c>
      <c r="DD25" s="1">
        <v>0</v>
      </c>
      <c r="DE25" s="1">
        <v>0</v>
      </c>
      <c r="DF25" s="1">
        <v>0</v>
      </c>
      <c r="DG25" s="1">
        <v>0</v>
      </c>
      <c r="DH25" s="1">
        <v>0</v>
      </c>
      <c r="DI25" s="1">
        <v>0</v>
      </c>
      <c r="DJ25" s="1">
        <v>0</v>
      </c>
      <c r="DK25" s="1">
        <v>0</v>
      </c>
      <c r="DL25" s="1">
        <v>0</v>
      </c>
      <c r="DM25" s="1">
        <v>3382</v>
      </c>
      <c r="DN25" s="1">
        <v>11565.17</v>
      </c>
      <c r="DO25" s="1">
        <v>12687.74</v>
      </c>
      <c r="DP25" s="1">
        <v>14108.2</v>
      </c>
      <c r="DQ25" s="1">
        <v>3382</v>
      </c>
      <c r="DR25" s="1">
        <v>11565.17</v>
      </c>
      <c r="DS25" s="1">
        <v>12687.74</v>
      </c>
      <c r="DT25" s="1">
        <v>14108.2</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77815.709999999992</v>
      </c>
      <c r="EL25" s="1">
        <v>66849.59</v>
      </c>
      <c r="EM25" s="1">
        <v>62131.64</v>
      </c>
      <c r="EN25" s="1">
        <v>56703.44</v>
      </c>
      <c r="EO25" s="1">
        <v>77815.709999999992</v>
      </c>
      <c r="EP25" s="1">
        <v>66849.59</v>
      </c>
      <c r="EQ25" s="1">
        <v>62131.64</v>
      </c>
      <c r="ER25" s="1">
        <v>56703.44</v>
      </c>
      <c r="ES25" s="1">
        <v>0</v>
      </c>
      <c r="ET25" s="1">
        <v>0</v>
      </c>
      <c r="EU25" s="1">
        <v>0</v>
      </c>
      <c r="EV25" s="1">
        <v>0</v>
      </c>
      <c r="EW25" s="1">
        <v>0</v>
      </c>
      <c r="EX25" s="1">
        <v>0</v>
      </c>
      <c r="EY25" s="1">
        <v>0</v>
      </c>
      <c r="EZ25" s="1">
        <v>0</v>
      </c>
      <c r="FA25" s="1">
        <v>0</v>
      </c>
      <c r="FB25" s="1">
        <v>0</v>
      </c>
      <c r="FC25" s="1">
        <v>0</v>
      </c>
      <c r="FD25" s="1">
        <v>0</v>
      </c>
      <c r="FE25" s="1">
        <v>304</v>
      </c>
      <c r="FF25" s="1">
        <v>303.11</v>
      </c>
      <c r="FG25" s="1">
        <v>282.74</v>
      </c>
      <c r="FH25" s="1">
        <v>261.92</v>
      </c>
      <c r="FI25" s="1">
        <v>304</v>
      </c>
      <c r="FJ25" s="1">
        <v>303.11</v>
      </c>
      <c r="FK25" s="1">
        <v>282.74</v>
      </c>
      <c r="FL25" s="1">
        <v>261.92</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9484</v>
      </c>
      <c r="GD25" s="1">
        <v>10465.73</v>
      </c>
      <c r="GE25" s="1">
        <v>8661.66</v>
      </c>
      <c r="GF25" s="1">
        <v>8336.119999999999</v>
      </c>
      <c r="GG25" s="1">
        <v>9484</v>
      </c>
      <c r="GH25" s="1">
        <v>10465.73</v>
      </c>
      <c r="GI25" s="1">
        <v>8661.66</v>
      </c>
      <c r="GJ25" s="1">
        <v>8336.119999999999</v>
      </c>
      <c r="GK25" s="1">
        <v>0</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13320</v>
      </c>
      <c r="HF25" s="1">
        <v>21708.55</v>
      </c>
      <c r="HG25" s="1">
        <v>17549.11</v>
      </c>
      <c r="HH25" s="1">
        <v>21215</v>
      </c>
      <c r="HI25" s="1">
        <v>6655</v>
      </c>
      <c r="HJ25" s="1">
        <v>12968.38</v>
      </c>
      <c r="HK25" s="1">
        <v>10457.77</v>
      </c>
      <c r="HL25" s="1">
        <v>13827</v>
      </c>
      <c r="HM25" s="1">
        <v>0</v>
      </c>
      <c r="HN25" s="1">
        <v>0</v>
      </c>
      <c r="HO25" s="1">
        <v>0</v>
      </c>
      <c r="HP25" s="1">
        <v>0</v>
      </c>
      <c r="HQ25" s="1">
        <v>0</v>
      </c>
      <c r="HR25" s="1">
        <v>0</v>
      </c>
      <c r="HS25" s="1">
        <v>0</v>
      </c>
      <c r="HT25" s="1">
        <v>0</v>
      </c>
      <c r="HU25" s="1">
        <v>6665</v>
      </c>
      <c r="HV25" s="1">
        <v>0</v>
      </c>
      <c r="HW25" s="1">
        <v>0</v>
      </c>
      <c r="HX25" s="1">
        <v>0</v>
      </c>
      <c r="HY25" s="1">
        <v>0</v>
      </c>
      <c r="HZ25" s="1">
        <v>0</v>
      </c>
      <c r="IA25" s="1">
        <v>0</v>
      </c>
      <c r="IB25" s="1">
        <v>0</v>
      </c>
      <c r="IC25" s="1">
        <v>0</v>
      </c>
      <c r="ID25" s="1">
        <v>8740.17</v>
      </c>
      <c r="IE25" s="1">
        <v>7091.34</v>
      </c>
      <c r="IF25" s="1">
        <v>7388</v>
      </c>
      <c r="IG25" s="1">
        <v>0</v>
      </c>
      <c r="IH25" s="1">
        <v>0</v>
      </c>
      <c r="II25" s="1">
        <v>0</v>
      </c>
      <c r="IJ25" s="1">
        <v>0</v>
      </c>
      <c r="IK25" s="1">
        <v>0</v>
      </c>
      <c r="IL25" s="1">
        <v>0</v>
      </c>
      <c r="IM25" s="1">
        <v>0</v>
      </c>
      <c r="IN25" s="1">
        <v>0</v>
      </c>
      <c r="IO25" s="1">
        <v>5473</v>
      </c>
      <c r="IP25" s="1">
        <v>12943.72</v>
      </c>
      <c r="IQ25" s="1">
        <v>17674.96</v>
      </c>
      <c r="IR25" s="1">
        <v>6907</v>
      </c>
      <c r="IS25" s="1">
        <v>5473</v>
      </c>
      <c r="IT25" s="1">
        <v>12118.77</v>
      </c>
      <c r="IU25" s="1">
        <v>17674.96</v>
      </c>
      <c r="IV25" s="1">
        <v>6907</v>
      </c>
      <c r="IW25" s="1">
        <v>0</v>
      </c>
      <c r="IX25" s="1">
        <v>0</v>
      </c>
      <c r="IY25" s="1">
        <v>0</v>
      </c>
      <c r="IZ25" s="1">
        <v>0</v>
      </c>
      <c r="JA25" s="1">
        <v>0</v>
      </c>
      <c r="JB25" s="1">
        <v>824.95</v>
      </c>
      <c r="JC25" s="1">
        <v>0</v>
      </c>
      <c r="JD25" s="1">
        <v>0</v>
      </c>
      <c r="JE25" s="1">
        <v>0</v>
      </c>
      <c r="JF25" s="1">
        <v>0</v>
      </c>
      <c r="JG25" s="1">
        <v>0</v>
      </c>
      <c r="JH25" s="1">
        <v>0</v>
      </c>
      <c r="JI25" s="1">
        <v>0</v>
      </c>
      <c r="JJ25" s="1">
        <v>0</v>
      </c>
      <c r="JK25" s="1">
        <v>0</v>
      </c>
      <c r="JL25" s="1">
        <v>0</v>
      </c>
      <c r="JM25" s="1">
        <v>0</v>
      </c>
      <c r="JN25" s="1">
        <v>0</v>
      </c>
      <c r="JO25" s="1">
        <v>0</v>
      </c>
      <c r="JP25" s="1">
        <v>0</v>
      </c>
      <c r="JQ25" s="9"/>
      <c r="JR25" s="1">
        <f t="shared" si="0"/>
        <v>143466.255</v>
      </c>
      <c r="JS25" s="1">
        <f t="shared" si="1"/>
        <v>143671.75902</v>
      </c>
      <c r="JT25" s="1">
        <f t="shared" si="2"/>
        <v>131034.50811000004</v>
      </c>
      <c r="JU25" s="1">
        <f t="shared" si="3"/>
        <v>133654.7763</v>
      </c>
      <c r="JV25" s="1">
        <f t="shared" si="4"/>
        <v>26567.825000000001</v>
      </c>
      <c r="JW25" s="1">
        <f t="shared" si="5"/>
        <v>26605.881299999997</v>
      </c>
      <c r="JX25" s="1">
        <f t="shared" si="6"/>
        <v>24265.649650000007</v>
      </c>
      <c r="JY25" s="1">
        <f t="shared" si="7"/>
        <v>24750.8845</v>
      </c>
    </row>
    <row r="26" spans="1:285" x14ac:dyDescent="0.35">
      <c r="A26" s="2" t="s">
        <v>33</v>
      </c>
      <c r="B26" s="1">
        <v>154107</v>
      </c>
      <c r="C26" s="1">
        <v>155693</v>
      </c>
      <c r="D26" s="1">
        <v>157656</v>
      </c>
      <c r="E26" s="1">
        <v>160494</v>
      </c>
      <c r="F26" s="1">
        <v>48213.836000000003</v>
      </c>
      <c r="G26" s="1">
        <v>52260.576000000001</v>
      </c>
      <c r="H26" s="1">
        <v>47408.671999999999</v>
      </c>
      <c r="I26" s="1">
        <v>46137.542000000001</v>
      </c>
      <c r="J26" s="1">
        <f t="shared" si="8"/>
        <v>33907.150999999998</v>
      </c>
      <c r="K26" s="1">
        <f t="shared" si="9"/>
        <v>37170.845999999998</v>
      </c>
      <c r="L26" s="1">
        <f t="shared" si="10"/>
        <v>33328.154999999999</v>
      </c>
      <c r="M26" s="1">
        <f t="shared" si="11"/>
        <v>32003.839999999997</v>
      </c>
      <c r="N26" s="1">
        <f t="shared" si="12"/>
        <v>14306.685000000005</v>
      </c>
      <c r="O26" s="1">
        <f t="shared" si="13"/>
        <v>15089.730000000003</v>
      </c>
      <c r="P26" s="1">
        <f t="shared" si="14"/>
        <v>14080.517</v>
      </c>
      <c r="Q26" s="1">
        <f t="shared" si="15"/>
        <v>14133.702000000005</v>
      </c>
      <c r="R26" s="1">
        <v>4648.5200000000004</v>
      </c>
      <c r="S26" s="1">
        <v>4542.1400000000003</v>
      </c>
      <c r="T26" s="1">
        <v>4223.76</v>
      </c>
      <c r="U26" s="1">
        <v>4501.5</v>
      </c>
      <c r="V26" s="1">
        <v>0</v>
      </c>
      <c r="W26" s="1">
        <v>0</v>
      </c>
      <c r="X26" s="1">
        <v>4648.5200000000004</v>
      </c>
      <c r="Y26" s="1">
        <v>0</v>
      </c>
      <c r="Z26" s="1">
        <v>0</v>
      </c>
      <c r="AA26" s="1">
        <v>4542.1400000000003</v>
      </c>
      <c r="AB26" s="1">
        <v>0</v>
      </c>
      <c r="AC26" s="1">
        <v>0</v>
      </c>
      <c r="AD26" s="1">
        <v>4223.76</v>
      </c>
      <c r="AE26" s="1">
        <v>0</v>
      </c>
      <c r="AF26" s="1">
        <v>0</v>
      </c>
      <c r="AG26" s="1">
        <v>4501.5</v>
      </c>
      <c r="AH26" s="1">
        <v>0</v>
      </c>
      <c r="AI26" s="1">
        <v>0</v>
      </c>
      <c r="AJ26" s="1">
        <v>0</v>
      </c>
      <c r="AK26" s="1">
        <v>0</v>
      </c>
      <c r="AL26" s="1">
        <v>0</v>
      </c>
      <c r="AM26" s="1">
        <v>0</v>
      </c>
      <c r="AN26" s="1">
        <v>0</v>
      </c>
      <c r="AO26" s="1">
        <v>0</v>
      </c>
      <c r="AP26" s="1">
        <v>9835.7799999999988</v>
      </c>
      <c r="AQ26" s="1">
        <v>12958.289999999999</v>
      </c>
      <c r="AR26" s="1">
        <v>10722.34</v>
      </c>
      <c r="AS26" s="1">
        <v>12295.89</v>
      </c>
      <c r="AT26" s="1">
        <v>0</v>
      </c>
      <c r="AU26" s="1">
        <v>9835.7799999999988</v>
      </c>
      <c r="AV26" s="1">
        <v>0</v>
      </c>
      <c r="AW26" s="1">
        <v>0</v>
      </c>
      <c r="AX26" s="1">
        <v>0</v>
      </c>
      <c r="AY26" s="1">
        <v>12958.289999999999</v>
      </c>
      <c r="AZ26" s="1">
        <v>0</v>
      </c>
      <c r="BA26" s="1">
        <v>0</v>
      </c>
      <c r="BB26" s="1">
        <v>0</v>
      </c>
      <c r="BC26" s="1">
        <v>10722.34</v>
      </c>
      <c r="BD26" s="1">
        <v>0</v>
      </c>
      <c r="BE26" s="1">
        <v>0</v>
      </c>
      <c r="BF26" s="1">
        <v>12295.89</v>
      </c>
      <c r="BG26" s="1">
        <v>0</v>
      </c>
      <c r="BH26" s="1">
        <v>0</v>
      </c>
      <c r="BI26" s="1">
        <v>0</v>
      </c>
      <c r="BJ26" s="1">
        <v>0</v>
      </c>
      <c r="BK26" s="1">
        <v>0</v>
      </c>
      <c r="BL26" s="1">
        <v>0</v>
      </c>
      <c r="BM26" s="1">
        <v>0</v>
      </c>
      <c r="BN26" s="1">
        <v>0</v>
      </c>
      <c r="BO26" s="1">
        <v>0</v>
      </c>
      <c r="BP26" s="1">
        <v>0</v>
      </c>
      <c r="BQ26" s="1">
        <v>0</v>
      </c>
      <c r="BR26" s="1">
        <v>0</v>
      </c>
      <c r="BS26" s="1">
        <v>0</v>
      </c>
      <c r="BT26" s="1">
        <v>0</v>
      </c>
      <c r="BU26" s="1">
        <v>9875.7389999999996</v>
      </c>
      <c r="BV26" s="1">
        <v>11271.02</v>
      </c>
      <c r="BW26" s="1">
        <v>9768.5600000000013</v>
      </c>
      <c r="BX26" s="1">
        <v>8430.0069999999996</v>
      </c>
      <c r="BY26" s="1">
        <v>9875.7389999999996</v>
      </c>
      <c r="BZ26" s="1">
        <v>11271.02</v>
      </c>
      <c r="CA26" s="1">
        <v>9768.5600000000013</v>
      </c>
      <c r="CB26" s="1">
        <v>8430.0069999999996</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3834.45</v>
      </c>
      <c r="CT26" s="1">
        <v>3539.05</v>
      </c>
      <c r="CU26" s="1">
        <v>3947.05</v>
      </c>
      <c r="CV26" s="1">
        <v>2074.6570000000002</v>
      </c>
      <c r="CW26" s="1">
        <v>3834.45</v>
      </c>
      <c r="CX26" s="1">
        <v>3539.05</v>
      </c>
      <c r="CY26" s="1">
        <v>3947.05</v>
      </c>
      <c r="CZ26" s="1">
        <v>2074.6570000000002</v>
      </c>
      <c r="DA26" s="1">
        <v>0</v>
      </c>
      <c r="DB26" s="1">
        <v>0</v>
      </c>
      <c r="DC26" s="1">
        <v>0</v>
      </c>
      <c r="DD26" s="1">
        <v>0</v>
      </c>
      <c r="DE26" s="1">
        <v>0</v>
      </c>
      <c r="DF26" s="1">
        <v>0</v>
      </c>
      <c r="DG26" s="1">
        <v>0</v>
      </c>
      <c r="DH26" s="1">
        <v>0</v>
      </c>
      <c r="DI26" s="1">
        <v>0</v>
      </c>
      <c r="DJ26" s="1">
        <v>0</v>
      </c>
      <c r="DK26" s="1">
        <v>0</v>
      </c>
      <c r="DL26" s="1">
        <v>0</v>
      </c>
      <c r="DM26" s="1">
        <v>4269.1200000000008</v>
      </c>
      <c r="DN26" s="1">
        <v>3529.59</v>
      </c>
      <c r="DO26" s="1">
        <v>3294.6</v>
      </c>
      <c r="DP26" s="1">
        <v>3222.902</v>
      </c>
      <c r="DQ26" s="1">
        <v>4269.1200000000008</v>
      </c>
      <c r="DR26" s="1">
        <v>3529.59</v>
      </c>
      <c r="DS26" s="1">
        <v>3294.6</v>
      </c>
      <c r="DT26" s="1">
        <v>3222.902</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929.98599999999999</v>
      </c>
      <c r="EL26" s="1">
        <v>721.29</v>
      </c>
      <c r="EM26" s="1">
        <v>869.00399999999991</v>
      </c>
      <c r="EN26" s="1">
        <v>953.49399999999991</v>
      </c>
      <c r="EO26" s="1">
        <v>929.98599999999999</v>
      </c>
      <c r="EP26" s="1">
        <v>721.29</v>
      </c>
      <c r="EQ26" s="1">
        <v>869.00399999999991</v>
      </c>
      <c r="ER26" s="1">
        <v>953.49399999999991</v>
      </c>
      <c r="ES26" s="1">
        <v>0</v>
      </c>
      <c r="ET26" s="1">
        <v>0</v>
      </c>
      <c r="EU26" s="1">
        <v>0</v>
      </c>
      <c r="EV26" s="1">
        <v>0</v>
      </c>
      <c r="EW26" s="1">
        <v>0</v>
      </c>
      <c r="EX26" s="1">
        <v>0</v>
      </c>
      <c r="EY26" s="1">
        <v>0</v>
      </c>
      <c r="EZ26" s="1">
        <v>0</v>
      </c>
      <c r="FA26" s="1">
        <v>0</v>
      </c>
      <c r="FB26" s="1">
        <v>0</v>
      </c>
      <c r="FC26" s="1">
        <v>0</v>
      </c>
      <c r="FD26" s="1">
        <v>0</v>
      </c>
      <c r="FE26" s="1">
        <v>16.98</v>
      </c>
      <c r="FF26" s="1">
        <v>39.540999999999997</v>
      </c>
      <c r="FG26" s="1">
        <v>28.88</v>
      </c>
      <c r="FH26" s="1">
        <v>30.286000000000001</v>
      </c>
      <c r="FI26" s="1">
        <v>0</v>
      </c>
      <c r="FJ26" s="1">
        <v>0</v>
      </c>
      <c r="FK26" s="1">
        <v>0</v>
      </c>
      <c r="FL26" s="1">
        <v>0</v>
      </c>
      <c r="FM26" s="1">
        <v>16.98</v>
      </c>
      <c r="FN26" s="1">
        <v>39.540999999999997</v>
      </c>
      <c r="FO26" s="1">
        <v>28.88</v>
      </c>
      <c r="FP26" s="1">
        <v>30.286000000000001</v>
      </c>
      <c r="FQ26" s="1">
        <v>0</v>
      </c>
      <c r="FR26" s="1">
        <v>0</v>
      </c>
      <c r="FS26" s="1">
        <v>0</v>
      </c>
      <c r="FT26" s="1">
        <v>0</v>
      </c>
      <c r="FU26" s="1">
        <v>0</v>
      </c>
      <c r="FV26" s="1">
        <v>0</v>
      </c>
      <c r="FW26" s="1">
        <v>0</v>
      </c>
      <c r="FX26" s="1">
        <v>0</v>
      </c>
      <c r="FY26" s="1">
        <v>0</v>
      </c>
      <c r="FZ26" s="1">
        <v>0</v>
      </c>
      <c r="GA26" s="1">
        <v>0</v>
      </c>
      <c r="GB26" s="1">
        <v>0</v>
      </c>
      <c r="GC26" s="1">
        <v>0</v>
      </c>
      <c r="GD26" s="1">
        <v>2.58</v>
      </c>
      <c r="GE26" s="1">
        <v>5.66</v>
      </c>
      <c r="GF26" s="1">
        <v>31.47</v>
      </c>
      <c r="GG26" s="1">
        <v>0</v>
      </c>
      <c r="GH26" s="1">
        <v>2.58</v>
      </c>
      <c r="GI26" s="1">
        <v>5.66</v>
      </c>
      <c r="GJ26" s="1">
        <v>31.47</v>
      </c>
      <c r="GK26" s="1">
        <v>0</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496.57600000000002</v>
      </c>
      <c r="IP26" s="1">
        <v>567.34500000000003</v>
      </c>
      <c r="IQ26" s="1">
        <v>468.30099999999999</v>
      </c>
      <c r="IR26" s="1">
        <v>463.63400000000001</v>
      </c>
      <c r="IS26" s="1">
        <v>496.57600000000002</v>
      </c>
      <c r="IT26" s="1">
        <v>567.34500000000003</v>
      </c>
      <c r="IU26" s="1">
        <v>468.30099999999999</v>
      </c>
      <c r="IV26" s="1">
        <v>463.63400000000001</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0</v>
      </c>
      <c r="JO26" s="1">
        <v>0</v>
      </c>
      <c r="JP26" s="1">
        <v>0</v>
      </c>
      <c r="JQ26" s="9"/>
      <c r="JR26" s="1">
        <f t="shared" si="0"/>
        <v>3862.8049500000016</v>
      </c>
      <c r="JS26" s="1">
        <f t="shared" si="1"/>
        <v>4074.227100000001</v>
      </c>
      <c r="JT26" s="1">
        <f t="shared" si="2"/>
        <v>3801.7395900000001</v>
      </c>
      <c r="JU26" s="1">
        <f t="shared" si="3"/>
        <v>3816.0995400000015</v>
      </c>
      <c r="JV26" s="1">
        <f t="shared" si="4"/>
        <v>715.33425000000034</v>
      </c>
      <c r="JW26" s="1">
        <f t="shared" si="5"/>
        <v>754.48650000000021</v>
      </c>
      <c r="JX26" s="1">
        <f t="shared" si="6"/>
        <v>704.02584999999999</v>
      </c>
      <c r="JY26" s="1">
        <f t="shared" si="7"/>
        <v>706.68510000000026</v>
      </c>
    </row>
    <row r="27" spans="1:285" x14ac:dyDescent="0.35">
      <c r="A27" s="2" t="s">
        <v>34</v>
      </c>
      <c r="B27" s="1">
        <v>140408</v>
      </c>
      <c r="C27" s="1">
        <v>142160</v>
      </c>
      <c r="D27" s="1">
        <v>143422</v>
      </c>
      <c r="E27" s="1">
        <v>144934</v>
      </c>
      <c r="F27" s="1">
        <v>49251.167999999998</v>
      </c>
      <c r="G27" s="1">
        <v>54283.175000000003</v>
      </c>
      <c r="H27" s="1">
        <v>51714.45</v>
      </c>
      <c r="I27" s="1">
        <v>54100.468999999997</v>
      </c>
      <c r="J27" s="1">
        <f t="shared" si="8"/>
        <v>28427.229999999996</v>
      </c>
      <c r="K27" s="1">
        <f t="shared" si="9"/>
        <v>33855.606</v>
      </c>
      <c r="L27" s="1">
        <f t="shared" si="10"/>
        <v>32160.100000000002</v>
      </c>
      <c r="M27" s="1">
        <f t="shared" si="11"/>
        <v>34595.161999999997</v>
      </c>
      <c r="N27" s="1">
        <f t="shared" si="12"/>
        <v>20823.938000000002</v>
      </c>
      <c r="O27" s="1">
        <f t="shared" si="13"/>
        <v>20427.569000000003</v>
      </c>
      <c r="P27" s="1">
        <f t="shared" si="14"/>
        <v>19554.349999999995</v>
      </c>
      <c r="Q27" s="1">
        <f t="shared" si="15"/>
        <v>19505.307000000001</v>
      </c>
      <c r="R27" s="1">
        <v>0</v>
      </c>
      <c r="S27" s="1">
        <v>0</v>
      </c>
      <c r="T27" s="1">
        <v>0</v>
      </c>
      <c r="U27" s="1">
        <v>0</v>
      </c>
      <c r="V27" s="1">
        <v>0</v>
      </c>
      <c r="W27" s="1">
        <v>0</v>
      </c>
      <c r="X27" s="1">
        <v>0</v>
      </c>
      <c r="Y27" s="1">
        <v>0</v>
      </c>
      <c r="Z27" s="1">
        <v>0</v>
      </c>
      <c r="AA27" s="1">
        <v>0</v>
      </c>
      <c r="AB27" s="1">
        <v>0</v>
      </c>
      <c r="AC27" s="1">
        <v>0</v>
      </c>
      <c r="AD27" s="1">
        <v>0</v>
      </c>
      <c r="AE27" s="1">
        <v>0</v>
      </c>
      <c r="AF27" s="1">
        <v>0</v>
      </c>
      <c r="AG27" s="1">
        <v>0</v>
      </c>
      <c r="AH27" s="1">
        <v>0</v>
      </c>
      <c r="AI27" s="1">
        <v>0</v>
      </c>
      <c r="AJ27" s="1">
        <v>0</v>
      </c>
      <c r="AK27" s="1">
        <v>0</v>
      </c>
      <c r="AL27" s="1">
        <v>0</v>
      </c>
      <c r="AM27" s="1">
        <v>0</v>
      </c>
      <c r="AN27" s="1">
        <v>0</v>
      </c>
      <c r="AO27" s="1">
        <v>0</v>
      </c>
      <c r="AP27" s="1">
        <v>9375.02</v>
      </c>
      <c r="AQ27" s="1">
        <v>9659.68</v>
      </c>
      <c r="AR27" s="1">
        <v>7993.82</v>
      </c>
      <c r="AS27" s="1">
        <v>9998.16</v>
      </c>
      <c r="AT27" s="1">
        <v>0</v>
      </c>
      <c r="AU27" s="1">
        <v>9375.02</v>
      </c>
      <c r="AV27" s="1">
        <v>0</v>
      </c>
      <c r="AW27" s="1">
        <v>0</v>
      </c>
      <c r="AX27" s="1">
        <v>0</v>
      </c>
      <c r="AY27" s="1">
        <v>9659.68</v>
      </c>
      <c r="AZ27" s="1">
        <v>0</v>
      </c>
      <c r="BA27" s="1">
        <v>0</v>
      </c>
      <c r="BB27" s="1">
        <v>0</v>
      </c>
      <c r="BC27" s="1">
        <v>7993.82</v>
      </c>
      <c r="BD27" s="1">
        <v>0</v>
      </c>
      <c r="BE27" s="1">
        <v>0</v>
      </c>
      <c r="BF27" s="1">
        <v>9998.16</v>
      </c>
      <c r="BG27" s="1">
        <v>0</v>
      </c>
      <c r="BH27" s="1">
        <v>0</v>
      </c>
      <c r="BI27" s="1">
        <v>0</v>
      </c>
      <c r="BJ27" s="1">
        <v>0</v>
      </c>
      <c r="BK27" s="1">
        <v>0</v>
      </c>
      <c r="BL27" s="1">
        <v>0</v>
      </c>
      <c r="BM27" s="1">
        <v>0</v>
      </c>
      <c r="BN27" s="1">
        <v>0</v>
      </c>
      <c r="BO27" s="1">
        <v>0</v>
      </c>
      <c r="BP27" s="1">
        <v>0</v>
      </c>
      <c r="BQ27" s="1">
        <v>0</v>
      </c>
      <c r="BR27" s="1">
        <v>0</v>
      </c>
      <c r="BS27" s="1">
        <v>0</v>
      </c>
      <c r="BT27" s="1">
        <v>0</v>
      </c>
      <c r="BU27" s="1">
        <v>8725.9</v>
      </c>
      <c r="BV27" s="1">
        <v>12246.316999999999</v>
      </c>
      <c r="BW27" s="1">
        <v>12562.68</v>
      </c>
      <c r="BX27" s="1">
        <v>13882.18</v>
      </c>
      <c r="BY27" s="1">
        <v>8725.9</v>
      </c>
      <c r="BZ27" s="1">
        <v>12246.316999999999</v>
      </c>
      <c r="CA27" s="1">
        <v>12562.68</v>
      </c>
      <c r="CB27" s="1">
        <v>13882.18</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2993.4780000000001</v>
      </c>
      <c r="CT27" s="1">
        <v>4449.1390000000001</v>
      </c>
      <c r="CU27" s="1">
        <v>3716.5</v>
      </c>
      <c r="CV27" s="1">
        <v>2728.63</v>
      </c>
      <c r="CW27" s="1">
        <v>2993.4780000000001</v>
      </c>
      <c r="CX27" s="1">
        <v>4449.1390000000001</v>
      </c>
      <c r="CY27" s="1">
        <v>3716.5</v>
      </c>
      <c r="CZ27" s="1">
        <v>2728.63</v>
      </c>
      <c r="DA27" s="1">
        <v>0</v>
      </c>
      <c r="DB27" s="1">
        <v>0</v>
      </c>
      <c r="DC27" s="1">
        <v>0</v>
      </c>
      <c r="DD27" s="1">
        <v>0</v>
      </c>
      <c r="DE27" s="1">
        <v>0</v>
      </c>
      <c r="DF27" s="1">
        <v>0</v>
      </c>
      <c r="DG27" s="1">
        <v>0</v>
      </c>
      <c r="DH27" s="1">
        <v>0</v>
      </c>
      <c r="DI27" s="1">
        <v>0</v>
      </c>
      <c r="DJ27" s="1">
        <v>0</v>
      </c>
      <c r="DK27" s="1">
        <v>0</v>
      </c>
      <c r="DL27" s="1">
        <v>0</v>
      </c>
      <c r="DM27" s="1">
        <v>5468.3329999999996</v>
      </c>
      <c r="DN27" s="1">
        <v>5719.9620000000004</v>
      </c>
      <c r="DO27" s="1">
        <v>5851.8700000000008</v>
      </c>
      <c r="DP27" s="1">
        <v>5672.4479999999994</v>
      </c>
      <c r="DQ27" s="1">
        <v>5468.3329999999996</v>
      </c>
      <c r="DR27" s="1">
        <v>5719.9620000000004</v>
      </c>
      <c r="DS27" s="1">
        <v>5851.8700000000008</v>
      </c>
      <c r="DT27" s="1">
        <v>5672.4479999999994</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1066.067</v>
      </c>
      <c r="EL27" s="1">
        <v>1109.8789999999999</v>
      </c>
      <c r="EM27" s="1">
        <v>1058.1500000000001</v>
      </c>
      <c r="EN27" s="1">
        <v>1365.08</v>
      </c>
      <c r="EO27" s="1">
        <v>1066.067</v>
      </c>
      <c r="EP27" s="1">
        <v>1109.8789999999999</v>
      </c>
      <c r="EQ27" s="1">
        <v>1058.1500000000001</v>
      </c>
      <c r="ER27" s="1">
        <v>1365.08</v>
      </c>
      <c r="ES27" s="1">
        <v>0</v>
      </c>
      <c r="ET27" s="1">
        <v>0</v>
      </c>
      <c r="EU27" s="1">
        <v>0</v>
      </c>
      <c r="EV27" s="1">
        <v>0</v>
      </c>
      <c r="EW27" s="1">
        <v>0</v>
      </c>
      <c r="EX27" s="1">
        <v>0</v>
      </c>
      <c r="EY27" s="1">
        <v>0</v>
      </c>
      <c r="EZ27" s="1">
        <v>0</v>
      </c>
      <c r="FA27" s="1">
        <v>0</v>
      </c>
      <c r="FB27" s="1">
        <v>0</v>
      </c>
      <c r="FC27" s="1">
        <v>0</v>
      </c>
      <c r="FD27" s="1">
        <v>0</v>
      </c>
      <c r="FE27" s="1">
        <v>392.47199999999998</v>
      </c>
      <c r="FF27" s="1">
        <v>159.18799999999999</v>
      </c>
      <c r="FG27" s="1">
        <v>403.6</v>
      </c>
      <c r="FH27" s="1">
        <v>284.27</v>
      </c>
      <c r="FI27" s="1">
        <v>392.47199999999998</v>
      </c>
      <c r="FJ27" s="1">
        <v>159.18799999999999</v>
      </c>
      <c r="FK27" s="1">
        <v>403.6</v>
      </c>
      <c r="FL27" s="1">
        <v>284.27</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68.2</v>
      </c>
      <c r="GD27" s="1">
        <v>108.84399999999999</v>
      </c>
      <c r="GE27" s="1">
        <v>100.86</v>
      </c>
      <c r="GF27" s="1">
        <v>189.124</v>
      </c>
      <c r="GG27" s="1">
        <v>68.2</v>
      </c>
      <c r="GH27" s="1">
        <v>108.84399999999999</v>
      </c>
      <c r="GI27" s="1">
        <v>100.86</v>
      </c>
      <c r="GJ27" s="1">
        <v>189.124</v>
      </c>
      <c r="GK27" s="1">
        <v>0</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337.76</v>
      </c>
      <c r="IP27" s="1">
        <v>402.59699999999998</v>
      </c>
      <c r="IQ27" s="1">
        <v>472.62</v>
      </c>
      <c r="IR27" s="1">
        <v>475.27</v>
      </c>
      <c r="IS27" s="1">
        <v>337.76</v>
      </c>
      <c r="IT27" s="1">
        <v>402.59699999999998</v>
      </c>
      <c r="IU27" s="1">
        <v>472.62</v>
      </c>
      <c r="IV27" s="1">
        <v>475.27</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0</v>
      </c>
      <c r="JO27" s="1">
        <v>0</v>
      </c>
      <c r="JP27" s="1">
        <v>0</v>
      </c>
      <c r="JQ27" s="9"/>
      <c r="JR27" s="1">
        <f t="shared" si="0"/>
        <v>5622.4632600000004</v>
      </c>
      <c r="JS27" s="1">
        <f t="shared" si="1"/>
        <v>5515.4436300000016</v>
      </c>
      <c r="JT27" s="1">
        <f t="shared" si="2"/>
        <v>5279.6744999999992</v>
      </c>
      <c r="JU27" s="1">
        <f t="shared" si="3"/>
        <v>5266.432890000001</v>
      </c>
      <c r="JV27" s="1">
        <f t="shared" si="4"/>
        <v>1041.1969000000001</v>
      </c>
      <c r="JW27" s="1">
        <f t="shared" si="5"/>
        <v>1021.3784500000002</v>
      </c>
      <c r="JX27" s="1">
        <f t="shared" si="6"/>
        <v>977.71749999999975</v>
      </c>
      <c r="JY27" s="1">
        <f t="shared" si="7"/>
        <v>975.26535000000013</v>
      </c>
    </row>
    <row r="28" spans="1:285" x14ac:dyDescent="0.35">
      <c r="A28" s="2" t="s">
        <v>35</v>
      </c>
      <c r="B28" s="1">
        <v>343988</v>
      </c>
      <c r="C28" s="1">
        <v>339248</v>
      </c>
      <c r="D28" s="1">
        <v>341505</v>
      </c>
      <c r="E28" s="1">
        <v>348751</v>
      </c>
      <c r="F28" s="1">
        <v>74004.467999999993</v>
      </c>
      <c r="G28" s="1">
        <v>75084.784</v>
      </c>
      <c r="H28" s="1">
        <v>82447.709999999992</v>
      </c>
      <c r="I28" s="1">
        <v>71035.209999999992</v>
      </c>
      <c r="J28" s="1">
        <f t="shared" si="8"/>
        <v>42540.578000000001</v>
      </c>
      <c r="K28" s="1">
        <f t="shared" si="9"/>
        <v>43816.970999999998</v>
      </c>
      <c r="L28" s="1">
        <f t="shared" si="10"/>
        <v>48461.73</v>
      </c>
      <c r="M28" s="1">
        <f t="shared" si="11"/>
        <v>29327.49</v>
      </c>
      <c r="N28" s="1">
        <f t="shared" si="12"/>
        <v>31463.889999999992</v>
      </c>
      <c r="O28" s="1">
        <f t="shared" si="13"/>
        <v>31267.813000000002</v>
      </c>
      <c r="P28" s="1">
        <f t="shared" si="14"/>
        <v>33985.979999999989</v>
      </c>
      <c r="Q28" s="1">
        <f t="shared" si="15"/>
        <v>41707.719999999987</v>
      </c>
      <c r="R28" s="1">
        <v>7032.21</v>
      </c>
      <c r="S28" s="1">
        <v>7150.18</v>
      </c>
      <c r="T28" s="1">
        <v>6341.73</v>
      </c>
      <c r="U28" s="1">
        <v>5922.32</v>
      </c>
      <c r="V28" s="1">
        <v>0</v>
      </c>
      <c r="W28" s="1">
        <v>0</v>
      </c>
      <c r="X28" s="1">
        <v>7032.21</v>
      </c>
      <c r="Y28" s="1">
        <v>0</v>
      </c>
      <c r="Z28" s="1">
        <v>0</v>
      </c>
      <c r="AA28" s="1">
        <v>7150.18</v>
      </c>
      <c r="AB28" s="1">
        <v>0</v>
      </c>
      <c r="AC28" s="1">
        <v>0</v>
      </c>
      <c r="AD28" s="1">
        <v>6341.73</v>
      </c>
      <c r="AE28" s="1">
        <v>0</v>
      </c>
      <c r="AF28" s="1">
        <v>0</v>
      </c>
      <c r="AG28" s="1">
        <v>5922.32</v>
      </c>
      <c r="AH28" s="1">
        <v>0</v>
      </c>
      <c r="AI28" s="1">
        <v>0</v>
      </c>
      <c r="AJ28" s="1">
        <v>0</v>
      </c>
      <c r="AK28" s="1">
        <v>0</v>
      </c>
      <c r="AL28" s="1">
        <v>0</v>
      </c>
      <c r="AM28" s="1">
        <v>0</v>
      </c>
      <c r="AN28" s="1">
        <v>0</v>
      </c>
      <c r="AO28" s="1">
        <v>0</v>
      </c>
      <c r="AP28" s="1">
        <v>5463.4400000000005</v>
      </c>
      <c r="AQ28" s="1">
        <v>5724.53</v>
      </c>
      <c r="AR28" s="1">
        <v>4926.3</v>
      </c>
      <c r="AS28" s="1">
        <v>5089.83</v>
      </c>
      <c r="AT28" s="1">
        <v>0</v>
      </c>
      <c r="AU28" s="1">
        <v>5463.4400000000005</v>
      </c>
      <c r="AV28" s="1">
        <v>0</v>
      </c>
      <c r="AW28" s="1">
        <v>0</v>
      </c>
      <c r="AX28" s="1">
        <v>0</v>
      </c>
      <c r="AY28" s="1">
        <v>5724.53</v>
      </c>
      <c r="AZ28" s="1">
        <v>0</v>
      </c>
      <c r="BA28" s="1">
        <v>0</v>
      </c>
      <c r="BB28" s="1">
        <v>0</v>
      </c>
      <c r="BC28" s="1">
        <v>4926.3</v>
      </c>
      <c r="BD28" s="1">
        <v>0</v>
      </c>
      <c r="BE28" s="1">
        <v>0</v>
      </c>
      <c r="BF28" s="1">
        <v>5089.83</v>
      </c>
      <c r="BG28" s="1">
        <v>0</v>
      </c>
      <c r="BH28" s="1">
        <v>0</v>
      </c>
      <c r="BI28" s="1">
        <v>0</v>
      </c>
      <c r="BJ28" s="1">
        <v>0</v>
      </c>
      <c r="BK28" s="1">
        <v>0</v>
      </c>
      <c r="BL28" s="1">
        <v>0</v>
      </c>
      <c r="BM28" s="1">
        <v>0</v>
      </c>
      <c r="BN28" s="1">
        <v>0</v>
      </c>
      <c r="BO28" s="1">
        <v>0</v>
      </c>
      <c r="BP28" s="1">
        <v>0</v>
      </c>
      <c r="BQ28" s="1">
        <v>0</v>
      </c>
      <c r="BR28" s="1">
        <v>0</v>
      </c>
      <c r="BS28" s="1">
        <v>0</v>
      </c>
      <c r="BT28" s="1">
        <v>0</v>
      </c>
      <c r="BU28" s="1">
        <v>16908.861000000001</v>
      </c>
      <c r="BV28" s="1">
        <v>17217.005000000001</v>
      </c>
      <c r="BW28" s="1">
        <v>16299.18</v>
      </c>
      <c r="BX28" s="1">
        <v>6613.76</v>
      </c>
      <c r="BY28" s="1">
        <v>16908.861000000001</v>
      </c>
      <c r="BZ28" s="1">
        <v>17217.005000000001</v>
      </c>
      <c r="CA28" s="1">
        <v>16299.18</v>
      </c>
      <c r="CB28" s="1">
        <v>6613.76</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2775.48</v>
      </c>
      <c r="CT28" s="1">
        <v>3020.4050000000002</v>
      </c>
      <c r="CU28" s="1">
        <v>4282.33</v>
      </c>
      <c r="CV28" s="1">
        <v>4939.72</v>
      </c>
      <c r="CW28" s="1">
        <v>2775.48</v>
      </c>
      <c r="CX28" s="1">
        <v>3020.4050000000002</v>
      </c>
      <c r="CY28" s="1">
        <v>4282.33</v>
      </c>
      <c r="CZ28" s="1">
        <v>4939.72</v>
      </c>
      <c r="DA28" s="1">
        <v>0</v>
      </c>
      <c r="DB28" s="1">
        <v>0</v>
      </c>
      <c r="DC28" s="1">
        <v>0</v>
      </c>
      <c r="DD28" s="1">
        <v>0</v>
      </c>
      <c r="DE28" s="1">
        <v>0</v>
      </c>
      <c r="DF28" s="1">
        <v>0</v>
      </c>
      <c r="DG28" s="1">
        <v>0</v>
      </c>
      <c r="DH28" s="1">
        <v>0</v>
      </c>
      <c r="DI28" s="1">
        <v>0</v>
      </c>
      <c r="DJ28" s="1">
        <v>0</v>
      </c>
      <c r="DK28" s="1">
        <v>0</v>
      </c>
      <c r="DL28" s="1">
        <v>0</v>
      </c>
      <c r="DM28" s="1">
        <v>8253.65</v>
      </c>
      <c r="DN28" s="1">
        <v>7700.1760000000004</v>
      </c>
      <c r="DO28" s="1">
        <v>7044.7599999999993</v>
      </c>
      <c r="DP28" s="1">
        <v>3799.95</v>
      </c>
      <c r="DQ28" s="1">
        <v>8253.65</v>
      </c>
      <c r="DR28" s="1">
        <v>7700.1760000000004</v>
      </c>
      <c r="DS28" s="1">
        <v>7044.7599999999993</v>
      </c>
      <c r="DT28" s="1">
        <v>3799.95</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1631.9970000000001</v>
      </c>
      <c r="EL28" s="1">
        <v>1437.931</v>
      </c>
      <c r="EM28" s="1">
        <v>5945.18</v>
      </c>
      <c r="EN28" s="1">
        <v>2650.32</v>
      </c>
      <c r="EO28" s="1">
        <v>1631.9970000000001</v>
      </c>
      <c r="EP28" s="1">
        <v>1437.931</v>
      </c>
      <c r="EQ28" s="1">
        <v>5945.18</v>
      </c>
      <c r="ER28" s="1">
        <v>2650.32</v>
      </c>
      <c r="ES28" s="1">
        <v>0</v>
      </c>
      <c r="ET28" s="1">
        <v>0</v>
      </c>
      <c r="EU28" s="1">
        <v>0</v>
      </c>
      <c r="EV28" s="1">
        <v>0</v>
      </c>
      <c r="EW28" s="1">
        <v>0</v>
      </c>
      <c r="EX28" s="1">
        <v>0</v>
      </c>
      <c r="EY28" s="1">
        <v>0</v>
      </c>
      <c r="EZ28" s="1">
        <v>0</v>
      </c>
      <c r="FA28" s="1">
        <v>0</v>
      </c>
      <c r="FB28" s="1">
        <v>0</v>
      </c>
      <c r="FC28" s="1">
        <v>0</v>
      </c>
      <c r="FD28" s="1">
        <v>0</v>
      </c>
      <c r="FE28" s="1">
        <v>365.56</v>
      </c>
      <c r="FF28" s="1">
        <v>432.81400000000002</v>
      </c>
      <c r="FG28" s="1">
        <v>388.84</v>
      </c>
      <c r="FH28" s="1">
        <v>301.11</v>
      </c>
      <c r="FI28" s="1">
        <v>365.56</v>
      </c>
      <c r="FJ28" s="1">
        <v>432.81400000000002</v>
      </c>
      <c r="FK28" s="1">
        <v>388.84</v>
      </c>
      <c r="FL28" s="1">
        <v>301.11</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109.38</v>
      </c>
      <c r="GD28" s="1">
        <v>196.26</v>
      </c>
      <c r="GE28" s="1">
        <v>24.78</v>
      </c>
      <c r="GF28" s="1">
        <v>10.48</v>
      </c>
      <c r="GG28" s="1">
        <v>109.38</v>
      </c>
      <c r="GH28" s="1">
        <v>196.26</v>
      </c>
      <c r="GI28" s="1">
        <v>24.78</v>
      </c>
      <c r="GJ28" s="1">
        <v>10.48</v>
      </c>
      <c r="GK28" s="1">
        <v>0</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528</v>
      </c>
      <c r="HG28" s="1">
        <v>371.76</v>
      </c>
      <c r="HH28" s="1">
        <v>0</v>
      </c>
      <c r="HI28" s="1">
        <v>0</v>
      </c>
      <c r="HJ28" s="1">
        <v>277</v>
      </c>
      <c r="HK28" s="1">
        <v>206.86</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251</v>
      </c>
      <c r="IE28" s="1">
        <v>164.9</v>
      </c>
      <c r="IF28" s="1">
        <v>0</v>
      </c>
      <c r="IG28" s="1">
        <v>0</v>
      </c>
      <c r="IH28" s="1">
        <v>0</v>
      </c>
      <c r="II28" s="1">
        <v>0</v>
      </c>
      <c r="IJ28" s="1">
        <v>0</v>
      </c>
      <c r="IK28" s="1">
        <v>0</v>
      </c>
      <c r="IL28" s="1">
        <v>0</v>
      </c>
      <c r="IM28" s="1">
        <v>0</v>
      </c>
      <c r="IN28" s="1">
        <v>0</v>
      </c>
      <c r="IO28" s="1">
        <v>0</v>
      </c>
      <c r="IP28" s="1">
        <v>409.67</v>
      </c>
      <c r="IQ28" s="1">
        <v>2836.87</v>
      </c>
      <c r="IR28" s="1">
        <v>0</v>
      </c>
      <c r="IS28" s="1">
        <v>0</v>
      </c>
      <c r="IT28" s="1">
        <v>409.67</v>
      </c>
      <c r="IU28" s="1">
        <v>2836.87</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0</v>
      </c>
      <c r="JO28" s="1">
        <v>0</v>
      </c>
      <c r="JP28" s="1">
        <v>0</v>
      </c>
      <c r="JQ28" s="9"/>
      <c r="JR28" s="1">
        <f t="shared" si="0"/>
        <v>8495.2502999999979</v>
      </c>
      <c r="JS28" s="1">
        <f t="shared" si="1"/>
        <v>8442.309510000001</v>
      </c>
      <c r="JT28" s="1">
        <f t="shared" si="2"/>
        <v>9176.2145999999975</v>
      </c>
      <c r="JU28" s="1">
        <f t="shared" si="3"/>
        <v>11261.084399999998</v>
      </c>
      <c r="JV28" s="1">
        <f t="shared" si="4"/>
        <v>1573.1944999999996</v>
      </c>
      <c r="JW28" s="1">
        <f t="shared" si="5"/>
        <v>1563.3906500000003</v>
      </c>
      <c r="JX28" s="1">
        <f t="shared" si="6"/>
        <v>1699.2989999999995</v>
      </c>
      <c r="JY28" s="1">
        <f t="shared" si="7"/>
        <v>2085.3859999999995</v>
      </c>
    </row>
    <row r="29" spans="1:285" x14ac:dyDescent="0.35">
      <c r="A29" s="2" t="s">
        <v>36</v>
      </c>
      <c r="B29" s="1">
        <v>77339</v>
      </c>
      <c r="C29" s="1">
        <v>77111</v>
      </c>
      <c r="D29" s="1">
        <v>77316</v>
      </c>
      <c r="E29" s="1">
        <v>78381</v>
      </c>
      <c r="F29" s="1">
        <v>20556.547999999999</v>
      </c>
      <c r="G29" s="1">
        <v>18710.966</v>
      </c>
      <c r="H29" s="1">
        <v>16091.120999999999</v>
      </c>
      <c r="I29" s="1">
        <v>15007.085999999999</v>
      </c>
      <c r="J29" s="1">
        <f t="shared" si="8"/>
        <v>16021.261999999997</v>
      </c>
      <c r="K29" s="1">
        <f t="shared" si="9"/>
        <v>17032.514000000003</v>
      </c>
      <c r="L29" s="1">
        <f t="shared" si="10"/>
        <v>14556.977999999999</v>
      </c>
      <c r="M29" s="1">
        <f t="shared" si="11"/>
        <v>13744.941999999997</v>
      </c>
      <c r="N29" s="1">
        <f t="shared" si="12"/>
        <v>4535.2860000000019</v>
      </c>
      <c r="O29" s="1">
        <f t="shared" si="13"/>
        <v>1678.4519999999975</v>
      </c>
      <c r="P29" s="1">
        <f t="shared" si="14"/>
        <v>1534.143</v>
      </c>
      <c r="Q29" s="1">
        <f t="shared" si="15"/>
        <v>1262.1440000000021</v>
      </c>
      <c r="R29" s="1">
        <v>1294.54</v>
      </c>
      <c r="S29" s="1">
        <v>1284.06</v>
      </c>
      <c r="T29" s="1">
        <v>1108.8</v>
      </c>
      <c r="U29" s="1">
        <v>1045.1199999999999</v>
      </c>
      <c r="V29" s="1">
        <v>0</v>
      </c>
      <c r="W29" s="1">
        <v>0</v>
      </c>
      <c r="X29" s="1">
        <v>1294.5400000000002</v>
      </c>
      <c r="Y29" s="1">
        <v>0</v>
      </c>
      <c r="Z29" s="1">
        <v>0</v>
      </c>
      <c r="AA29" s="1">
        <v>1284.06</v>
      </c>
      <c r="AB29" s="1">
        <v>0</v>
      </c>
      <c r="AC29" s="1">
        <v>0</v>
      </c>
      <c r="AD29" s="1">
        <v>1108.8</v>
      </c>
      <c r="AE29" s="1">
        <v>0</v>
      </c>
      <c r="AF29" s="1">
        <v>0</v>
      </c>
      <c r="AG29" s="1">
        <v>1045.1199999999999</v>
      </c>
      <c r="AH29" s="1">
        <v>0</v>
      </c>
      <c r="AI29" s="1">
        <v>0</v>
      </c>
      <c r="AJ29" s="1">
        <v>0</v>
      </c>
      <c r="AK29" s="1">
        <v>0</v>
      </c>
      <c r="AL29" s="1">
        <v>0</v>
      </c>
      <c r="AM29" s="1">
        <v>0</v>
      </c>
      <c r="AN29" s="1">
        <v>0</v>
      </c>
      <c r="AO29" s="1">
        <v>0</v>
      </c>
      <c r="AP29" s="1">
        <v>4533.3999999999996</v>
      </c>
      <c r="AQ29" s="1">
        <v>4934.9049999999997</v>
      </c>
      <c r="AR29" s="1">
        <v>3784.7259999999997</v>
      </c>
      <c r="AS29" s="1">
        <v>4753.3600000000006</v>
      </c>
      <c r="AT29" s="1">
        <v>0</v>
      </c>
      <c r="AU29" s="1">
        <v>4533.3999999999996</v>
      </c>
      <c r="AV29" s="1">
        <v>0</v>
      </c>
      <c r="AW29" s="1">
        <v>0</v>
      </c>
      <c r="AX29" s="1">
        <v>0</v>
      </c>
      <c r="AY29" s="1">
        <v>4934.9049999999997</v>
      </c>
      <c r="AZ29" s="1">
        <v>0</v>
      </c>
      <c r="BA29" s="1">
        <v>0</v>
      </c>
      <c r="BB29" s="1">
        <v>0</v>
      </c>
      <c r="BC29" s="1">
        <v>3784.7259999999997</v>
      </c>
      <c r="BD29" s="1">
        <v>0</v>
      </c>
      <c r="BE29" s="1">
        <v>0</v>
      </c>
      <c r="BF29" s="1">
        <v>4753.3600000000006</v>
      </c>
      <c r="BG29" s="1">
        <v>0</v>
      </c>
      <c r="BH29" s="1">
        <v>0</v>
      </c>
      <c r="BI29" s="1">
        <v>0</v>
      </c>
      <c r="BJ29" s="1">
        <v>0</v>
      </c>
      <c r="BK29" s="1">
        <v>0</v>
      </c>
      <c r="BL29" s="1">
        <v>0</v>
      </c>
      <c r="BM29" s="1">
        <v>0</v>
      </c>
      <c r="BN29" s="1">
        <v>0</v>
      </c>
      <c r="BO29" s="1">
        <v>0</v>
      </c>
      <c r="BP29" s="1">
        <v>0</v>
      </c>
      <c r="BQ29" s="1">
        <v>0</v>
      </c>
      <c r="BR29" s="1">
        <v>0</v>
      </c>
      <c r="BS29" s="1">
        <v>0</v>
      </c>
      <c r="BT29" s="1">
        <v>0</v>
      </c>
      <c r="BU29" s="1">
        <v>5636.0889999999999</v>
      </c>
      <c r="BV29" s="1">
        <v>7072.5120000000006</v>
      </c>
      <c r="BW29" s="1">
        <v>6295.7629999999999</v>
      </c>
      <c r="BX29" s="1">
        <v>5068.0499999999993</v>
      </c>
      <c r="BY29" s="1">
        <v>5636.0889999999999</v>
      </c>
      <c r="BZ29" s="1">
        <v>7072.5120000000006</v>
      </c>
      <c r="CA29" s="1">
        <v>6295.7629999999999</v>
      </c>
      <c r="CB29" s="1">
        <v>5068.0499999999993</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1472.222</v>
      </c>
      <c r="CT29" s="1">
        <v>845.053</v>
      </c>
      <c r="CU29" s="1">
        <v>852.63099999999997</v>
      </c>
      <c r="CV29" s="1">
        <v>587.29</v>
      </c>
      <c r="CW29" s="1">
        <v>1472.222</v>
      </c>
      <c r="CX29" s="1">
        <v>845.053</v>
      </c>
      <c r="CY29" s="1">
        <v>852.63099999999997</v>
      </c>
      <c r="CZ29" s="1">
        <v>587.29</v>
      </c>
      <c r="DA29" s="1">
        <v>0</v>
      </c>
      <c r="DB29" s="1">
        <v>0</v>
      </c>
      <c r="DC29" s="1">
        <v>0</v>
      </c>
      <c r="DD29" s="1">
        <v>0</v>
      </c>
      <c r="DE29" s="1">
        <v>0</v>
      </c>
      <c r="DF29" s="1">
        <v>0</v>
      </c>
      <c r="DG29" s="1">
        <v>0</v>
      </c>
      <c r="DH29" s="1">
        <v>0</v>
      </c>
      <c r="DI29" s="1">
        <v>0</v>
      </c>
      <c r="DJ29" s="1">
        <v>0</v>
      </c>
      <c r="DK29" s="1">
        <v>0</v>
      </c>
      <c r="DL29" s="1">
        <v>0</v>
      </c>
      <c r="DM29" s="1">
        <v>2336.2190000000001</v>
      </c>
      <c r="DN29" s="1">
        <v>2245.5</v>
      </c>
      <c r="DO29" s="1">
        <v>1962.13</v>
      </c>
      <c r="DP29" s="1">
        <v>1788.99</v>
      </c>
      <c r="DQ29" s="1">
        <v>2336.2190000000001</v>
      </c>
      <c r="DR29" s="1">
        <v>2245.5</v>
      </c>
      <c r="DS29" s="1">
        <v>1962.13</v>
      </c>
      <c r="DT29" s="1">
        <v>1788.99</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443.19</v>
      </c>
      <c r="EL29" s="1">
        <v>344.44099999999997</v>
      </c>
      <c r="EM29" s="1">
        <v>311.048</v>
      </c>
      <c r="EN29" s="1">
        <v>291.39999999999998</v>
      </c>
      <c r="EO29" s="1">
        <v>443.19</v>
      </c>
      <c r="EP29" s="1">
        <v>344.44099999999997</v>
      </c>
      <c r="EQ29" s="1">
        <v>311.048</v>
      </c>
      <c r="ER29" s="1">
        <v>291.39999999999998</v>
      </c>
      <c r="ES29" s="1">
        <v>0</v>
      </c>
      <c r="ET29" s="1">
        <v>0</v>
      </c>
      <c r="EU29" s="1">
        <v>0</v>
      </c>
      <c r="EV29" s="1">
        <v>0</v>
      </c>
      <c r="EW29" s="1">
        <v>0</v>
      </c>
      <c r="EX29" s="1">
        <v>0</v>
      </c>
      <c r="EY29" s="1">
        <v>0</v>
      </c>
      <c r="EZ29" s="1">
        <v>0</v>
      </c>
      <c r="FA29" s="1">
        <v>0</v>
      </c>
      <c r="FB29" s="1">
        <v>0</v>
      </c>
      <c r="FC29" s="1">
        <v>0</v>
      </c>
      <c r="FD29" s="1">
        <v>0</v>
      </c>
      <c r="FE29" s="1">
        <v>23.765999999999998</v>
      </c>
      <c r="FF29" s="1">
        <v>52.765000000000001</v>
      </c>
      <c r="FG29" s="1">
        <v>13.182</v>
      </c>
      <c r="FH29" s="1">
        <v>22.898</v>
      </c>
      <c r="FI29" s="1">
        <v>23.765999999999998</v>
      </c>
      <c r="FJ29" s="1">
        <v>52.765000000000001</v>
      </c>
      <c r="FK29" s="1">
        <v>13.182</v>
      </c>
      <c r="FL29" s="1">
        <v>22.898</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26.952000000000002</v>
      </c>
      <c r="GD29" s="1">
        <v>24.664000000000001</v>
      </c>
      <c r="GE29" s="1">
        <v>39.228999999999999</v>
      </c>
      <c r="GF29" s="1">
        <v>20.478999999999999</v>
      </c>
      <c r="GG29" s="1">
        <v>26.952000000000002</v>
      </c>
      <c r="GH29" s="1">
        <v>24.664000000000001</v>
      </c>
      <c r="GI29" s="1">
        <v>39.228999999999999</v>
      </c>
      <c r="GJ29" s="1">
        <v>20.478999999999999</v>
      </c>
      <c r="GK29" s="1">
        <v>0</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254.88399999999999</v>
      </c>
      <c r="IP29" s="1">
        <v>228.614</v>
      </c>
      <c r="IQ29" s="1">
        <v>189.46899999999999</v>
      </c>
      <c r="IR29" s="1">
        <v>167.35499999999999</v>
      </c>
      <c r="IS29" s="1">
        <v>254.88399999999999</v>
      </c>
      <c r="IT29" s="1">
        <v>228.614</v>
      </c>
      <c r="IU29" s="1">
        <v>189.46899999999999</v>
      </c>
      <c r="IV29" s="1">
        <v>167.35499999999999</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0</v>
      </c>
      <c r="JO29" s="1">
        <v>0</v>
      </c>
      <c r="JP29" s="1">
        <v>0</v>
      </c>
      <c r="JQ29" s="9"/>
      <c r="JR29" s="1">
        <f t="shared" si="0"/>
        <v>1224.5272200000006</v>
      </c>
      <c r="JS29" s="1">
        <f t="shared" si="1"/>
        <v>453.18203999999935</v>
      </c>
      <c r="JT29" s="1">
        <f t="shared" si="2"/>
        <v>414.21861000000001</v>
      </c>
      <c r="JU29" s="1">
        <f t="shared" si="3"/>
        <v>340.77888000000058</v>
      </c>
      <c r="JV29" s="1">
        <f t="shared" si="4"/>
        <v>226.76430000000011</v>
      </c>
      <c r="JW29" s="1">
        <f t="shared" si="5"/>
        <v>83.922599999999875</v>
      </c>
      <c r="JX29" s="1">
        <f t="shared" si="6"/>
        <v>76.707149999999999</v>
      </c>
      <c r="JY29" s="1">
        <f t="shared" si="7"/>
        <v>63.107200000000105</v>
      </c>
    </row>
    <row r="30" spans="1:285" x14ac:dyDescent="0.35">
      <c r="A30" s="2" t="s">
        <v>37</v>
      </c>
      <c r="B30" s="1">
        <v>278496</v>
      </c>
      <c r="C30" s="1">
        <v>276454</v>
      </c>
      <c r="D30" s="1">
        <v>278000</v>
      </c>
      <c r="E30" s="1">
        <v>281135</v>
      </c>
      <c r="F30" s="1">
        <v>224505.15700000001</v>
      </c>
      <c r="G30" s="1">
        <v>230186.236</v>
      </c>
      <c r="H30" s="1">
        <v>240952.10800000001</v>
      </c>
      <c r="I30" s="1">
        <v>250131.42300000001</v>
      </c>
      <c r="J30" s="1">
        <f t="shared" si="8"/>
        <v>52470.663999999997</v>
      </c>
      <c r="K30" s="1">
        <f t="shared" si="9"/>
        <v>56352.498999999989</v>
      </c>
      <c r="L30" s="1">
        <f t="shared" si="10"/>
        <v>58807.599000000002</v>
      </c>
      <c r="M30" s="1">
        <f t="shared" si="11"/>
        <v>56030.949000000001</v>
      </c>
      <c r="N30" s="1">
        <f t="shared" si="12"/>
        <v>172034.49300000002</v>
      </c>
      <c r="O30" s="1">
        <f t="shared" si="13"/>
        <v>173833.73700000002</v>
      </c>
      <c r="P30" s="1">
        <f t="shared" si="14"/>
        <v>182144.50900000002</v>
      </c>
      <c r="Q30" s="1">
        <f t="shared" si="15"/>
        <v>194100.47400000002</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4473.5280000000002</v>
      </c>
      <c r="AQ30" s="1">
        <v>5950.9779999999992</v>
      </c>
      <c r="AR30" s="1">
        <v>5729.768</v>
      </c>
      <c r="AS30" s="1">
        <v>6514.7160000000003</v>
      </c>
      <c r="AT30" s="1">
        <v>4473.5280000000002</v>
      </c>
      <c r="AU30" s="1">
        <v>0</v>
      </c>
      <c r="AV30" s="1">
        <v>0</v>
      </c>
      <c r="AW30" s="1">
        <v>0</v>
      </c>
      <c r="AX30" s="1">
        <v>5655.7199999999993</v>
      </c>
      <c r="AY30" s="1">
        <v>295.25799999999981</v>
      </c>
      <c r="AZ30" s="1">
        <v>0</v>
      </c>
      <c r="BA30" s="1">
        <v>0</v>
      </c>
      <c r="BB30" s="1">
        <v>5729.768</v>
      </c>
      <c r="BC30" s="1">
        <v>0</v>
      </c>
      <c r="BD30" s="1">
        <v>0</v>
      </c>
      <c r="BE30" s="1">
        <v>0</v>
      </c>
      <c r="BF30" s="1">
        <v>6514.7160000000003</v>
      </c>
      <c r="BG30" s="1">
        <v>0</v>
      </c>
      <c r="BH30" s="1">
        <v>0</v>
      </c>
      <c r="BI30" s="1">
        <v>0</v>
      </c>
      <c r="BJ30" s="1">
        <v>0</v>
      </c>
      <c r="BK30" s="1">
        <v>0</v>
      </c>
      <c r="BL30" s="1">
        <v>0</v>
      </c>
      <c r="BM30" s="1">
        <v>0</v>
      </c>
      <c r="BN30" s="1">
        <v>0</v>
      </c>
      <c r="BO30" s="1">
        <v>0</v>
      </c>
      <c r="BP30" s="1">
        <v>0</v>
      </c>
      <c r="BQ30" s="1">
        <v>0</v>
      </c>
      <c r="BR30" s="1">
        <v>0</v>
      </c>
      <c r="BS30" s="1">
        <v>0</v>
      </c>
      <c r="BT30" s="1">
        <v>0</v>
      </c>
      <c r="BU30" s="1">
        <v>21792.491000000002</v>
      </c>
      <c r="BV30" s="1">
        <v>22512.822</v>
      </c>
      <c r="BW30" s="1">
        <v>20935.856</v>
      </c>
      <c r="BX30" s="1">
        <v>19110.780999999999</v>
      </c>
      <c r="BY30" s="1">
        <v>21719.064999999999</v>
      </c>
      <c r="BZ30" s="1">
        <v>22419.794000000002</v>
      </c>
      <c r="CA30" s="1">
        <v>20842.882000000001</v>
      </c>
      <c r="CB30" s="1">
        <v>19020.327000000001</v>
      </c>
      <c r="CC30" s="1">
        <v>73.426000000000002</v>
      </c>
      <c r="CD30" s="1">
        <v>93.028000000000006</v>
      </c>
      <c r="CE30" s="1">
        <v>92.97399999999999</v>
      </c>
      <c r="CF30" s="1">
        <v>90.454000000000008</v>
      </c>
      <c r="CG30" s="1">
        <v>0</v>
      </c>
      <c r="CH30" s="1">
        <v>0</v>
      </c>
      <c r="CI30" s="1">
        <v>0</v>
      </c>
      <c r="CJ30" s="1">
        <v>0</v>
      </c>
      <c r="CK30" s="1">
        <v>0</v>
      </c>
      <c r="CL30" s="1">
        <v>0</v>
      </c>
      <c r="CM30" s="1">
        <v>0</v>
      </c>
      <c r="CN30" s="1">
        <v>0</v>
      </c>
      <c r="CO30" s="1">
        <v>0</v>
      </c>
      <c r="CP30" s="1">
        <v>0</v>
      </c>
      <c r="CQ30" s="1">
        <v>0</v>
      </c>
      <c r="CR30" s="1">
        <v>0</v>
      </c>
      <c r="CS30" s="1">
        <v>1265.1949999999999</v>
      </c>
      <c r="CT30" s="1">
        <v>1224.136</v>
      </c>
      <c r="CU30" s="1">
        <v>5003.0170000000007</v>
      </c>
      <c r="CV30" s="1">
        <v>8088.6060000000007</v>
      </c>
      <c r="CW30" s="1">
        <v>1265.1949999999999</v>
      </c>
      <c r="CX30" s="1">
        <v>1224.136</v>
      </c>
      <c r="CY30" s="1">
        <v>5003.0170000000007</v>
      </c>
      <c r="CZ30" s="1">
        <v>8088.6060000000007</v>
      </c>
      <c r="DA30" s="1">
        <v>0</v>
      </c>
      <c r="DB30" s="1">
        <v>0</v>
      </c>
      <c r="DC30" s="1">
        <v>0</v>
      </c>
      <c r="DD30" s="1">
        <v>0</v>
      </c>
      <c r="DE30" s="1">
        <v>0</v>
      </c>
      <c r="DF30" s="1">
        <v>0</v>
      </c>
      <c r="DG30" s="1">
        <v>0</v>
      </c>
      <c r="DH30" s="1">
        <v>0</v>
      </c>
      <c r="DI30" s="1">
        <v>0</v>
      </c>
      <c r="DJ30" s="1">
        <v>0</v>
      </c>
      <c r="DK30" s="1">
        <v>0</v>
      </c>
      <c r="DL30" s="1">
        <v>0</v>
      </c>
      <c r="DM30" s="1">
        <v>8581.5540000000001</v>
      </c>
      <c r="DN30" s="1">
        <v>8314.1479999999992</v>
      </c>
      <c r="DO30" s="1">
        <v>7695.9759999999997</v>
      </c>
      <c r="DP30" s="1">
        <v>6717.7809999999999</v>
      </c>
      <c r="DQ30" s="1">
        <v>8581.5540000000001</v>
      </c>
      <c r="DR30" s="1">
        <v>8314.1479999999992</v>
      </c>
      <c r="DS30" s="1">
        <v>7695.9759999999997</v>
      </c>
      <c r="DT30" s="1">
        <v>6717.7809999999999</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6588.8059999999996</v>
      </c>
      <c r="EL30" s="1">
        <v>7709.2910000000002</v>
      </c>
      <c r="EM30" s="1">
        <v>9098.1460000000006</v>
      </c>
      <c r="EN30" s="1">
        <v>5209.1440000000002</v>
      </c>
      <c r="EO30" s="1">
        <v>6580.87</v>
      </c>
      <c r="EP30" s="1">
        <v>7701.8339999999998</v>
      </c>
      <c r="EQ30" s="1">
        <v>9090.4969999999994</v>
      </c>
      <c r="ER30" s="1">
        <v>5198.1769999999997</v>
      </c>
      <c r="ES30" s="1">
        <v>7.9359999999999999</v>
      </c>
      <c r="ET30" s="1">
        <v>7.4570000000000007</v>
      </c>
      <c r="EU30" s="1">
        <v>7.649</v>
      </c>
      <c r="EV30" s="1">
        <v>10.967000000000001</v>
      </c>
      <c r="EW30" s="1">
        <v>0</v>
      </c>
      <c r="EX30" s="1">
        <v>0</v>
      </c>
      <c r="EY30" s="1">
        <v>0</v>
      </c>
      <c r="EZ30" s="1">
        <v>0</v>
      </c>
      <c r="FA30" s="1">
        <v>0</v>
      </c>
      <c r="FB30" s="1">
        <v>0</v>
      </c>
      <c r="FC30" s="1">
        <v>0</v>
      </c>
      <c r="FD30" s="1">
        <v>0</v>
      </c>
      <c r="FE30" s="1">
        <v>451.03899999999999</v>
      </c>
      <c r="FF30" s="1">
        <v>642.65899999999999</v>
      </c>
      <c r="FG30" s="1">
        <v>810.79500000000007</v>
      </c>
      <c r="FH30" s="1">
        <v>668.66199999999992</v>
      </c>
      <c r="FI30" s="1">
        <v>319.65300000000002</v>
      </c>
      <c r="FJ30" s="1">
        <v>481.67899999999997</v>
      </c>
      <c r="FK30" s="1">
        <v>649.43499999999995</v>
      </c>
      <c r="FL30" s="1">
        <v>513.71699999999998</v>
      </c>
      <c r="FM30" s="1">
        <v>131.386</v>
      </c>
      <c r="FN30" s="1">
        <v>160.97999999999999</v>
      </c>
      <c r="FO30" s="1">
        <v>161.36000000000001</v>
      </c>
      <c r="FP30" s="1">
        <v>154.94499999999999</v>
      </c>
      <c r="FQ30" s="1">
        <v>0</v>
      </c>
      <c r="FR30" s="1">
        <v>0</v>
      </c>
      <c r="FS30" s="1">
        <v>0</v>
      </c>
      <c r="FT30" s="1">
        <v>0</v>
      </c>
      <c r="FU30" s="1">
        <v>0</v>
      </c>
      <c r="FV30" s="1">
        <v>0</v>
      </c>
      <c r="FW30" s="1">
        <v>0</v>
      </c>
      <c r="FX30" s="1">
        <v>0</v>
      </c>
      <c r="FY30" s="1">
        <v>0</v>
      </c>
      <c r="FZ30" s="1">
        <v>0</v>
      </c>
      <c r="GA30" s="1">
        <v>0</v>
      </c>
      <c r="GB30" s="1">
        <v>0</v>
      </c>
      <c r="GC30" s="1">
        <v>8720.2900000000009</v>
      </c>
      <c r="GD30" s="1">
        <v>9537.99</v>
      </c>
      <c r="GE30" s="1">
        <v>9153.2000000000007</v>
      </c>
      <c r="GF30" s="1">
        <v>9164.8799999999992</v>
      </c>
      <c r="GG30" s="1">
        <v>8555.4500000000007</v>
      </c>
      <c r="GH30" s="1">
        <v>9374.0499999999993</v>
      </c>
      <c r="GI30" s="1">
        <v>9110.8000000000011</v>
      </c>
      <c r="GJ30" s="1">
        <v>9164.8799999999992</v>
      </c>
      <c r="GK30" s="1">
        <v>164.84</v>
      </c>
      <c r="GL30" s="1">
        <v>163.94</v>
      </c>
      <c r="GM30" s="1">
        <v>42.4</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77.94</v>
      </c>
      <c r="HF30" s="1">
        <v>0</v>
      </c>
      <c r="HG30" s="1">
        <v>0</v>
      </c>
      <c r="HH30" s="1">
        <v>0</v>
      </c>
      <c r="HI30" s="1">
        <v>77.94</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519.82100000000003</v>
      </c>
      <c r="IP30" s="1">
        <v>460.47500000000002</v>
      </c>
      <c r="IQ30" s="1">
        <v>380.84100000000001</v>
      </c>
      <c r="IR30" s="1">
        <v>556.37900000000002</v>
      </c>
      <c r="IS30" s="1">
        <v>0</v>
      </c>
      <c r="IT30" s="1">
        <v>0</v>
      </c>
      <c r="IU30" s="1">
        <v>0</v>
      </c>
      <c r="IV30" s="1">
        <v>0</v>
      </c>
      <c r="IW30" s="1">
        <v>519.82100000000003</v>
      </c>
      <c r="IX30" s="1">
        <v>460.47500000000002</v>
      </c>
      <c r="IY30" s="1">
        <v>380.84100000000001</v>
      </c>
      <c r="IZ30" s="1">
        <v>556.37900000000002</v>
      </c>
      <c r="JA30" s="1">
        <v>0</v>
      </c>
      <c r="JB30" s="1">
        <v>0</v>
      </c>
      <c r="JC30" s="1">
        <v>0</v>
      </c>
      <c r="JD30" s="1">
        <v>0</v>
      </c>
      <c r="JE30" s="1">
        <v>0</v>
      </c>
      <c r="JF30" s="1">
        <v>0</v>
      </c>
      <c r="JG30" s="1">
        <v>0</v>
      </c>
      <c r="JH30" s="1">
        <v>0</v>
      </c>
      <c r="JI30" s="1">
        <v>0</v>
      </c>
      <c r="JJ30" s="1">
        <v>0</v>
      </c>
      <c r="JK30" s="1">
        <v>0</v>
      </c>
      <c r="JL30" s="1">
        <v>0</v>
      </c>
      <c r="JM30" s="1">
        <v>0</v>
      </c>
      <c r="JN30" s="1">
        <v>0</v>
      </c>
      <c r="JO30" s="1">
        <v>0</v>
      </c>
      <c r="JP30" s="1">
        <v>0</v>
      </c>
      <c r="JQ30" s="9"/>
      <c r="JR30" s="1">
        <f t="shared" si="0"/>
        <v>46449.31311000001</v>
      </c>
      <c r="JS30" s="1">
        <f t="shared" si="1"/>
        <v>46935.108990000008</v>
      </c>
      <c r="JT30" s="1">
        <f t="shared" si="2"/>
        <v>49179.017430000007</v>
      </c>
      <c r="JU30" s="1">
        <f t="shared" si="3"/>
        <v>52407.127980000005</v>
      </c>
      <c r="JV30" s="1">
        <f t="shared" si="4"/>
        <v>8601.7246500000019</v>
      </c>
      <c r="JW30" s="1">
        <f t="shared" si="5"/>
        <v>8691.6868500000019</v>
      </c>
      <c r="JX30" s="1">
        <f t="shared" si="6"/>
        <v>9107.2254500000017</v>
      </c>
      <c r="JY30" s="1">
        <f t="shared" si="7"/>
        <v>9705.0237000000016</v>
      </c>
    </row>
    <row r="31" spans="1:285" x14ac:dyDescent="0.35">
      <c r="A31" s="2" t="s">
        <v>38</v>
      </c>
      <c r="B31" s="1">
        <v>471851</v>
      </c>
      <c r="C31" s="1">
        <v>471285</v>
      </c>
      <c r="D31" s="1">
        <v>479639</v>
      </c>
      <c r="E31" s="1">
        <v>486376</v>
      </c>
      <c r="F31" s="1">
        <v>310010.83</v>
      </c>
      <c r="G31" s="1">
        <v>345600.24200000003</v>
      </c>
      <c r="H31" s="1">
        <v>328280.58899999998</v>
      </c>
      <c r="I31" s="1">
        <v>77057.165999999997</v>
      </c>
      <c r="J31" s="1">
        <f t="shared" si="8"/>
        <v>86865.760000000009</v>
      </c>
      <c r="K31" s="1">
        <f t="shared" si="9"/>
        <v>106360.696</v>
      </c>
      <c r="L31" s="1">
        <f t="shared" si="10"/>
        <v>103298.35900000001</v>
      </c>
      <c r="M31" s="1">
        <f t="shared" si="11"/>
        <v>34954.813000000002</v>
      </c>
      <c r="N31" s="1">
        <f t="shared" si="12"/>
        <v>223145.07</v>
      </c>
      <c r="O31" s="1">
        <f t="shared" si="13"/>
        <v>239239.54600000003</v>
      </c>
      <c r="P31" s="1">
        <f t="shared" si="14"/>
        <v>224982.22999999998</v>
      </c>
      <c r="Q31" s="1">
        <f t="shared" si="15"/>
        <v>42102.352999999996</v>
      </c>
      <c r="R31" s="1">
        <v>15965.44</v>
      </c>
      <c r="S31" s="1">
        <v>16283.46</v>
      </c>
      <c r="T31" s="1">
        <v>16065.4</v>
      </c>
      <c r="U31" s="1">
        <v>4491.72</v>
      </c>
      <c r="V31" s="1">
        <v>0</v>
      </c>
      <c r="W31" s="1">
        <v>0</v>
      </c>
      <c r="X31" s="1">
        <v>15965.44</v>
      </c>
      <c r="Y31" s="1">
        <v>0</v>
      </c>
      <c r="Z31" s="1">
        <v>0</v>
      </c>
      <c r="AA31" s="1">
        <v>16283.46</v>
      </c>
      <c r="AB31" s="1">
        <v>0</v>
      </c>
      <c r="AC31" s="1">
        <v>0</v>
      </c>
      <c r="AD31" s="1">
        <v>16065.4</v>
      </c>
      <c r="AE31" s="1">
        <v>0</v>
      </c>
      <c r="AF31" s="1">
        <v>0</v>
      </c>
      <c r="AG31" s="1">
        <v>4491.72</v>
      </c>
      <c r="AH31" s="1">
        <v>0</v>
      </c>
      <c r="AI31" s="1">
        <v>0</v>
      </c>
      <c r="AJ31" s="1">
        <v>0</v>
      </c>
      <c r="AK31" s="1">
        <v>0</v>
      </c>
      <c r="AL31" s="1">
        <v>0</v>
      </c>
      <c r="AM31" s="1">
        <v>0</v>
      </c>
      <c r="AN31" s="1">
        <v>0</v>
      </c>
      <c r="AO31" s="1">
        <v>0</v>
      </c>
      <c r="AP31" s="1">
        <v>12027.1</v>
      </c>
      <c r="AQ31" s="1">
        <v>10714.449999999999</v>
      </c>
      <c r="AR31" s="1">
        <v>11095.94</v>
      </c>
      <c r="AS31" s="4">
        <v>11280</v>
      </c>
      <c r="AT31" s="1">
        <v>0</v>
      </c>
      <c r="AU31" s="1">
        <v>12027.1</v>
      </c>
      <c r="AV31" s="1">
        <v>0</v>
      </c>
      <c r="AW31" s="1">
        <v>0</v>
      </c>
      <c r="AX31" s="1">
        <v>0</v>
      </c>
      <c r="AY31" s="1">
        <v>10714.449999999999</v>
      </c>
      <c r="AZ31" s="1">
        <v>0</v>
      </c>
      <c r="BA31" s="1">
        <v>0</v>
      </c>
      <c r="BB31" s="1">
        <v>0</v>
      </c>
      <c r="BC31" s="1">
        <v>11095.94</v>
      </c>
      <c r="BD31" s="1">
        <v>0</v>
      </c>
      <c r="BE31" s="1">
        <v>0</v>
      </c>
      <c r="BF31" s="1">
        <v>11280</v>
      </c>
      <c r="BG31" s="1">
        <v>0</v>
      </c>
      <c r="BH31" s="1">
        <v>0</v>
      </c>
      <c r="BI31" s="1">
        <v>0</v>
      </c>
      <c r="BJ31" s="1">
        <v>0</v>
      </c>
      <c r="BK31" s="1">
        <v>0</v>
      </c>
      <c r="BL31" s="1">
        <v>0</v>
      </c>
      <c r="BM31" s="1">
        <v>0</v>
      </c>
      <c r="BN31" s="1">
        <v>0</v>
      </c>
      <c r="BO31" s="1">
        <v>0</v>
      </c>
      <c r="BP31" s="1">
        <v>0</v>
      </c>
      <c r="BQ31" s="1">
        <v>0</v>
      </c>
      <c r="BR31" s="1">
        <v>0</v>
      </c>
      <c r="BS31" s="1">
        <v>0</v>
      </c>
      <c r="BT31" s="1">
        <v>0</v>
      </c>
      <c r="BU31" s="1">
        <v>18787.34</v>
      </c>
      <c r="BV31" s="1">
        <v>30689.07</v>
      </c>
      <c r="BW31" s="1">
        <v>25653.86</v>
      </c>
      <c r="BX31" s="1">
        <v>5835.68</v>
      </c>
      <c r="BY31" s="1">
        <v>18772.68</v>
      </c>
      <c r="BZ31" s="1">
        <v>30677.41</v>
      </c>
      <c r="CA31" s="1">
        <v>25638.74</v>
      </c>
      <c r="CB31" s="1">
        <v>5835.68</v>
      </c>
      <c r="CC31" s="1">
        <v>14.66</v>
      </c>
      <c r="CD31" s="1">
        <v>11.66</v>
      </c>
      <c r="CE31" s="1">
        <v>15.12</v>
      </c>
      <c r="CF31" s="1">
        <v>0</v>
      </c>
      <c r="CG31" s="1">
        <v>0</v>
      </c>
      <c r="CH31" s="1">
        <v>0</v>
      </c>
      <c r="CI31" s="1">
        <v>0</v>
      </c>
      <c r="CJ31" s="1">
        <v>0</v>
      </c>
      <c r="CK31" s="1">
        <v>0</v>
      </c>
      <c r="CL31" s="1">
        <v>0</v>
      </c>
      <c r="CM31" s="1">
        <v>0</v>
      </c>
      <c r="CN31" s="1">
        <v>0</v>
      </c>
      <c r="CO31" s="1">
        <v>0</v>
      </c>
      <c r="CP31" s="1">
        <v>0</v>
      </c>
      <c r="CQ31" s="1">
        <v>0</v>
      </c>
      <c r="CR31" s="1">
        <v>0</v>
      </c>
      <c r="CS31" s="1">
        <v>5311.81</v>
      </c>
      <c r="CT31" s="1">
        <v>5450.58</v>
      </c>
      <c r="CU31" s="1">
        <v>5426.41</v>
      </c>
      <c r="CV31" s="1">
        <v>1843.11</v>
      </c>
      <c r="CW31" s="1">
        <v>5311.81</v>
      </c>
      <c r="CX31" s="1">
        <v>5450.58</v>
      </c>
      <c r="CY31" s="1">
        <v>5426.41</v>
      </c>
      <c r="CZ31" s="1">
        <v>1843.11</v>
      </c>
      <c r="DA31" s="1">
        <v>0</v>
      </c>
      <c r="DB31" s="1">
        <v>0</v>
      </c>
      <c r="DC31" s="1">
        <v>0</v>
      </c>
      <c r="DD31" s="1">
        <v>0</v>
      </c>
      <c r="DE31" s="1">
        <v>0</v>
      </c>
      <c r="DF31" s="1">
        <v>0</v>
      </c>
      <c r="DG31" s="1">
        <v>0</v>
      </c>
      <c r="DH31" s="1">
        <v>0</v>
      </c>
      <c r="DI31" s="1">
        <v>0</v>
      </c>
      <c r="DJ31" s="1">
        <v>0</v>
      </c>
      <c r="DK31" s="1">
        <v>0</v>
      </c>
      <c r="DL31" s="1">
        <v>0</v>
      </c>
      <c r="DM31" s="1">
        <v>13540.52</v>
      </c>
      <c r="DN31" s="1">
        <v>12969.4</v>
      </c>
      <c r="DO31" s="1">
        <v>13469.86</v>
      </c>
      <c r="DP31" s="1">
        <v>3533.56</v>
      </c>
      <c r="DQ31" s="1">
        <v>13540.52</v>
      </c>
      <c r="DR31" s="1">
        <v>12969.4</v>
      </c>
      <c r="DS31" s="1">
        <v>13469.86</v>
      </c>
      <c r="DT31" s="1">
        <v>3533.56</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6943.33</v>
      </c>
      <c r="EL31" s="1">
        <v>6460.41</v>
      </c>
      <c r="EM31" s="1">
        <v>6834.603000000001</v>
      </c>
      <c r="EN31" s="1">
        <v>2020.41</v>
      </c>
      <c r="EO31" s="1">
        <v>6936.59</v>
      </c>
      <c r="EP31" s="1">
        <v>6448.25</v>
      </c>
      <c r="EQ31" s="1">
        <v>6805.7629999999999</v>
      </c>
      <c r="ER31" s="1">
        <v>2015.29</v>
      </c>
      <c r="ES31" s="1">
        <v>6.74</v>
      </c>
      <c r="ET31" s="1">
        <v>12.16</v>
      </c>
      <c r="EU31" s="1">
        <v>28.84</v>
      </c>
      <c r="EV31" s="1">
        <v>5.12</v>
      </c>
      <c r="EW31" s="1">
        <v>0</v>
      </c>
      <c r="EX31" s="1">
        <v>0</v>
      </c>
      <c r="EY31" s="1">
        <v>0</v>
      </c>
      <c r="EZ31" s="1">
        <v>0</v>
      </c>
      <c r="FA31" s="1">
        <v>0</v>
      </c>
      <c r="FB31" s="1">
        <v>0</v>
      </c>
      <c r="FC31" s="1">
        <v>0</v>
      </c>
      <c r="FD31" s="1">
        <v>0</v>
      </c>
      <c r="FE31" s="1">
        <v>801.26</v>
      </c>
      <c r="FF31" s="1">
        <v>426.66</v>
      </c>
      <c r="FG31" s="1">
        <v>703.56999999999994</v>
      </c>
      <c r="FH31" s="1">
        <v>75.66</v>
      </c>
      <c r="FI31" s="1">
        <v>582.07999999999993</v>
      </c>
      <c r="FJ31" s="1">
        <v>426.66</v>
      </c>
      <c r="FK31" s="1">
        <v>703.56999999999994</v>
      </c>
      <c r="FL31" s="1">
        <v>75.66</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1955.56</v>
      </c>
      <c r="GD31" s="1">
        <v>1910.13</v>
      </c>
      <c r="GE31" s="1">
        <v>2061.7600000000002</v>
      </c>
      <c r="GF31" s="1">
        <v>550.73</v>
      </c>
      <c r="GG31" s="1">
        <v>1955.56</v>
      </c>
      <c r="GH31" s="1">
        <v>1910.13</v>
      </c>
      <c r="GI31" s="1">
        <v>2061.7600000000002</v>
      </c>
      <c r="GJ31" s="1">
        <v>550.73</v>
      </c>
      <c r="GK31" s="1">
        <v>0</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7542.49</v>
      </c>
      <c r="HF31" s="1">
        <v>14973.715</v>
      </c>
      <c r="HG31" s="1">
        <v>17225.795999999998</v>
      </c>
      <c r="HH31" s="1">
        <v>4231.2330000000002</v>
      </c>
      <c r="HI31" s="1">
        <v>7542.49</v>
      </c>
      <c r="HJ31" s="1">
        <v>12871.31</v>
      </c>
      <c r="HK31" s="1">
        <v>15169.18</v>
      </c>
      <c r="HL31" s="1">
        <v>3628.47</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2102.4050000000002</v>
      </c>
      <c r="IE31" s="1">
        <v>2056.616</v>
      </c>
      <c r="IF31" s="1">
        <v>602.76300000000003</v>
      </c>
      <c r="IG31" s="1">
        <v>0</v>
      </c>
      <c r="IH31" s="1">
        <v>0</v>
      </c>
      <c r="II31" s="1">
        <v>0</v>
      </c>
      <c r="IJ31" s="1">
        <v>0</v>
      </c>
      <c r="IK31" s="1">
        <v>0</v>
      </c>
      <c r="IL31" s="1">
        <v>0</v>
      </c>
      <c r="IM31" s="1">
        <v>0</v>
      </c>
      <c r="IN31" s="1">
        <v>0</v>
      </c>
      <c r="IO31" s="1">
        <v>3990.91</v>
      </c>
      <c r="IP31" s="1">
        <v>6482.8209999999999</v>
      </c>
      <c r="IQ31" s="1">
        <v>4761.16</v>
      </c>
      <c r="IR31" s="1">
        <v>1092.71</v>
      </c>
      <c r="IS31" s="1">
        <v>3966.91</v>
      </c>
      <c r="IT31" s="1">
        <v>6213.06</v>
      </c>
      <c r="IU31" s="1">
        <v>4720.82</v>
      </c>
      <c r="IV31" s="1">
        <v>1065.98</v>
      </c>
      <c r="IW31" s="1">
        <v>24</v>
      </c>
      <c r="IX31" s="1">
        <v>0</v>
      </c>
      <c r="IY31" s="1">
        <v>40.340000000000003</v>
      </c>
      <c r="IZ31" s="1">
        <v>26.73</v>
      </c>
      <c r="JA31" s="1">
        <v>0</v>
      </c>
      <c r="JB31" s="1">
        <v>0</v>
      </c>
      <c r="JC31" s="1">
        <v>0</v>
      </c>
      <c r="JD31" s="1">
        <v>0</v>
      </c>
      <c r="JE31" s="1">
        <v>0</v>
      </c>
      <c r="JF31" s="1">
        <v>269.76100000000002</v>
      </c>
      <c r="JG31" s="1">
        <v>0</v>
      </c>
      <c r="JH31" s="1">
        <v>0</v>
      </c>
      <c r="JI31" s="1">
        <v>0</v>
      </c>
      <c r="JJ31" s="1">
        <v>0</v>
      </c>
      <c r="JK31" s="1">
        <v>0</v>
      </c>
      <c r="JL31" s="1">
        <v>0</v>
      </c>
      <c r="JM31" s="1">
        <v>0</v>
      </c>
      <c r="JN31" s="1">
        <v>0</v>
      </c>
      <c r="JO31" s="1">
        <v>0</v>
      </c>
      <c r="JP31" s="1">
        <v>0</v>
      </c>
      <c r="JQ31" s="9"/>
      <c r="JR31" s="1">
        <f t="shared" si="0"/>
        <v>60249.168900000004</v>
      </c>
      <c r="JS31" s="1">
        <f t="shared" si="1"/>
        <v>64594.677420000015</v>
      </c>
      <c r="JT31" s="1">
        <f t="shared" si="2"/>
        <v>60745.202100000002</v>
      </c>
      <c r="JU31" s="1">
        <f t="shared" si="3"/>
        <v>11367.63531</v>
      </c>
      <c r="JV31" s="1">
        <f t="shared" si="4"/>
        <v>11157.253500000001</v>
      </c>
      <c r="JW31" s="1">
        <f t="shared" si="5"/>
        <v>11961.977300000002</v>
      </c>
      <c r="JX31" s="1">
        <f t="shared" si="6"/>
        <v>11249.111499999999</v>
      </c>
      <c r="JY31" s="1">
        <f t="shared" si="7"/>
        <v>2105.1176499999997</v>
      </c>
    </row>
    <row r="32" spans="1:285" x14ac:dyDescent="0.35">
      <c r="A32" s="2" t="s">
        <v>39</v>
      </c>
      <c r="B32" s="1">
        <v>130760</v>
      </c>
      <c r="C32" s="1">
        <v>132238</v>
      </c>
      <c r="D32" s="1">
        <v>133839</v>
      </c>
      <c r="E32" s="1">
        <v>135997</v>
      </c>
      <c r="F32" s="1">
        <v>61211.822</v>
      </c>
      <c r="G32" s="1">
        <v>57160.010999999999</v>
      </c>
      <c r="H32" s="1">
        <v>63374.296000000002</v>
      </c>
      <c r="I32" s="1">
        <v>57231.32</v>
      </c>
      <c r="J32" s="1">
        <f t="shared" si="8"/>
        <v>37886.192999999999</v>
      </c>
      <c r="K32" s="1">
        <f t="shared" si="9"/>
        <v>37482.489000000009</v>
      </c>
      <c r="L32" s="1">
        <f t="shared" si="10"/>
        <v>36250.523000000001</v>
      </c>
      <c r="M32" s="1">
        <f t="shared" si="11"/>
        <v>38865.61</v>
      </c>
      <c r="N32" s="1">
        <f t="shared" si="12"/>
        <v>23325.629000000001</v>
      </c>
      <c r="O32" s="1">
        <f t="shared" si="13"/>
        <v>19677.52199999999</v>
      </c>
      <c r="P32" s="1">
        <f t="shared" si="14"/>
        <v>27123.773000000001</v>
      </c>
      <c r="Q32" s="1">
        <f t="shared" si="15"/>
        <v>18365.71</v>
      </c>
      <c r="R32" s="1">
        <v>2518.3000000000002</v>
      </c>
      <c r="S32" s="1">
        <v>2533.9299999999998</v>
      </c>
      <c r="T32" s="1">
        <v>2720.0189999999998</v>
      </c>
      <c r="U32" s="1">
        <v>3912.5299999999997</v>
      </c>
      <c r="V32" s="1">
        <v>2518.3000000000002</v>
      </c>
      <c r="W32" s="1">
        <v>0</v>
      </c>
      <c r="X32" s="1">
        <v>0</v>
      </c>
      <c r="Y32" s="1">
        <v>2533.9299999999998</v>
      </c>
      <c r="Z32" s="1">
        <v>0</v>
      </c>
      <c r="AA32" s="1">
        <v>0</v>
      </c>
      <c r="AB32" s="1">
        <v>2720.0189999999998</v>
      </c>
      <c r="AC32" s="1">
        <v>0</v>
      </c>
      <c r="AD32" s="1">
        <v>0</v>
      </c>
      <c r="AE32" s="1">
        <v>3912.5299999999997</v>
      </c>
      <c r="AF32" s="1">
        <v>0</v>
      </c>
      <c r="AG32" s="1">
        <v>0</v>
      </c>
      <c r="AH32" s="1">
        <v>0</v>
      </c>
      <c r="AI32" s="1">
        <v>0</v>
      </c>
      <c r="AJ32" s="1">
        <v>0</v>
      </c>
      <c r="AK32" s="1">
        <v>0</v>
      </c>
      <c r="AL32" s="1">
        <v>0</v>
      </c>
      <c r="AM32" s="1">
        <v>0</v>
      </c>
      <c r="AN32" s="1">
        <v>0</v>
      </c>
      <c r="AO32" s="1">
        <v>0</v>
      </c>
      <c r="AP32" s="1">
        <v>12364.960000000001</v>
      </c>
      <c r="AQ32" s="1">
        <v>13295.460000000001</v>
      </c>
      <c r="AR32" s="1">
        <v>10789.994000000001</v>
      </c>
      <c r="AS32" s="1">
        <v>12955.68</v>
      </c>
      <c r="AT32" s="1">
        <v>9668.6</v>
      </c>
      <c r="AU32" s="1">
        <v>2696.36</v>
      </c>
      <c r="AV32" s="1">
        <v>0</v>
      </c>
      <c r="AW32" s="1">
        <v>0</v>
      </c>
      <c r="AX32" s="1">
        <v>13277.320000000002</v>
      </c>
      <c r="AY32" s="1">
        <v>18.139999999999418</v>
      </c>
      <c r="AZ32" s="1">
        <v>0</v>
      </c>
      <c r="BA32" s="1">
        <v>0</v>
      </c>
      <c r="BB32" s="1">
        <v>0</v>
      </c>
      <c r="BC32" s="1">
        <v>10789.994000000001</v>
      </c>
      <c r="BD32" s="1">
        <v>0</v>
      </c>
      <c r="BE32" s="1">
        <v>0</v>
      </c>
      <c r="BF32" s="1">
        <v>12955.68</v>
      </c>
      <c r="BG32" s="1">
        <v>0</v>
      </c>
      <c r="BH32" s="1">
        <v>0</v>
      </c>
      <c r="BI32" s="1">
        <v>0</v>
      </c>
      <c r="BJ32" s="1">
        <v>0</v>
      </c>
      <c r="BK32" s="1">
        <v>0</v>
      </c>
      <c r="BL32" s="1">
        <v>0</v>
      </c>
      <c r="BM32" s="1">
        <v>0</v>
      </c>
      <c r="BN32" s="1">
        <v>0</v>
      </c>
      <c r="BO32" s="1">
        <v>0</v>
      </c>
      <c r="BP32" s="1">
        <v>0</v>
      </c>
      <c r="BQ32" s="1">
        <v>0</v>
      </c>
      <c r="BR32" s="1">
        <v>0</v>
      </c>
      <c r="BS32" s="1">
        <v>0</v>
      </c>
      <c r="BT32" s="1">
        <v>0</v>
      </c>
      <c r="BU32" s="1">
        <v>13148.564</v>
      </c>
      <c r="BV32" s="1">
        <v>11775.727999999999</v>
      </c>
      <c r="BW32" s="1">
        <v>13209.41</v>
      </c>
      <c r="BX32" s="1">
        <v>13190.21</v>
      </c>
      <c r="BY32" s="1">
        <v>13148.564</v>
      </c>
      <c r="BZ32" s="1">
        <v>11775.727999999999</v>
      </c>
      <c r="CA32" s="1">
        <v>13209.41</v>
      </c>
      <c r="CB32" s="1">
        <v>13190.21</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3557.9780000000001</v>
      </c>
      <c r="CT32" s="1">
        <v>4312.1949999999997</v>
      </c>
      <c r="CU32" s="1">
        <v>3534.46</v>
      </c>
      <c r="CV32" s="1">
        <v>2534.3200000000002</v>
      </c>
      <c r="CW32" s="1">
        <v>3557.9780000000001</v>
      </c>
      <c r="CX32" s="1">
        <v>4312.1949999999997</v>
      </c>
      <c r="CY32" s="1">
        <v>3534.46</v>
      </c>
      <c r="CZ32" s="1">
        <v>2534.3200000000002</v>
      </c>
      <c r="DA32" s="1">
        <v>0</v>
      </c>
      <c r="DB32" s="1">
        <v>0</v>
      </c>
      <c r="DC32" s="1">
        <v>0</v>
      </c>
      <c r="DD32" s="1">
        <v>0</v>
      </c>
      <c r="DE32" s="1">
        <v>0</v>
      </c>
      <c r="DF32" s="1">
        <v>0</v>
      </c>
      <c r="DG32" s="1">
        <v>0</v>
      </c>
      <c r="DH32" s="1">
        <v>0</v>
      </c>
      <c r="DI32" s="1">
        <v>0</v>
      </c>
      <c r="DJ32" s="1">
        <v>0</v>
      </c>
      <c r="DK32" s="1">
        <v>0</v>
      </c>
      <c r="DL32" s="1">
        <v>0</v>
      </c>
      <c r="DM32" s="1">
        <v>4203.3639999999996</v>
      </c>
      <c r="DN32" s="1">
        <v>3701.951</v>
      </c>
      <c r="DO32" s="1">
        <v>3653.62</v>
      </c>
      <c r="DP32" s="1">
        <v>3733.06</v>
      </c>
      <c r="DQ32" s="1">
        <v>4203.3639999999996</v>
      </c>
      <c r="DR32" s="1">
        <v>3701.951</v>
      </c>
      <c r="DS32" s="1">
        <v>3653.62</v>
      </c>
      <c r="DT32" s="1">
        <v>3733.06</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1104.8710000000001</v>
      </c>
      <c r="EL32" s="1">
        <v>1097.453</v>
      </c>
      <c r="EM32" s="1">
        <v>1223.58</v>
      </c>
      <c r="EN32" s="1">
        <v>1445.54</v>
      </c>
      <c r="EO32" s="1">
        <v>1104.8710000000001</v>
      </c>
      <c r="EP32" s="1">
        <v>1097.453</v>
      </c>
      <c r="EQ32" s="1">
        <v>1223.58</v>
      </c>
      <c r="ER32" s="1">
        <v>1445.54</v>
      </c>
      <c r="ES32" s="1">
        <v>0</v>
      </c>
      <c r="ET32" s="1">
        <v>0</v>
      </c>
      <c r="EU32" s="1">
        <v>0</v>
      </c>
      <c r="EV32" s="1">
        <v>0</v>
      </c>
      <c r="EW32" s="1">
        <v>0</v>
      </c>
      <c r="EX32" s="1">
        <v>0</v>
      </c>
      <c r="EY32" s="1">
        <v>0</v>
      </c>
      <c r="EZ32" s="1">
        <v>0</v>
      </c>
      <c r="FA32" s="1">
        <v>0</v>
      </c>
      <c r="FB32" s="1">
        <v>0</v>
      </c>
      <c r="FC32" s="1">
        <v>0</v>
      </c>
      <c r="FD32" s="1">
        <v>0</v>
      </c>
      <c r="FE32" s="1">
        <v>226.36</v>
      </c>
      <c r="FF32" s="1">
        <v>163.607</v>
      </c>
      <c r="FG32" s="1">
        <v>356.88</v>
      </c>
      <c r="FH32" s="1">
        <v>278.51</v>
      </c>
      <c r="FI32" s="1">
        <v>226.36</v>
      </c>
      <c r="FJ32" s="1">
        <v>163.607</v>
      </c>
      <c r="FK32" s="1">
        <v>356.88</v>
      </c>
      <c r="FL32" s="1">
        <v>278.51</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176.48</v>
      </c>
      <c r="GD32" s="1">
        <v>279.56</v>
      </c>
      <c r="GE32" s="1">
        <v>362.78</v>
      </c>
      <c r="GF32" s="1">
        <v>325.94</v>
      </c>
      <c r="GG32" s="1">
        <v>176.48</v>
      </c>
      <c r="GH32" s="1">
        <v>279.56</v>
      </c>
      <c r="GI32" s="1">
        <v>362.78</v>
      </c>
      <c r="GJ32" s="1">
        <v>325.94</v>
      </c>
      <c r="GK32" s="1">
        <v>0</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585.31600000000003</v>
      </c>
      <c r="IP32" s="1">
        <v>322.60500000000002</v>
      </c>
      <c r="IQ32" s="1">
        <v>399.78</v>
      </c>
      <c r="IR32" s="1">
        <v>489.82</v>
      </c>
      <c r="IS32" s="1">
        <v>585.31600000000003</v>
      </c>
      <c r="IT32" s="1">
        <v>322.60500000000002</v>
      </c>
      <c r="IU32" s="1">
        <v>399.78</v>
      </c>
      <c r="IV32" s="1">
        <v>489.82</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0</v>
      </c>
      <c r="JO32" s="1">
        <v>0</v>
      </c>
      <c r="JP32" s="1">
        <v>0</v>
      </c>
      <c r="JQ32" s="9"/>
      <c r="JR32" s="1">
        <f t="shared" si="0"/>
        <v>6297.9198300000007</v>
      </c>
      <c r="JS32" s="1">
        <f t="shared" si="1"/>
        <v>5312.9309399999975</v>
      </c>
      <c r="JT32" s="1">
        <f t="shared" si="2"/>
        <v>7323.4187100000008</v>
      </c>
      <c r="JU32" s="1">
        <f t="shared" si="3"/>
        <v>4958.7417000000005</v>
      </c>
      <c r="JV32" s="1">
        <f t="shared" si="4"/>
        <v>1166.2814500000002</v>
      </c>
      <c r="JW32" s="1">
        <f t="shared" si="5"/>
        <v>983.8760999999995</v>
      </c>
      <c r="JX32" s="1">
        <f t="shared" si="6"/>
        <v>1356.1886500000001</v>
      </c>
      <c r="JY32" s="1">
        <f t="shared" si="7"/>
        <v>918.28549999999996</v>
      </c>
    </row>
    <row r="33" spans="1:285" x14ac:dyDescent="0.35">
      <c r="A33" s="2" t="s">
        <v>40</v>
      </c>
      <c r="B33" s="1">
        <v>331247</v>
      </c>
      <c r="C33" s="1">
        <v>329899</v>
      </c>
      <c r="D33" s="1">
        <v>329930</v>
      </c>
      <c r="E33" s="1">
        <v>332482</v>
      </c>
      <c r="F33" s="1">
        <v>529518.85499999998</v>
      </c>
      <c r="G33" s="1">
        <v>368510.66200000001</v>
      </c>
      <c r="H33" s="1">
        <v>331499.32799999998</v>
      </c>
      <c r="I33" s="1">
        <v>329028.745</v>
      </c>
      <c r="J33" s="1">
        <f t="shared" si="8"/>
        <v>231952.73300000004</v>
      </c>
      <c r="K33" s="1">
        <f t="shared" si="9"/>
        <v>131076.30799999999</v>
      </c>
      <c r="L33" s="1">
        <f t="shared" si="10"/>
        <v>123634.77699999999</v>
      </c>
      <c r="M33" s="1">
        <f t="shared" si="11"/>
        <v>126341.974</v>
      </c>
      <c r="N33" s="1">
        <f t="shared" si="12"/>
        <v>297566.12199999997</v>
      </c>
      <c r="O33" s="1">
        <f t="shared" si="13"/>
        <v>237434.35400000002</v>
      </c>
      <c r="P33" s="1">
        <f t="shared" si="14"/>
        <v>207864.55099999998</v>
      </c>
      <c r="Q33" s="1">
        <f t="shared" si="15"/>
        <v>202686.77100000001</v>
      </c>
      <c r="R33" s="1">
        <v>11754.5</v>
      </c>
      <c r="S33" s="1">
        <v>11117.84</v>
      </c>
      <c r="T33" s="1">
        <v>10574.1</v>
      </c>
      <c r="U33" s="1">
        <v>9791.02</v>
      </c>
      <c r="V33" s="1">
        <v>11754.5</v>
      </c>
      <c r="W33" s="1">
        <v>0</v>
      </c>
      <c r="X33" s="1">
        <v>0</v>
      </c>
      <c r="Y33" s="1">
        <v>11117.84</v>
      </c>
      <c r="Z33" s="1">
        <v>0</v>
      </c>
      <c r="AA33" s="1">
        <v>0</v>
      </c>
      <c r="AB33" s="1">
        <v>0</v>
      </c>
      <c r="AC33" s="1">
        <v>0</v>
      </c>
      <c r="AD33" s="1">
        <v>10574.1</v>
      </c>
      <c r="AE33" s="1">
        <v>0</v>
      </c>
      <c r="AF33" s="1">
        <v>0</v>
      </c>
      <c r="AG33" s="1">
        <v>9791.02</v>
      </c>
      <c r="AH33" s="1">
        <v>0</v>
      </c>
      <c r="AI33" s="1">
        <v>0</v>
      </c>
      <c r="AJ33" s="1">
        <v>0</v>
      </c>
      <c r="AK33" s="1">
        <v>0</v>
      </c>
      <c r="AL33" s="1">
        <v>0</v>
      </c>
      <c r="AM33" s="1">
        <v>0</v>
      </c>
      <c r="AN33" s="1">
        <v>0</v>
      </c>
      <c r="AO33" s="1">
        <v>0</v>
      </c>
      <c r="AP33" s="1">
        <v>17445.900000000001</v>
      </c>
      <c r="AQ33" s="1">
        <v>19835.879999999997</v>
      </c>
      <c r="AR33" s="1">
        <v>17139.36</v>
      </c>
      <c r="AS33" s="1">
        <v>20032.940000000002</v>
      </c>
      <c r="AT33" s="1">
        <v>17445.900000000001</v>
      </c>
      <c r="AU33" s="1">
        <v>0</v>
      </c>
      <c r="AV33" s="1">
        <v>0</v>
      </c>
      <c r="AW33" s="1">
        <v>0</v>
      </c>
      <c r="AX33" s="1">
        <v>19835.879999999997</v>
      </c>
      <c r="AY33" s="1">
        <v>0</v>
      </c>
      <c r="AZ33" s="1">
        <v>0</v>
      </c>
      <c r="BA33" s="1">
        <v>0</v>
      </c>
      <c r="BB33" s="1">
        <v>17139.36</v>
      </c>
      <c r="BC33" s="1">
        <v>0</v>
      </c>
      <c r="BD33" s="1">
        <v>0</v>
      </c>
      <c r="BE33" s="1">
        <v>20032.940000000002</v>
      </c>
      <c r="BF33" s="1">
        <v>0</v>
      </c>
      <c r="BG33" s="1">
        <v>0</v>
      </c>
      <c r="BH33" s="1">
        <v>0</v>
      </c>
      <c r="BI33" s="1">
        <v>0</v>
      </c>
      <c r="BJ33" s="1">
        <v>0</v>
      </c>
      <c r="BK33" s="1">
        <v>0</v>
      </c>
      <c r="BL33" s="1">
        <v>0</v>
      </c>
      <c r="BM33" s="1">
        <v>0</v>
      </c>
      <c r="BN33" s="1">
        <v>0</v>
      </c>
      <c r="BO33" s="1">
        <v>0</v>
      </c>
      <c r="BP33" s="1">
        <v>0</v>
      </c>
      <c r="BQ33" s="1">
        <v>0</v>
      </c>
      <c r="BR33" s="1">
        <v>0</v>
      </c>
      <c r="BS33" s="1">
        <v>0</v>
      </c>
      <c r="BT33" s="1">
        <v>0</v>
      </c>
      <c r="BU33" s="1">
        <v>34531.839999999997</v>
      </c>
      <c r="BV33" s="1">
        <v>19436.254000000001</v>
      </c>
      <c r="BW33" s="1">
        <v>12153.29</v>
      </c>
      <c r="BX33" s="1">
        <v>11673.8</v>
      </c>
      <c r="BY33" s="1">
        <v>34531.839999999997</v>
      </c>
      <c r="BZ33" s="1">
        <v>17622.103999999999</v>
      </c>
      <c r="CA33" s="1">
        <v>12153.29</v>
      </c>
      <c r="CB33" s="1">
        <v>11673.8</v>
      </c>
      <c r="CC33" s="1">
        <v>0</v>
      </c>
      <c r="CD33" s="1">
        <v>0</v>
      </c>
      <c r="CE33" s="1">
        <v>0</v>
      </c>
      <c r="CF33" s="1">
        <v>0</v>
      </c>
      <c r="CG33" s="1">
        <v>0</v>
      </c>
      <c r="CH33" s="1">
        <v>0</v>
      </c>
      <c r="CI33" s="1">
        <v>0</v>
      </c>
      <c r="CJ33" s="1">
        <v>0</v>
      </c>
      <c r="CK33" s="1">
        <v>0</v>
      </c>
      <c r="CL33" s="1">
        <v>1814.15</v>
      </c>
      <c r="CM33" s="1">
        <v>0</v>
      </c>
      <c r="CN33" s="1">
        <v>0</v>
      </c>
      <c r="CO33" s="1">
        <v>0</v>
      </c>
      <c r="CP33" s="1">
        <v>0</v>
      </c>
      <c r="CQ33" s="1">
        <v>0</v>
      </c>
      <c r="CR33" s="1">
        <v>0</v>
      </c>
      <c r="CS33" s="1">
        <v>14858.027</v>
      </c>
      <c r="CT33" s="1">
        <v>18088.810000000001</v>
      </c>
      <c r="CU33" s="1">
        <v>24556.65</v>
      </c>
      <c r="CV33" s="1">
        <v>28977.33</v>
      </c>
      <c r="CW33" s="1">
        <v>14858.027</v>
      </c>
      <c r="CX33" s="1">
        <v>18088.810000000001</v>
      </c>
      <c r="CY33" s="1">
        <v>24556.65</v>
      </c>
      <c r="CZ33" s="1">
        <v>28977.33</v>
      </c>
      <c r="DA33" s="1">
        <v>0</v>
      </c>
      <c r="DB33" s="1">
        <v>0</v>
      </c>
      <c r="DC33" s="1">
        <v>0</v>
      </c>
      <c r="DD33" s="1">
        <v>0</v>
      </c>
      <c r="DE33" s="1">
        <v>0</v>
      </c>
      <c r="DF33" s="1">
        <v>0</v>
      </c>
      <c r="DG33" s="1">
        <v>0</v>
      </c>
      <c r="DH33" s="1">
        <v>0</v>
      </c>
      <c r="DI33" s="1">
        <v>0</v>
      </c>
      <c r="DJ33" s="1">
        <v>0</v>
      </c>
      <c r="DK33" s="1">
        <v>0</v>
      </c>
      <c r="DL33" s="1">
        <v>0</v>
      </c>
      <c r="DM33" s="1">
        <v>29221.906999999999</v>
      </c>
      <c r="DN33" s="1">
        <v>17379.116000000002</v>
      </c>
      <c r="DO33" s="1">
        <v>12770.975</v>
      </c>
      <c r="DP33" s="1">
        <v>12238.45</v>
      </c>
      <c r="DQ33" s="1">
        <v>29221.906999999999</v>
      </c>
      <c r="DR33" s="1">
        <v>17379.116000000002</v>
      </c>
      <c r="DS33" s="1">
        <v>12770.975</v>
      </c>
      <c r="DT33" s="1">
        <v>12238.45</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55644.578999999998</v>
      </c>
      <c r="EL33" s="1">
        <v>28257.61</v>
      </c>
      <c r="EM33" s="1">
        <v>35165.574999999997</v>
      </c>
      <c r="EN33" s="1">
        <v>31460.197</v>
      </c>
      <c r="EO33" s="1">
        <v>55644.578999999998</v>
      </c>
      <c r="EP33" s="1">
        <v>28257.61</v>
      </c>
      <c r="EQ33" s="1">
        <v>35165.574999999997</v>
      </c>
      <c r="ER33" s="1">
        <v>31460.197</v>
      </c>
      <c r="ES33" s="1">
        <v>0</v>
      </c>
      <c r="ET33" s="1">
        <v>0</v>
      </c>
      <c r="EU33" s="1">
        <v>0</v>
      </c>
      <c r="EV33" s="1">
        <v>0</v>
      </c>
      <c r="EW33" s="1">
        <v>0</v>
      </c>
      <c r="EX33" s="1">
        <v>0</v>
      </c>
      <c r="EY33" s="1">
        <v>0</v>
      </c>
      <c r="EZ33" s="1">
        <v>0</v>
      </c>
      <c r="FA33" s="1">
        <v>0</v>
      </c>
      <c r="FB33" s="1">
        <v>0</v>
      </c>
      <c r="FC33" s="1">
        <v>0</v>
      </c>
      <c r="FD33" s="1">
        <v>0</v>
      </c>
      <c r="FE33" s="1">
        <v>17000.919999999998</v>
      </c>
      <c r="FF33" s="1">
        <v>3910.2370000000001</v>
      </c>
      <c r="FG33" s="1">
        <v>314.8</v>
      </c>
      <c r="FH33" s="1">
        <v>261.82</v>
      </c>
      <c r="FI33" s="1">
        <v>17000.919999999998</v>
      </c>
      <c r="FJ33" s="1">
        <v>3910.2370000000001</v>
      </c>
      <c r="FK33" s="1">
        <v>314.8</v>
      </c>
      <c r="FL33" s="1">
        <v>261.82</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17492.66</v>
      </c>
      <c r="GD33" s="1">
        <v>3874.89</v>
      </c>
      <c r="GE33" s="1">
        <v>3299.4</v>
      </c>
      <c r="GF33" s="1">
        <v>2605.38</v>
      </c>
      <c r="GG33" s="1">
        <v>17492.66</v>
      </c>
      <c r="GH33" s="1">
        <v>3874.89</v>
      </c>
      <c r="GI33" s="1">
        <v>3299.4</v>
      </c>
      <c r="GJ33" s="1">
        <v>2605.38</v>
      </c>
      <c r="GK33" s="1">
        <v>0</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17000.919999999998</v>
      </c>
      <c r="HF33" s="1">
        <v>1836.62</v>
      </c>
      <c r="HG33" s="1">
        <v>1592.0060000000001</v>
      </c>
      <c r="HH33" s="1">
        <v>5710.8380000000006</v>
      </c>
      <c r="HI33" s="1">
        <v>17000.919999999998</v>
      </c>
      <c r="HJ33" s="1">
        <v>938.78</v>
      </c>
      <c r="HK33" s="1">
        <v>0</v>
      </c>
      <c r="HL33" s="1">
        <v>2525.8200000000002</v>
      </c>
      <c r="HM33" s="1">
        <v>0</v>
      </c>
      <c r="HN33" s="1">
        <v>0</v>
      </c>
      <c r="HO33" s="1">
        <v>0</v>
      </c>
      <c r="HP33" s="1">
        <v>0</v>
      </c>
      <c r="HQ33" s="1">
        <v>0</v>
      </c>
      <c r="HR33" s="1">
        <v>0</v>
      </c>
      <c r="HS33" s="1">
        <v>1592.0060000000001</v>
      </c>
      <c r="HT33" s="1">
        <v>2772.8780000000002</v>
      </c>
      <c r="HU33" s="1">
        <v>0</v>
      </c>
      <c r="HV33" s="1">
        <v>0</v>
      </c>
      <c r="HW33" s="1">
        <v>0</v>
      </c>
      <c r="HX33" s="1">
        <v>0</v>
      </c>
      <c r="HY33" s="1">
        <v>0</v>
      </c>
      <c r="HZ33" s="1">
        <v>0</v>
      </c>
      <c r="IA33" s="1">
        <v>0</v>
      </c>
      <c r="IB33" s="1">
        <v>0</v>
      </c>
      <c r="IC33" s="1">
        <v>0</v>
      </c>
      <c r="ID33" s="1">
        <v>897.84</v>
      </c>
      <c r="IE33" s="1">
        <v>0</v>
      </c>
      <c r="IF33" s="1">
        <v>412.14</v>
      </c>
      <c r="IG33" s="1">
        <v>0</v>
      </c>
      <c r="IH33" s="1">
        <v>0</v>
      </c>
      <c r="II33" s="1">
        <v>0</v>
      </c>
      <c r="IJ33" s="1">
        <v>0</v>
      </c>
      <c r="IK33" s="1">
        <v>0</v>
      </c>
      <c r="IL33" s="1">
        <v>0</v>
      </c>
      <c r="IM33" s="1">
        <v>0</v>
      </c>
      <c r="IN33" s="1">
        <v>0</v>
      </c>
      <c r="IO33" s="1">
        <v>17001.48</v>
      </c>
      <c r="IP33" s="1">
        <v>7339.0509999999986</v>
      </c>
      <c r="IQ33" s="1">
        <v>6068.6210000000001</v>
      </c>
      <c r="IR33" s="1">
        <v>3590.1990000000001</v>
      </c>
      <c r="IS33" s="1">
        <v>17001.48</v>
      </c>
      <c r="IT33" s="1">
        <v>7339.0509999999986</v>
      </c>
      <c r="IU33" s="1">
        <v>6068.6210000000001</v>
      </c>
      <c r="IV33" s="1">
        <v>3590.1990000000001</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0</v>
      </c>
      <c r="JO33" s="1">
        <v>0</v>
      </c>
      <c r="JP33" s="1">
        <v>0</v>
      </c>
      <c r="JQ33" s="9"/>
      <c r="JR33" s="1">
        <f t="shared" si="0"/>
        <v>80342.852939999997</v>
      </c>
      <c r="JS33" s="1">
        <f t="shared" si="1"/>
        <v>64107.275580000009</v>
      </c>
      <c r="JT33" s="1">
        <f t="shared" si="2"/>
        <v>56123.428769999999</v>
      </c>
      <c r="JU33" s="1">
        <f t="shared" si="3"/>
        <v>54725.428170000007</v>
      </c>
      <c r="JV33" s="1">
        <f t="shared" si="4"/>
        <v>14878.3061</v>
      </c>
      <c r="JW33" s="1">
        <f t="shared" si="5"/>
        <v>11871.717700000001</v>
      </c>
      <c r="JX33" s="1">
        <f t="shared" si="6"/>
        <v>10393.22755</v>
      </c>
      <c r="JY33" s="1">
        <f t="shared" si="7"/>
        <v>10134.33855</v>
      </c>
    </row>
    <row r="34" spans="1:285" x14ac:dyDescent="0.35">
      <c r="A34" s="2" t="s">
        <v>41</v>
      </c>
      <c r="B34" s="1">
        <v>98837</v>
      </c>
      <c r="C34" s="1">
        <v>99449</v>
      </c>
      <c r="D34" s="1">
        <v>100231</v>
      </c>
      <c r="E34" s="1">
        <v>101006</v>
      </c>
      <c r="F34" s="1">
        <v>41715.696000000004</v>
      </c>
      <c r="G34" s="1">
        <v>39995.017999999996</v>
      </c>
      <c r="H34" s="1">
        <v>33367.249000000003</v>
      </c>
      <c r="I34" s="1">
        <v>33734.224999999999</v>
      </c>
      <c r="J34" s="1">
        <f t="shared" si="8"/>
        <v>26699.224999999995</v>
      </c>
      <c r="K34" s="1">
        <f t="shared" si="9"/>
        <v>25234.583000000002</v>
      </c>
      <c r="L34" s="1">
        <f t="shared" si="10"/>
        <v>19440.679</v>
      </c>
      <c r="M34" s="1">
        <f t="shared" si="11"/>
        <v>21094.200999999997</v>
      </c>
      <c r="N34" s="1">
        <f t="shared" si="12"/>
        <v>15016.471000000009</v>
      </c>
      <c r="O34" s="1">
        <f t="shared" si="13"/>
        <v>14760.434999999994</v>
      </c>
      <c r="P34" s="1">
        <f t="shared" si="14"/>
        <v>13926.570000000003</v>
      </c>
      <c r="Q34" s="1">
        <f t="shared" si="15"/>
        <v>12640.024000000001</v>
      </c>
      <c r="R34" s="1">
        <v>0</v>
      </c>
      <c r="S34" s="1">
        <v>0</v>
      </c>
      <c r="T34" s="1">
        <v>0</v>
      </c>
      <c r="U34" s="1">
        <v>0</v>
      </c>
      <c r="V34" s="1">
        <v>0</v>
      </c>
      <c r="W34" s="1">
        <v>0</v>
      </c>
      <c r="X34" s="1">
        <v>0</v>
      </c>
      <c r="Y34" s="1">
        <v>0</v>
      </c>
      <c r="Z34" s="1">
        <v>0</v>
      </c>
      <c r="AA34" s="1">
        <v>0</v>
      </c>
      <c r="AB34" s="1">
        <v>0</v>
      </c>
      <c r="AC34" s="1">
        <v>0</v>
      </c>
      <c r="AD34" s="1">
        <v>0</v>
      </c>
      <c r="AE34" s="1">
        <v>0</v>
      </c>
      <c r="AF34" s="1">
        <v>0</v>
      </c>
      <c r="AG34" s="1">
        <v>0</v>
      </c>
      <c r="AH34" s="1">
        <v>0</v>
      </c>
      <c r="AI34" s="1">
        <v>0</v>
      </c>
      <c r="AJ34" s="1">
        <v>0</v>
      </c>
      <c r="AK34" s="1">
        <v>0</v>
      </c>
      <c r="AL34" s="1">
        <v>0</v>
      </c>
      <c r="AM34" s="1">
        <v>0</v>
      </c>
      <c r="AN34" s="1">
        <v>0</v>
      </c>
      <c r="AO34" s="1">
        <v>0</v>
      </c>
      <c r="AP34" s="1">
        <v>6795.1409999999996</v>
      </c>
      <c r="AQ34" s="1">
        <v>7373.32</v>
      </c>
      <c r="AR34" s="1">
        <v>6780.9599999999991</v>
      </c>
      <c r="AS34" s="1">
        <v>7339.46</v>
      </c>
      <c r="AT34" s="1">
        <v>0</v>
      </c>
      <c r="AU34" s="1">
        <v>6795.1409999999996</v>
      </c>
      <c r="AV34" s="1">
        <v>0</v>
      </c>
      <c r="AW34" s="1">
        <v>0</v>
      </c>
      <c r="AX34" s="1">
        <v>0</v>
      </c>
      <c r="AY34" s="1">
        <v>7373.32</v>
      </c>
      <c r="AZ34" s="1">
        <v>0</v>
      </c>
      <c r="BA34" s="1">
        <v>0</v>
      </c>
      <c r="BB34" s="1">
        <v>0</v>
      </c>
      <c r="BC34" s="1">
        <v>6780.9599999999991</v>
      </c>
      <c r="BD34" s="1">
        <v>0</v>
      </c>
      <c r="BE34" s="1">
        <v>0</v>
      </c>
      <c r="BF34" s="1">
        <v>7339.46</v>
      </c>
      <c r="BG34" s="1">
        <v>0</v>
      </c>
      <c r="BH34" s="1">
        <v>0</v>
      </c>
      <c r="BI34" s="1">
        <v>0</v>
      </c>
      <c r="BJ34" s="1">
        <v>0</v>
      </c>
      <c r="BK34" s="1">
        <v>0</v>
      </c>
      <c r="BL34" s="1">
        <v>0</v>
      </c>
      <c r="BM34" s="1">
        <v>0</v>
      </c>
      <c r="BN34" s="1">
        <v>0</v>
      </c>
      <c r="BO34" s="1">
        <v>0</v>
      </c>
      <c r="BP34" s="1">
        <v>0</v>
      </c>
      <c r="BQ34" s="1">
        <v>0</v>
      </c>
      <c r="BR34" s="1">
        <v>0</v>
      </c>
      <c r="BS34" s="1">
        <v>0</v>
      </c>
      <c r="BT34" s="1">
        <v>0</v>
      </c>
      <c r="BU34" s="1">
        <v>9328.3149999999987</v>
      </c>
      <c r="BV34" s="1">
        <v>8565.5930000000008</v>
      </c>
      <c r="BW34" s="1">
        <v>6100.1420000000007</v>
      </c>
      <c r="BX34" s="1">
        <v>7054.2849999999999</v>
      </c>
      <c r="BY34" s="1">
        <v>9328.3149999999987</v>
      </c>
      <c r="BZ34" s="1">
        <v>8565.5930000000008</v>
      </c>
      <c r="CA34" s="1">
        <v>6100.1420000000007</v>
      </c>
      <c r="CB34" s="1">
        <v>7054.2849999999999</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3659.05</v>
      </c>
      <c r="CT34" s="1">
        <v>3527.71</v>
      </c>
      <c r="CU34" s="1">
        <v>1648.14</v>
      </c>
      <c r="CV34" s="1">
        <v>2676.48</v>
      </c>
      <c r="CW34" s="1">
        <v>3659.05</v>
      </c>
      <c r="CX34" s="1">
        <v>3527.71</v>
      </c>
      <c r="CY34" s="1">
        <v>1648.14</v>
      </c>
      <c r="CZ34" s="1">
        <v>2676.48</v>
      </c>
      <c r="DA34" s="1">
        <v>0</v>
      </c>
      <c r="DB34" s="1">
        <v>0</v>
      </c>
      <c r="DC34" s="1">
        <v>0</v>
      </c>
      <c r="DD34" s="1">
        <v>0</v>
      </c>
      <c r="DE34" s="1">
        <v>0</v>
      </c>
      <c r="DF34" s="1">
        <v>0</v>
      </c>
      <c r="DG34" s="1">
        <v>0</v>
      </c>
      <c r="DH34" s="1">
        <v>0</v>
      </c>
      <c r="DI34" s="1">
        <v>0</v>
      </c>
      <c r="DJ34" s="1">
        <v>0</v>
      </c>
      <c r="DK34" s="1">
        <v>0</v>
      </c>
      <c r="DL34" s="1">
        <v>0</v>
      </c>
      <c r="DM34" s="1">
        <v>3803.35</v>
      </c>
      <c r="DN34" s="1">
        <v>4169.8599999999997</v>
      </c>
      <c r="DO34" s="1">
        <v>3445.23</v>
      </c>
      <c r="DP34" s="1">
        <v>3167.41</v>
      </c>
      <c r="DQ34" s="1">
        <v>3803.35</v>
      </c>
      <c r="DR34" s="1">
        <v>4169.8599999999997</v>
      </c>
      <c r="DS34" s="1">
        <v>3445.23</v>
      </c>
      <c r="DT34" s="1">
        <v>3167.41</v>
      </c>
      <c r="DU34" s="1">
        <v>0</v>
      </c>
      <c r="DV34" s="1">
        <v>0</v>
      </c>
      <c r="DW34" s="1">
        <v>0</v>
      </c>
      <c r="DX34" s="1">
        <v>0</v>
      </c>
      <c r="DY34" s="1">
        <v>0</v>
      </c>
      <c r="DZ34" s="1">
        <v>0</v>
      </c>
      <c r="EA34" s="1">
        <v>0</v>
      </c>
      <c r="EB34" s="1">
        <v>0</v>
      </c>
      <c r="EC34" s="1">
        <v>0</v>
      </c>
      <c r="ED34" s="1">
        <v>0</v>
      </c>
      <c r="EE34" s="1">
        <v>0</v>
      </c>
      <c r="EF34" s="1">
        <v>0</v>
      </c>
      <c r="EG34" s="1">
        <v>0</v>
      </c>
      <c r="EH34" s="1">
        <v>0</v>
      </c>
      <c r="EI34" s="1">
        <v>0</v>
      </c>
      <c r="EJ34" s="1">
        <v>0</v>
      </c>
      <c r="EK34" s="1">
        <v>2835.1</v>
      </c>
      <c r="EL34" s="1">
        <v>1092.06</v>
      </c>
      <c r="EM34" s="1">
        <v>935.16000000000008</v>
      </c>
      <c r="EN34" s="1">
        <v>467.78</v>
      </c>
      <c r="EO34" s="1">
        <v>2834.94</v>
      </c>
      <c r="EP34" s="1">
        <v>1091.52</v>
      </c>
      <c r="EQ34" s="1">
        <v>934.27</v>
      </c>
      <c r="ER34" s="1">
        <v>466.31</v>
      </c>
      <c r="ES34" s="1">
        <v>0.16</v>
      </c>
      <c r="ET34" s="1">
        <v>0.54</v>
      </c>
      <c r="EU34" s="1">
        <v>0.8899999999999999</v>
      </c>
      <c r="EV34" s="1">
        <v>1.47</v>
      </c>
      <c r="EW34" s="1">
        <v>0</v>
      </c>
      <c r="EX34" s="1">
        <v>0</v>
      </c>
      <c r="EY34" s="1">
        <v>0</v>
      </c>
      <c r="EZ34" s="1">
        <v>0</v>
      </c>
      <c r="FA34" s="1">
        <v>0</v>
      </c>
      <c r="FB34" s="1">
        <v>0</v>
      </c>
      <c r="FC34" s="1">
        <v>0</v>
      </c>
      <c r="FD34" s="1">
        <v>0</v>
      </c>
      <c r="FE34" s="1">
        <v>2.8069999999999999</v>
      </c>
      <c r="FF34" s="1">
        <v>12.308</v>
      </c>
      <c r="FG34" s="1">
        <v>19.555</v>
      </c>
      <c r="FH34" s="1">
        <v>15.256</v>
      </c>
      <c r="FI34" s="1">
        <v>2.8069999999999999</v>
      </c>
      <c r="FJ34" s="1">
        <v>12.308</v>
      </c>
      <c r="FK34" s="1">
        <v>19.555</v>
      </c>
      <c r="FL34" s="1">
        <v>15.256</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84.557000000000002</v>
      </c>
      <c r="GD34" s="1">
        <v>92.270999999999987</v>
      </c>
      <c r="GE34" s="1">
        <v>130.596</v>
      </c>
      <c r="GF34" s="1">
        <v>97.155000000000001</v>
      </c>
      <c r="GG34" s="1">
        <v>13.752000000000001</v>
      </c>
      <c r="GH34" s="1">
        <v>9.68</v>
      </c>
      <c r="GI34" s="1">
        <v>20.38</v>
      </c>
      <c r="GJ34" s="1">
        <v>20.100000000000001</v>
      </c>
      <c r="GK34" s="1">
        <v>70.805000000000007</v>
      </c>
      <c r="GL34" s="1">
        <v>82.590999999999994</v>
      </c>
      <c r="GM34" s="1">
        <v>110.21599999999999</v>
      </c>
      <c r="GN34" s="1">
        <v>77.055000000000007</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190.905</v>
      </c>
      <c r="IP34" s="1">
        <v>401.46100000000001</v>
      </c>
      <c r="IQ34" s="1">
        <v>380.89600000000002</v>
      </c>
      <c r="IR34" s="1">
        <v>276.375</v>
      </c>
      <c r="IS34" s="1">
        <v>120.1</v>
      </c>
      <c r="IT34" s="1">
        <v>318.87</v>
      </c>
      <c r="IU34" s="1">
        <v>270.68</v>
      </c>
      <c r="IV34" s="1">
        <v>199.32</v>
      </c>
      <c r="IW34" s="1">
        <v>70.805000000000007</v>
      </c>
      <c r="IX34" s="1">
        <v>82.590999999999994</v>
      </c>
      <c r="IY34" s="1">
        <v>110.21599999999999</v>
      </c>
      <c r="IZ34" s="1">
        <v>77.055000000000007</v>
      </c>
      <c r="JA34" s="1">
        <v>0</v>
      </c>
      <c r="JB34" s="1">
        <v>0</v>
      </c>
      <c r="JC34" s="1">
        <v>0</v>
      </c>
      <c r="JD34" s="1">
        <v>0</v>
      </c>
      <c r="JE34" s="1">
        <v>0</v>
      </c>
      <c r="JF34" s="1">
        <v>0</v>
      </c>
      <c r="JG34" s="1">
        <v>0</v>
      </c>
      <c r="JH34" s="1">
        <v>0</v>
      </c>
      <c r="JI34" s="1">
        <v>0</v>
      </c>
      <c r="JJ34" s="1">
        <v>0</v>
      </c>
      <c r="JK34" s="1">
        <v>0</v>
      </c>
      <c r="JL34" s="1">
        <v>0</v>
      </c>
      <c r="JM34" s="1">
        <v>0</v>
      </c>
      <c r="JN34" s="1">
        <v>0</v>
      </c>
      <c r="JO34" s="1">
        <v>0</v>
      </c>
      <c r="JP34" s="1">
        <v>0</v>
      </c>
      <c r="JQ34" s="9"/>
      <c r="JR34" s="1">
        <f t="shared" ref="JR34:JR65" si="16">27%*N34</f>
        <v>4054.4471700000026</v>
      </c>
      <c r="JS34" s="1">
        <f t="shared" ref="JS34:JS65" si="17">27%*O34</f>
        <v>3985.3174499999986</v>
      </c>
      <c r="JT34" s="1">
        <f t="shared" ref="JT34:JT65" si="18">27%*P34</f>
        <v>3760.1739000000011</v>
      </c>
      <c r="JU34" s="1">
        <f t="shared" ref="JU34:JU65" si="19">27%*Q34</f>
        <v>3412.8064800000006</v>
      </c>
      <c r="JV34" s="1">
        <f t="shared" ref="JV34:JV65" si="20">5%*N34</f>
        <v>750.82355000000052</v>
      </c>
      <c r="JW34" s="1">
        <f t="shared" ref="JW34:JW65" si="21">5%*O34</f>
        <v>738.02174999999977</v>
      </c>
      <c r="JX34" s="1">
        <f t="shared" ref="JX34:JX65" si="22">5%*P34</f>
        <v>696.32850000000019</v>
      </c>
      <c r="JY34" s="1">
        <f t="shared" ref="JY34:JY65" si="23">5%*Q34</f>
        <v>632.00120000000015</v>
      </c>
    </row>
    <row r="35" spans="1:285" x14ac:dyDescent="0.35">
      <c r="A35" s="2" t="s">
        <v>42</v>
      </c>
      <c r="B35" s="1">
        <v>99311</v>
      </c>
      <c r="C35" s="1">
        <v>99142</v>
      </c>
      <c r="D35" s="1">
        <v>98952</v>
      </c>
      <c r="E35" s="1">
        <v>100747</v>
      </c>
      <c r="F35" s="1">
        <v>21394.887999999999</v>
      </c>
      <c r="G35" s="1">
        <v>18792.449000000001</v>
      </c>
      <c r="H35" s="1">
        <v>16779.829000000002</v>
      </c>
      <c r="I35" s="1">
        <v>16966.447</v>
      </c>
      <c r="J35" s="1">
        <f t="shared" si="8"/>
        <v>17482.708000000006</v>
      </c>
      <c r="K35" s="1">
        <f t="shared" si="9"/>
        <v>15929.359000000002</v>
      </c>
      <c r="L35" s="1">
        <f t="shared" si="10"/>
        <v>13282.069000000001</v>
      </c>
      <c r="M35" s="1">
        <f t="shared" si="11"/>
        <v>14256.15</v>
      </c>
      <c r="N35" s="1">
        <f t="shared" si="12"/>
        <v>3912.179999999993</v>
      </c>
      <c r="O35" s="1">
        <f t="shared" si="13"/>
        <v>2863.0899999999983</v>
      </c>
      <c r="P35" s="1">
        <f t="shared" si="14"/>
        <v>3497.76</v>
      </c>
      <c r="Q35" s="1">
        <f t="shared" si="15"/>
        <v>2710.2970000000005</v>
      </c>
      <c r="R35" s="1">
        <v>3015.98</v>
      </c>
      <c r="S35" s="1">
        <v>2940.5</v>
      </c>
      <c r="T35" s="1">
        <v>1928</v>
      </c>
      <c r="U35" s="1">
        <v>2545.67</v>
      </c>
      <c r="V35" s="1">
        <v>0</v>
      </c>
      <c r="W35" s="1">
        <v>0</v>
      </c>
      <c r="X35" s="1">
        <v>3015.98</v>
      </c>
      <c r="Y35" s="1">
        <v>0</v>
      </c>
      <c r="Z35" s="1">
        <v>0</v>
      </c>
      <c r="AA35" s="1">
        <v>2940.5</v>
      </c>
      <c r="AB35" s="1">
        <v>0</v>
      </c>
      <c r="AC35" s="1">
        <v>0</v>
      </c>
      <c r="AD35" s="1">
        <v>1928</v>
      </c>
      <c r="AE35" s="1">
        <v>0</v>
      </c>
      <c r="AF35" s="1">
        <v>0</v>
      </c>
      <c r="AG35" s="1">
        <v>2545.67</v>
      </c>
      <c r="AH35" s="1">
        <v>0</v>
      </c>
      <c r="AI35" s="1">
        <v>0</v>
      </c>
      <c r="AJ35" s="1">
        <v>0</v>
      </c>
      <c r="AK35" s="1">
        <v>0</v>
      </c>
      <c r="AL35" s="1">
        <v>0</v>
      </c>
      <c r="AM35" s="1">
        <v>0</v>
      </c>
      <c r="AN35" s="1">
        <v>0</v>
      </c>
      <c r="AO35" s="1">
        <v>0</v>
      </c>
      <c r="AP35" s="1">
        <v>4987.3999999999996</v>
      </c>
      <c r="AQ35" s="1">
        <v>4947.26</v>
      </c>
      <c r="AR35" s="1">
        <v>3939.96</v>
      </c>
      <c r="AS35" s="1">
        <v>4366.8</v>
      </c>
      <c r="AT35" s="1">
        <v>0</v>
      </c>
      <c r="AU35" s="1">
        <v>4987.3999999999996</v>
      </c>
      <c r="AV35" s="1">
        <v>0</v>
      </c>
      <c r="AW35" s="1">
        <v>0</v>
      </c>
      <c r="AX35" s="1">
        <v>0</v>
      </c>
      <c r="AY35" s="1">
        <v>4947.26</v>
      </c>
      <c r="AZ35" s="1">
        <v>0</v>
      </c>
      <c r="BA35" s="1">
        <v>0</v>
      </c>
      <c r="BB35" s="1">
        <v>0</v>
      </c>
      <c r="BC35" s="1">
        <v>3939.96</v>
      </c>
      <c r="BD35" s="1">
        <v>0</v>
      </c>
      <c r="BE35" s="1">
        <v>0</v>
      </c>
      <c r="BF35" s="1">
        <v>4366.8</v>
      </c>
      <c r="BG35" s="1">
        <v>0</v>
      </c>
      <c r="BH35" s="1">
        <v>0</v>
      </c>
      <c r="BI35" s="1">
        <v>0</v>
      </c>
      <c r="BJ35" s="1">
        <v>0</v>
      </c>
      <c r="BK35" s="1">
        <v>0</v>
      </c>
      <c r="BL35" s="1">
        <v>0</v>
      </c>
      <c r="BM35" s="1">
        <v>0</v>
      </c>
      <c r="BN35" s="1">
        <v>0</v>
      </c>
      <c r="BO35" s="1">
        <v>0</v>
      </c>
      <c r="BP35" s="1">
        <v>0</v>
      </c>
      <c r="BQ35" s="1">
        <v>0</v>
      </c>
      <c r="BR35" s="1">
        <v>0</v>
      </c>
      <c r="BS35" s="1">
        <v>0</v>
      </c>
      <c r="BT35" s="1">
        <v>0</v>
      </c>
      <c r="BU35" s="1">
        <v>3445.87</v>
      </c>
      <c r="BV35" s="1">
        <v>3495.05</v>
      </c>
      <c r="BW35" s="1">
        <v>3064.83</v>
      </c>
      <c r="BX35" s="1">
        <v>2824.26</v>
      </c>
      <c r="BY35" s="1">
        <v>3445.87</v>
      </c>
      <c r="BZ35" s="1">
        <v>3495.05</v>
      </c>
      <c r="CA35" s="1">
        <v>3064.83</v>
      </c>
      <c r="CB35" s="1">
        <v>2824.26</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1377.665</v>
      </c>
      <c r="CT35" s="1">
        <v>1186.8869999999999</v>
      </c>
      <c r="CU35" s="1">
        <v>1088.5840000000001</v>
      </c>
      <c r="CV35" s="1">
        <v>1276.3119999999999</v>
      </c>
      <c r="CW35" s="1">
        <v>1377.665</v>
      </c>
      <c r="CX35" s="1">
        <v>1154.9770000000001</v>
      </c>
      <c r="CY35" s="1">
        <v>1088.5840000000001</v>
      </c>
      <c r="CZ35" s="1">
        <v>1276.3119999999999</v>
      </c>
      <c r="DA35" s="1">
        <v>0</v>
      </c>
      <c r="DB35" s="1">
        <v>31.91</v>
      </c>
      <c r="DC35" s="1">
        <v>0</v>
      </c>
      <c r="DD35" s="1">
        <v>0</v>
      </c>
      <c r="DE35" s="1">
        <v>0</v>
      </c>
      <c r="DF35" s="1">
        <v>0</v>
      </c>
      <c r="DG35" s="1">
        <v>0</v>
      </c>
      <c r="DH35" s="1">
        <v>0</v>
      </c>
      <c r="DI35" s="1">
        <v>0</v>
      </c>
      <c r="DJ35" s="1">
        <v>0</v>
      </c>
      <c r="DK35" s="1">
        <v>0</v>
      </c>
      <c r="DL35" s="1">
        <v>0</v>
      </c>
      <c r="DM35" s="1">
        <v>3641.9169999999999</v>
      </c>
      <c r="DN35" s="1">
        <v>2437.71</v>
      </c>
      <c r="DO35" s="1">
        <v>2063.13</v>
      </c>
      <c r="DP35" s="1">
        <v>2078.6869999999999</v>
      </c>
      <c r="DQ35" s="1">
        <v>3641.9169999999999</v>
      </c>
      <c r="DR35" s="1">
        <v>2437.71</v>
      </c>
      <c r="DS35" s="1">
        <v>2063.13</v>
      </c>
      <c r="DT35" s="1">
        <v>2078.6869999999999</v>
      </c>
      <c r="DU35" s="1">
        <v>0</v>
      </c>
      <c r="DV35" s="1">
        <v>0</v>
      </c>
      <c r="DW35" s="1">
        <v>0</v>
      </c>
      <c r="DX35" s="1">
        <v>0</v>
      </c>
      <c r="DY35" s="1">
        <v>0</v>
      </c>
      <c r="DZ35" s="1">
        <v>0</v>
      </c>
      <c r="EA35" s="1">
        <v>0</v>
      </c>
      <c r="EB35" s="1">
        <v>0</v>
      </c>
      <c r="EC35" s="1">
        <v>0</v>
      </c>
      <c r="ED35" s="1">
        <v>0</v>
      </c>
      <c r="EE35" s="1">
        <v>0</v>
      </c>
      <c r="EF35" s="1">
        <v>0</v>
      </c>
      <c r="EG35" s="1">
        <v>0</v>
      </c>
      <c r="EH35" s="1">
        <v>0</v>
      </c>
      <c r="EI35" s="1">
        <v>0</v>
      </c>
      <c r="EJ35" s="1">
        <v>0</v>
      </c>
      <c r="EK35" s="1">
        <v>421.75799999999998</v>
      </c>
      <c r="EL35" s="1">
        <v>291.346</v>
      </c>
      <c r="EM35" s="1">
        <v>393.78899999999999</v>
      </c>
      <c r="EN35" s="1">
        <v>204.64599999999999</v>
      </c>
      <c r="EO35" s="1">
        <v>421.75799999999998</v>
      </c>
      <c r="EP35" s="1">
        <v>291.346</v>
      </c>
      <c r="EQ35" s="1">
        <v>393.78899999999999</v>
      </c>
      <c r="ER35" s="1">
        <v>204.64599999999999</v>
      </c>
      <c r="ES35" s="1">
        <v>0</v>
      </c>
      <c r="ET35" s="1">
        <v>0</v>
      </c>
      <c r="EU35" s="1">
        <v>0</v>
      </c>
      <c r="EV35" s="1">
        <v>0</v>
      </c>
      <c r="EW35" s="1">
        <v>0</v>
      </c>
      <c r="EX35" s="1">
        <v>0</v>
      </c>
      <c r="EY35" s="1">
        <v>0</v>
      </c>
      <c r="EZ35" s="1">
        <v>0</v>
      </c>
      <c r="FA35" s="1">
        <v>0</v>
      </c>
      <c r="FB35" s="1">
        <v>0</v>
      </c>
      <c r="FC35" s="1">
        <v>0</v>
      </c>
      <c r="FD35" s="1">
        <v>0</v>
      </c>
      <c r="FE35" s="1">
        <v>105.95</v>
      </c>
      <c r="FF35" s="1">
        <v>145.11000000000001</v>
      </c>
      <c r="FG35" s="1">
        <v>170.102</v>
      </c>
      <c r="FH35" s="1">
        <v>181.84399999999999</v>
      </c>
      <c r="FI35" s="1">
        <v>50.849999999999987</v>
      </c>
      <c r="FJ35" s="1">
        <v>58.66</v>
      </c>
      <c r="FK35" s="1">
        <v>49.585000000000001</v>
      </c>
      <c r="FL35" s="1">
        <v>14.625</v>
      </c>
      <c r="FM35" s="1">
        <v>55.1</v>
      </c>
      <c r="FN35" s="1">
        <v>86.449999999999989</v>
      </c>
      <c r="FO35" s="1">
        <v>120.517</v>
      </c>
      <c r="FP35" s="1">
        <v>167.21899999999999</v>
      </c>
      <c r="FQ35" s="1">
        <v>0</v>
      </c>
      <c r="FR35" s="1">
        <v>0</v>
      </c>
      <c r="FS35" s="1">
        <v>0</v>
      </c>
      <c r="FT35" s="1">
        <v>0</v>
      </c>
      <c r="FU35" s="1">
        <v>0</v>
      </c>
      <c r="FV35" s="1">
        <v>0</v>
      </c>
      <c r="FW35" s="1">
        <v>0</v>
      </c>
      <c r="FX35" s="1">
        <v>0</v>
      </c>
      <c r="FY35" s="1">
        <v>0</v>
      </c>
      <c r="FZ35" s="1">
        <v>0</v>
      </c>
      <c r="GA35" s="1">
        <v>0</v>
      </c>
      <c r="GB35" s="1">
        <v>0</v>
      </c>
      <c r="GC35" s="1">
        <v>43.468000000000004</v>
      </c>
      <c r="GD35" s="1">
        <v>37.265999999999998</v>
      </c>
      <c r="GE35" s="1">
        <v>43.094000000000001</v>
      </c>
      <c r="GF35" s="1">
        <v>42.241</v>
      </c>
      <c r="GG35" s="1">
        <v>43.468000000000004</v>
      </c>
      <c r="GH35" s="1">
        <v>37.265999999999998</v>
      </c>
      <c r="GI35" s="1">
        <v>43.094000000000001</v>
      </c>
      <c r="GJ35" s="1">
        <v>42.241</v>
      </c>
      <c r="GK35" s="1">
        <v>0</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442.69999999999987</v>
      </c>
      <c r="IP35" s="1">
        <v>448.23</v>
      </c>
      <c r="IQ35" s="1">
        <v>590.58000000000004</v>
      </c>
      <c r="IR35" s="1">
        <v>735.69</v>
      </c>
      <c r="IS35" s="1">
        <v>442.69999999999987</v>
      </c>
      <c r="IT35" s="1">
        <v>448.23</v>
      </c>
      <c r="IU35" s="1">
        <v>590.58000000000004</v>
      </c>
      <c r="IV35" s="1">
        <v>735.69</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0</v>
      </c>
      <c r="JO35" s="1">
        <v>0</v>
      </c>
      <c r="JP35" s="1">
        <v>0</v>
      </c>
      <c r="JQ35" s="9"/>
      <c r="JR35" s="1">
        <f t="shared" si="16"/>
        <v>1056.2885999999983</v>
      </c>
      <c r="JS35" s="1">
        <f t="shared" si="17"/>
        <v>773.03429999999958</v>
      </c>
      <c r="JT35" s="1">
        <f t="shared" si="18"/>
        <v>944.39520000000016</v>
      </c>
      <c r="JU35" s="1">
        <f t="shared" si="19"/>
        <v>731.78019000000018</v>
      </c>
      <c r="JV35" s="1">
        <f t="shared" si="20"/>
        <v>195.60899999999967</v>
      </c>
      <c r="JW35" s="1">
        <f t="shared" si="21"/>
        <v>143.15449999999993</v>
      </c>
      <c r="JX35" s="1">
        <f t="shared" si="22"/>
        <v>174.88800000000003</v>
      </c>
      <c r="JY35" s="1">
        <f t="shared" si="23"/>
        <v>135.51485000000002</v>
      </c>
    </row>
    <row r="36" spans="1:285" x14ac:dyDescent="0.35">
      <c r="A36" s="2" t="s">
        <v>43</v>
      </c>
      <c r="B36" s="1">
        <v>111397</v>
      </c>
      <c r="C36" s="1">
        <v>110796</v>
      </c>
      <c r="D36" s="1">
        <v>112418</v>
      </c>
      <c r="E36" s="1">
        <v>113644</v>
      </c>
      <c r="F36" s="1">
        <v>31858.892</v>
      </c>
      <c r="G36" s="1">
        <v>30251.947</v>
      </c>
      <c r="H36" s="1">
        <v>25712.753000000001</v>
      </c>
      <c r="I36" s="1">
        <v>26367.65</v>
      </c>
      <c r="J36" s="1">
        <f t="shared" si="8"/>
        <v>20407.989999999998</v>
      </c>
      <c r="K36" s="1">
        <f t="shared" si="9"/>
        <v>18829.609000000004</v>
      </c>
      <c r="L36" s="1">
        <f t="shared" si="10"/>
        <v>16906.988999999998</v>
      </c>
      <c r="M36" s="1">
        <f t="shared" si="11"/>
        <v>16310.849999999999</v>
      </c>
      <c r="N36" s="1">
        <f t="shared" si="12"/>
        <v>11450.902000000002</v>
      </c>
      <c r="O36" s="1">
        <f t="shared" si="13"/>
        <v>11422.337999999996</v>
      </c>
      <c r="P36" s="1">
        <f t="shared" si="14"/>
        <v>8805.7640000000029</v>
      </c>
      <c r="Q36" s="1">
        <f t="shared" si="15"/>
        <v>10056.800000000003</v>
      </c>
      <c r="R36" s="1">
        <v>0</v>
      </c>
      <c r="S36" s="1">
        <v>0</v>
      </c>
      <c r="T36" s="1">
        <v>0</v>
      </c>
      <c r="U36" s="1">
        <v>0</v>
      </c>
      <c r="V36" s="1">
        <v>0</v>
      </c>
      <c r="W36" s="1">
        <v>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7333.42</v>
      </c>
      <c r="AQ36" s="1">
        <v>6262.34</v>
      </c>
      <c r="AR36" s="1">
        <v>5847.5600000000013</v>
      </c>
      <c r="AS36" s="1">
        <v>5716.9599999999991</v>
      </c>
      <c r="AT36" s="1">
        <v>0</v>
      </c>
      <c r="AU36" s="1">
        <v>7333.42</v>
      </c>
      <c r="AV36" s="1">
        <v>0</v>
      </c>
      <c r="AW36" s="1">
        <v>0</v>
      </c>
      <c r="AX36" s="1">
        <v>0</v>
      </c>
      <c r="AY36" s="1">
        <v>6262.34</v>
      </c>
      <c r="AZ36" s="1">
        <v>0</v>
      </c>
      <c r="BA36" s="1">
        <v>0</v>
      </c>
      <c r="BB36" s="1">
        <v>0</v>
      </c>
      <c r="BC36" s="1">
        <v>5847.5600000000013</v>
      </c>
      <c r="BD36" s="1">
        <v>0</v>
      </c>
      <c r="BE36" s="1">
        <v>0</v>
      </c>
      <c r="BF36" s="1">
        <v>5716.9599999999991</v>
      </c>
      <c r="BG36" s="1">
        <v>0</v>
      </c>
      <c r="BH36" s="1">
        <v>0</v>
      </c>
      <c r="BI36" s="1">
        <v>0</v>
      </c>
      <c r="BJ36" s="1">
        <v>0</v>
      </c>
      <c r="BK36" s="1">
        <v>0</v>
      </c>
      <c r="BL36" s="1">
        <v>0</v>
      </c>
      <c r="BM36" s="1">
        <v>0</v>
      </c>
      <c r="BN36" s="1">
        <v>0</v>
      </c>
      <c r="BO36" s="1">
        <v>0</v>
      </c>
      <c r="BP36" s="1">
        <v>0</v>
      </c>
      <c r="BQ36" s="1">
        <v>0</v>
      </c>
      <c r="BR36" s="1">
        <v>0</v>
      </c>
      <c r="BS36" s="1">
        <v>0</v>
      </c>
      <c r="BT36" s="1">
        <v>0</v>
      </c>
      <c r="BU36" s="1">
        <v>8829.59</v>
      </c>
      <c r="BV36" s="1">
        <v>8655.43</v>
      </c>
      <c r="BW36" s="1">
        <v>7650.73</v>
      </c>
      <c r="BX36" s="1">
        <v>7005.15</v>
      </c>
      <c r="BY36" s="1">
        <v>8718.94</v>
      </c>
      <c r="BZ36" s="1">
        <v>8651.57</v>
      </c>
      <c r="CA36" s="1">
        <v>7643.08</v>
      </c>
      <c r="CB36" s="1">
        <v>6988.2</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716.45</v>
      </c>
      <c r="CT36" s="1">
        <v>730.27</v>
      </c>
      <c r="CU36" s="1">
        <v>620.55000000000007</v>
      </c>
      <c r="CV36" s="1">
        <v>650.11</v>
      </c>
      <c r="CW36" s="1">
        <v>716.45</v>
      </c>
      <c r="CX36" s="1">
        <v>730.27</v>
      </c>
      <c r="CY36" s="1">
        <v>620.55000000000007</v>
      </c>
      <c r="CZ36" s="1">
        <v>650.11</v>
      </c>
      <c r="DA36" s="1">
        <v>0</v>
      </c>
      <c r="DB36" s="1">
        <v>0</v>
      </c>
      <c r="DC36" s="1">
        <v>0</v>
      </c>
      <c r="DD36" s="1">
        <v>0</v>
      </c>
      <c r="DE36" s="1">
        <v>0</v>
      </c>
      <c r="DF36" s="1">
        <v>0</v>
      </c>
      <c r="DG36" s="1">
        <v>0</v>
      </c>
      <c r="DH36" s="1">
        <v>0</v>
      </c>
      <c r="DI36" s="1">
        <v>0</v>
      </c>
      <c r="DJ36" s="1">
        <v>0</v>
      </c>
      <c r="DK36" s="1">
        <v>0</v>
      </c>
      <c r="DL36" s="1">
        <v>0</v>
      </c>
      <c r="DM36" s="1">
        <v>2708.83</v>
      </c>
      <c r="DN36" s="1">
        <v>2485.9810000000002</v>
      </c>
      <c r="DO36" s="1">
        <v>2311.2489999999998</v>
      </c>
      <c r="DP36" s="1">
        <v>2155.7199999999998</v>
      </c>
      <c r="DQ36" s="1">
        <v>2708.83</v>
      </c>
      <c r="DR36" s="1">
        <v>2485.9810000000002</v>
      </c>
      <c r="DS36" s="1">
        <v>2311.2489999999998</v>
      </c>
      <c r="DT36" s="1">
        <v>2155.7199999999998</v>
      </c>
      <c r="DU36" s="1">
        <v>0</v>
      </c>
      <c r="DV36" s="1">
        <v>0</v>
      </c>
      <c r="DW36" s="1">
        <v>0</v>
      </c>
      <c r="DX36" s="1">
        <v>0</v>
      </c>
      <c r="DY36" s="1">
        <v>0</v>
      </c>
      <c r="DZ36" s="1">
        <v>0</v>
      </c>
      <c r="EA36" s="1">
        <v>0</v>
      </c>
      <c r="EB36" s="1">
        <v>0</v>
      </c>
      <c r="EC36" s="1">
        <v>0</v>
      </c>
      <c r="ED36" s="1">
        <v>0</v>
      </c>
      <c r="EE36" s="1">
        <v>0</v>
      </c>
      <c r="EF36" s="1">
        <v>0</v>
      </c>
      <c r="EG36" s="1">
        <v>0</v>
      </c>
      <c r="EH36" s="1">
        <v>0</v>
      </c>
      <c r="EI36" s="1">
        <v>0</v>
      </c>
      <c r="EJ36" s="1">
        <v>0</v>
      </c>
      <c r="EK36" s="1">
        <v>442.57000000000011</v>
      </c>
      <c r="EL36" s="1">
        <v>516.58000000000004</v>
      </c>
      <c r="EM36" s="1">
        <v>446.8</v>
      </c>
      <c r="EN36" s="1">
        <v>577.38</v>
      </c>
      <c r="EO36" s="1">
        <v>442.57000000000011</v>
      </c>
      <c r="EP36" s="1">
        <v>516.58000000000004</v>
      </c>
      <c r="EQ36" s="1">
        <v>446.8</v>
      </c>
      <c r="ER36" s="1">
        <v>577.38</v>
      </c>
      <c r="ES36" s="1">
        <v>0</v>
      </c>
      <c r="ET36" s="1">
        <v>0</v>
      </c>
      <c r="EU36" s="1">
        <v>0</v>
      </c>
      <c r="EV36" s="1">
        <v>0</v>
      </c>
      <c r="EW36" s="1">
        <v>0</v>
      </c>
      <c r="EX36" s="1">
        <v>0</v>
      </c>
      <c r="EY36" s="1">
        <v>0</v>
      </c>
      <c r="EZ36" s="1">
        <v>0</v>
      </c>
      <c r="FA36" s="1">
        <v>0</v>
      </c>
      <c r="FB36" s="1">
        <v>0</v>
      </c>
      <c r="FC36" s="1">
        <v>0</v>
      </c>
      <c r="FD36" s="1">
        <v>0</v>
      </c>
      <c r="FE36" s="1">
        <v>5.67</v>
      </c>
      <c r="FF36" s="1">
        <v>15.007999999999999</v>
      </c>
      <c r="FG36" s="1">
        <v>30.1</v>
      </c>
      <c r="FH36" s="1">
        <v>24.17</v>
      </c>
      <c r="FI36" s="1">
        <v>2.34</v>
      </c>
      <c r="FJ36" s="1">
        <v>3.718</v>
      </c>
      <c r="FK36" s="1">
        <v>9.9</v>
      </c>
      <c r="FL36" s="1">
        <v>7.22</v>
      </c>
      <c r="FM36" s="1">
        <v>3.33</v>
      </c>
      <c r="FN36" s="1">
        <v>11.29</v>
      </c>
      <c r="FO36" s="1">
        <v>20.2</v>
      </c>
      <c r="FP36" s="1">
        <v>16.95</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0</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371.46</v>
      </c>
      <c r="IP36" s="1">
        <v>164</v>
      </c>
      <c r="IQ36" s="1">
        <v>0</v>
      </c>
      <c r="IR36" s="1">
        <v>181.36</v>
      </c>
      <c r="IS36" s="1">
        <v>371.46</v>
      </c>
      <c r="IT36" s="1">
        <v>164</v>
      </c>
      <c r="IU36" s="1">
        <v>0</v>
      </c>
      <c r="IV36" s="1">
        <v>181.36</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0</v>
      </c>
      <c r="JO36" s="1">
        <v>0</v>
      </c>
      <c r="JP36" s="1">
        <v>0</v>
      </c>
      <c r="JQ36" s="9"/>
      <c r="JR36" s="1">
        <f t="shared" si="16"/>
        <v>3091.7435400000008</v>
      </c>
      <c r="JS36" s="1">
        <f t="shared" si="17"/>
        <v>3084.0312599999993</v>
      </c>
      <c r="JT36" s="1">
        <f t="shared" si="18"/>
        <v>2377.5562800000012</v>
      </c>
      <c r="JU36" s="1">
        <f t="shared" si="19"/>
        <v>2715.3360000000011</v>
      </c>
      <c r="JV36" s="1">
        <f t="shared" si="20"/>
        <v>572.54510000000016</v>
      </c>
      <c r="JW36" s="1">
        <f t="shared" si="21"/>
        <v>571.11689999999987</v>
      </c>
      <c r="JX36" s="1">
        <f t="shared" si="22"/>
        <v>440.28820000000019</v>
      </c>
      <c r="JY36" s="1">
        <f t="shared" si="23"/>
        <v>502.84000000000015</v>
      </c>
    </row>
    <row r="37" spans="1:285" s="5" customFormat="1" x14ac:dyDescent="0.35">
      <c r="A37" s="3" t="s">
        <v>44</v>
      </c>
      <c r="B37" s="4">
        <v>549066</v>
      </c>
      <c r="C37" s="4">
        <v>555161</v>
      </c>
      <c r="D37" s="4">
        <v>561180</v>
      </c>
      <c r="E37" s="4">
        <v>569850</v>
      </c>
      <c r="F37" s="4">
        <f>406747.231+[1]TotalCollected!$B$347</f>
        <v>421486.08100000001</v>
      </c>
      <c r="G37" s="4">
        <v>430231.04399999999</v>
      </c>
      <c r="H37" s="4">
        <v>410228.73200000002</v>
      </c>
      <c r="I37" s="4">
        <v>413562.34899999999</v>
      </c>
      <c r="J37" s="4">
        <f t="shared" si="8"/>
        <v>137892.296</v>
      </c>
      <c r="K37" s="4">
        <f t="shared" si="9"/>
        <v>139359.69</v>
      </c>
      <c r="L37" s="4">
        <f t="shared" si="10"/>
        <v>134683.86899999998</v>
      </c>
      <c r="M37" s="4">
        <f t="shared" si="11"/>
        <v>135885.81699999998</v>
      </c>
      <c r="N37" s="4">
        <f t="shared" si="12"/>
        <v>283593.78500000003</v>
      </c>
      <c r="O37" s="4">
        <f t="shared" si="13"/>
        <v>290871.35399999999</v>
      </c>
      <c r="P37" s="4">
        <f t="shared" si="14"/>
        <v>275544.86300000001</v>
      </c>
      <c r="Q37" s="4">
        <f t="shared" si="15"/>
        <v>277676.53200000001</v>
      </c>
      <c r="R37" s="4">
        <v>13545.08</v>
      </c>
      <c r="S37" s="4">
        <v>13421.18</v>
      </c>
      <c r="T37" s="4">
        <v>16082.68</v>
      </c>
      <c r="U37" s="4">
        <v>14930.38</v>
      </c>
      <c r="V37" s="4">
        <v>0</v>
      </c>
      <c r="W37" s="4">
        <v>0</v>
      </c>
      <c r="X37" s="4">
        <v>13545.08</v>
      </c>
      <c r="Y37" s="4">
        <v>0</v>
      </c>
      <c r="Z37" s="4">
        <v>0</v>
      </c>
      <c r="AA37" s="4">
        <v>13421.18</v>
      </c>
      <c r="AB37" s="4">
        <v>0</v>
      </c>
      <c r="AC37" s="4">
        <v>0</v>
      </c>
      <c r="AD37" s="4">
        <v>16082.68</v>
      </c>
      <c r="AE37" s="4">
        <v>0</v>
      </c>
      <c r="AF37" s="4">
        <v>0</v>
      </c>
      <c r="AG37" s="4">
        <v>14930.38</v>
      </c>
      <c r="AH37" s="4">
        <v>0</v>
      </c>
      <c r="AI37" s="4">
        <v>0</v>
      </c>
      <c r="AJ37" s="4">
        <v>0</v>
      </c>
      <c r="AK37" s="4">
        <v>0</v>
      </c>
      <c r="AL37" s="4">
        <v>0</v>
      </c>
      <c r="AM37" s="4">
        <v>0</v>
      </c>
      <c r="AN37" s="4">
        <v>0</v>
      </c>
      <c r="AO37" s="4">
        <v>0</v>
      </c>
      <c r="AP37" s="4">
        <v>41105.428999999996</v>
      </c>
      <c r="AQ37" s="4">
        <v>39015.35</v>
      </c>
      <c r="AR37" s="4">
        <v>36611.589999999997</v>
      </c>
      <c r="AS37" s="4">
        <v>43252.229999999989</v>
      </c>
      <c r="AT37" s="4">
        <v>0</v>
      </c>
      <c r="AU37" s="4">
        <v>41105.428999999996</v>
      </c>
      <c r="AV37" s="4">
        <v>0</v>
      </c>
      <c r="AW37" s="4">
        <v>0</v>
      </c>
      <c r="AX37" s="4">
        <v>0</v>
      </c>
      <c r="AY37" s="4">
        <v>39015.35</v>
      </c>
      <c r="AZ37" s="4">
        <v>0</v>
      </c>
      <c r="BA37" s="4">
        <v>0</v>
      </c>
      <c r="BB37" s="4">
        <v>0</v>
      </c>
      <c r="BC37" s="4">
        <v>36611.589999999997</v>
      </c>
      <c r="BD37" s="4">
        <v>0</v>
      </c>
      <c r="BE37" s="4">
        <v>0</v>
      </c>
      <c r="BF37" s="4">
        <v>43252.229999999989</v>
      </c>
      <c r="BG37" s="4">
        <v>0</v>
      </c>
      <c r="BH37" s="4">
        <v>0</v>
      </c>
      <c r="BI37" s="4">
        <v>0</v>
      </c>
      <c r="BJ37" s="4">
        <v>0</v>
      </c>
      <c r="BK37" s="4">
        <v>0</v>
      </c>
      <c r="BL37" s="4">
        <v>0</v>
      </c>
      <c r="BM37" s="4">
        <v>0</v>
      </c>
      <c r="BN37" s="4">
        <v>0</v>
      </c>
      <c r="BO37" s="4">
        <v>0</v>
      </c>
      <c r="BP37" s="4">
        <v>0</v>
      </c>
      <c r="BQ37" s="4">
        <v>0</v>
      </c>
      <c r="BR37" s="4">
        <v>0</v>
      </c>
      <c r="BS37" s="4">
        <v>0</v>
      </c>
      <c r="BT37" s="4">
        <v>0</v>
      </c>
      <c r="BU37" s="4">
        <v>33364.767</v>
      </c>
      <c r="BV37" s="4">
        <v>37710.101000000002</v>
      </c>
      <c r="BW37" s="4">
        <v>35031.046000000002</v>
      </c>
      <c r="BX37" s="4">
        <v>33040.25</v>
      </c>
      <c r="BY37" s="4">
        <v>33364.767</v>
      </c>
      <c r="BZ37" s="4">
        <v>37695.050999999999</v>
      </c>
      <c r="CA37" s="4">
        <v>35026.156000000003</v>
      </c>
      <c r="CB37" s="4">
        <v>33039.81</v>
      </c>
      <c r="CC37" s="4">
        <v>115.57000000000001</v>
      </c>
      <c r="CD37" s="4">
        <v>18.91</v>
      </c>
      <c r="CE37" s="4">
        <v>7.65</v>
      </c>
      <c r="CF37" s="4">
        <v>16.95</v>
      </c>
      <c r="CG37" s="4">
        <v>0</v>
      </c>
      <c r="CH37" s="4">
        <v>0</v>
      </c>
      <c r="CI37" s="4">
        <v>0</v>
      </c>
      <c r="CJ37" s="4">
        <v>0</v>
      </c>
      <c r="CK37" s="4">
        <v>0</v>
      </c>
      <c r="CL37" s="4">
        <v>0</v>
      </c>
      <c r="CM37" s="4">
        <v>0</v>
      </c>
      <c r="CN37" s="4">
        <v>0</v>
      </c>
      <c r="CO37" s="4">
        <v>0</v>
      </c>
      <c r="CP37" s="4">
        <v>0</v>
      </c>
      <c r="CQ37" s="4">
        <v>4.8900000000000006</v>
      </c>
      <c r="CR37" s="4">
        <v>0.44</v>
      </c>
      <c r="CS37" s="4">
        <v>9778.8670000000002</v>
      </c>
      <c r="CT37" s="4">
        <v>6850.5720000000001</v>
      </c>
      <c r="CU37" s="4">
        <v>5846.48</v>
      </c>
      <c r="CV37" s="4">
        <v>6134.37</v>
      </c>
      <c r="CW37" s="4">
        <v>9778.8670000000002</v>
      </c>
      <c r="CX37" s="4">
        <v>6352.6819999999998</v>
      </c>
      <c r="CY37" s="4">
        <v>4993.5200000000004</v>
      </c>
      <c r="CZ37" s="4">
        <v>5367.41</v>
      </c>
      <c r="DA37" s="4">
        <v>261.37299999999999</v>
      </c>
      <c r="DB37" s="4">
        <v>497.89</v>
      </c>
      <c r="DC37" s="4">
        <v>852.96</v>
      </c>
      <c r="DD37" s="4">
        <v>766.96</v>
      </c>
      <c r="DE37" s="4">
        <v>0</v>
      </c>
      <c r="DF37" s="4">
        <v>0</v>
      </c>
      <c r="DG37" s="4">
        <v>0</v>
      </c>
      <c r="DH37" s="4">
        <v>0</v>
      </c>
      <c r="DI37" s="4">
        <v>0</v>
      </c>
      <c r="DJ37" s="4">
        <v>0</v>
      </c>
      <c r="DK37" s="4">
        <v>0</v>
      </c>
      <c r="DL37" s="4">
        <v>0</v>
      </c>
      <c r="DM37" s="4">
        <v>18741.184000000001</v>
      </c>
      <c r="DN37" s="4">
        <v>19336.468000000001</v>
      </c>
      <c r="DO37" s="4">
        <v>18116.351999999999</v>
      </c>
      <c r="DP37" s="4">
        <v>17412.649000000001</v>
      </c>
      <c r="DQ37" s="4">
        <v>13445.824000000001</v>
      </c>
      <c r="DR37" s="4">
        <v>19336.468000000001</v>
      </c>
      <c r="DS37" s="4">
        <v>18116.351999999999</v>
      </c>
      <c r="DT37" s="4">
        <v>17412.649000000001</v>
      </c>
      <c r="DU37" s="4">
        <v>0</v>
      </c>
      <c r="DV37" s="4">
        <v>0</v>
      </c>
      <c r="DW37" s="4">
        <v>0</v>
      </c>
      <c r="DX37" s="4">
        <v>0</v>
      </c>
      <c r="DY37" s="4">
        <v>0</v>
      </c>
      <c r="DZ37" s="4">
        <v>0</v>
      </c>
      <c r="EA37" s="4">
        <v>0</v>
      </c>
      <c r="EB37" s="4">
        <v>0</v>
      </c>
      <c r="EC37" s="4">
        <v>0</v>
      </c>
      <c r="ED37" s="4">
        <v>0</v>
      </c>
      <c r="EE37" s="4">
        <v>0</v>
      </c>
      <c r="EF37" s="4">
        <v>0</v>
      </c>
      <c r="EG37" s="4">
        <v>0</v>
      </c>
      <c r="EH37" s="4">
        <v>0</v>
      </c>
      <c r="EI37" s="4">
        <v>0</v>
      </c>
      <c r="EJ37" s="4">
        <v>0</v>
      </c>
      <c r="EK37" s="4">
        <v>8234.4269999999997</v>
      </c>
      <c r="EL37" s="4">
        <v>7867.7429999999986</v>
      </c>
      <c r="EM37" s="4">
        <v>8631.5509999999995</v>
      </c>
      <c r="EN37" s="4">
        <v>6003.8860000000004</v>
      </c>
      <c r="EO37" s="4">
        <v>7935.3530000000001</v>
      </c>
      <c r="EP37" s="4">
        <v>7321.4350000000004</v>
      </c>
      <c r="EQ37" s="4">
        <v>7745.4210000000003</v>
      </c>
      <c r="ER37" s="4">
        <v>5205.1959999999999</v>
      </c>
      <c r="ES37" s="4">
        <v>299.07400000000001</v>
      </c>
      <c r="ET37" s="4">
        <v>546.30799999999999</v>
      </c>
      <c r="EU37" s="4">
        <v>886.13000000000011</v>
      </c>
      <c r="EV37" s="4">
        <v>798.69</v>
      </c>
      <c r="EW37" s="4">
        <v>0</v>
      </c>
      <c r="EX37" s="4">
        <v>0</v>
      </c>
      <c r="EY37" s="4">
        <v>0</v>
      </c>
      <c r="EZ37" s="4">
        <v>0</v>
      </c>
      <c r="FA37" s="4">
        <v>0</v>
      </c>
      <c r="FB37" s="4">
        <v>0</v>
      </c>
      <c r="FC37" s="4">
        <v>0</v>
      </c>
      <c r="FD37" s="4">
        <v>0</v>
      </c>
      <c r="FE37" s="4">
        <v>910.83500000000004</v>
      </c>
      <c r="FF37" s="4">
        <v>1235.777</v>
      </c>
      <c r="FG37" s="4">
        <v>1191.4549999999999</v>
      </c>
      <c r="FH37" s="4">
        <v>1465.1089999999999</v>
      </c>
      <c r="FI37" s="4">
        <v>811.21400000000006</v>
      </c>
      <c r="FJ37" s="4">
        <v>925.32999999999993</v>
      </c>
      <c r="FK37" s="4">
        <v>893.19299999999998</v>
      </c>
      <c r="FL37" s="4">
        <v>882.05199999999991</v>
      </c>
      <c r="FM37" s="4">
        <v>120.291</v>
      </c>
      <c r="FN37" s="4">
        <v>310.447</v>
      </c>
      <c r="FO37" s="4">
        <v>298.26200000000011</v>
      </c>
      <c r="FP37" s="4">
        <v>583.05700000000002</v>
      </c>
      <c r="FQ37" s="4">
        <v>0</v>
      </c>
      <c r="FR37" s="4">
        <v>0</v>
      </c>
      <c r="FS37" s="4">
        <v>0</v>
      </c>
      <c r="FT37" s="4">
        <v>0</v>
      </c>
      <c r="FU37" s="4">
        <v>0</v>
      </c>
      <c r="FV37" s="4">
        <v>0</v>
      </c>
      <c r="FW37" s="4">
        <v>0</v>
      </c>
      <c r="FX37" s="4">
        <v>0</v>
      </c>
      <c r="FY37" s="4">
        <v>0</v>
      </c>
      <c r="FZ37" s="4">
        <v>0</v>
      </c>
      <c r="GA37" s="4">
        <v>0</v>
      </c>
      <c r="GB37" s="4">
        <v>0</v>
      </c>
      <c r="GC37" s="4">
        <v>5837.0889999999999</v>
      </c>
      <c r="GD37" s="4">
        <v>6235.5079999999998</v>
      </c>
      <c r="GE37" s="4">
        <v>4908.116</v>
      </c>
      <c r="GF37" s="4">
        <v>6032.4279999999999</v>
      </c>
      <c r="GG37" s="4">
        <v>5837.0889999999999</v>
      </c>
      <c r="GH37" s="4">
        <v>6235.5079999999998</v>
      </c>
      <c r="GI37" s="4">
        <v>4908.116</v>
      </c>
      <c r="GJ37" s="4">
        <v>6032.4279999999999</v>
      </c>
      <c r="GK37" s="4">
        <v>0</v>
      </c>
      <c r="GL37" s="4">
        <v>0</v>
      </c>
      <c r="GM37" s="4">
        <v>0</v>
      </c>
      <c r="GN37" s="4">
        <v>0</v>
      </c>
      <c r="GO37" s="4">
        <v>0</v>
      </c>
      <c r="GP37" s="4">
        <v>0</v>
      </c>
      <c r="GQ37" s="4">
        <v>0</v>
      </c>
      <c r="GR37" s="4">
        <v>0</v>
      </c>
      <c r="GS37" s="4">
        <v>0</v>
      </c>
      <c r="GT37" s="4">
        <v>0</v>
      </c>
      <c r="GU37" s="4">
        <v>0</v>
      </c>
      <c r="GV37" s="4">
        <v>0</v>
      </c>
      <c r="GW37" s="4">
        <v>0</v>
      </c>
      <c r="GX37" s="4">
        <v>0</v>
      </c>
      <c r="GY37" s="4">
        <v>0</v>
      </c>
      <c r="GZ37" s="4">
        <v>0</v>
      </c>
      <c r="HA37" s="4">
        <v>0</v>
      </c>
      <c r="HB37" s="4">
        <v>0</v>
      </c>
      <c r="HC37" s="4">
        <v>0</v>
      </c>
      <c r="HD37" s="4">
        <v>0</v>
      </c>
      <c r="HE37" s="4">
        <v>5806.51</v>
      </c>
      <c r="HF37" s="4">
        <v>6515.32</v>
      </c>
      <c r="HG37" s="4">
        <v>6296.43</v>
      </c>
      <c r="HH37" s="4">
        <v>5973.22</v>
      </c>
      <c r="HI37" s="4">
        <v>5806.51</v>
      </c>
      <c r="HJ37" s="4">
        <v>6515.32</v>
      </c>
      <c r="HK37" s="4">
        <v>6296.43</v>
      </c>
      <c r="HL37" s="4">
        <v>5973.22</v>
      </c>
      <c r="HM37" s="4">
        <v>0</v>
      </c>
      <c r="HN37" s="4">
        <v>0</v>
      </c>
      <c r="HO37" s="4">
        <v>0</v>
      </c>
      <c r="HP37" s="4">
        <v>0</v>
      </c>
      <c r="HQ37" s="4">
        <v>0</v>
      </c>
      <c r="HR37" s="4">
        <v>0</v>
      </c>
      <c r="HS37" s="4">
        <v>0</v>
      </c>
      <c r="HT37" s="4">
        <v>0</v>
      </c>
      <c r="HU37" s="4">
        <v>0</v>
      </c>
      <c r="HV37" s="4">
        <v>0</v>
      </c>
      <c r="HW37" s="4">
        <v>0</v>
      </c>
      <c r="HX37" s="4">
        <v>0</v>
      </c>
      <c r="HY37" s="4">
        <v>0</v>
      </c>
      <c r="HZ37" s="4">
        <v>0</v>
      </c>
      <c r="IA37" s="4">
        <v>0</v>
      </c>
      <c r="IB37" s="4">
        <v>0</v>
      </c>
      <c r="IC37" s="4">
        <v>0</v>
      </c>
      <c r="ID37" s="4">
        <v>0</v>
      </c>
      <c r="IE37" s="4">
        <v>0</v>
      </c>
      <c r="IF37" s="4">
        <v>0</v>
      </c>
      <c r="IG37" s="4">
        <v>0</v>
      </c>
      <c r="IH37" s="4">
        <v>0</v>
      </c>
      <c r="II37" s="4">
        <v>0</v>
      </c>
      <c r="IJ37" s="4">
        <v>0</v>
      </c>
      <c r="IK37" s="4">
        <v>0</v>
      </c>
      <c r="IL37" s="4">
        <v>0</v>
      </c>
      <c r="IM37" s="4">
        <v>0</v>
      </c>
      <c r="IN37" s="4">
        <v>0</v>
      </c>
      <c r="IO37" s="4">
        <v>568.10799999999995</v>
      </c>
      <c r="IP37" s="4">
        <v>1171.671</v>
      </c>
      <c r="IQ37" s="4">
        <v>1968.1690000000001</v>
      </c>
      <c r="IR37" s="4">
        <v>1641.2950000000001</v>
      </c>
      <c r="IS37" s="4">
        <v>45.362000000000002</v>
      </c>
      <c r="IT37" s="4">
        <v>175.89099999999999</v>
      </c>
      <c r="IU37" s="4">
        <v>262.24900000000002</v>
      </c>
      <c r="IV37" s="4">
        <v>107.375</v>
      </c>
      <c r="IW37" s="4">
        <v>522.74599999999998</v>
      </c>
      <c r="IX37" s="4">
        <v>995.78</v>
      </c>
      <c r="IY37" s="4">
        <v>1705.92</v>
      </c>
      <c r="IZ37" s="4">
        <v>1533.92</v>
      </c>
      <c r="JA37" s="4">
        <v>0</v>
      </c>
      <c r="JB37" s="4">
        <v>0</v>
      </c>
      <c r="JC37" s="4">
        <v>0</v>
      </c>
      <c r="JD37" s="4">
        <v>0</v>
      </c>
      <c r="JE37" s="4">
        <v>0</v>
      </c>
      <c r="JF37" s="4">
        <v>0</v>
      </c>
      <c r="JG37" s="4">
        <v>0</v>
      </c>
      <c r="JH37" s="4">
        <v>0</v>
      </c>
      <c r="JI37" s="4">
        <v>0</v>
      </c>
      <c r="JJ37" s="4">
        <v>0</v>
      </c>
      <c r="JK37" s="4">
        <v>0</v>
      </c>
      <c r="JL37" s="4">
        <v>0</v>
      </c>
      <c r="JM37" s="4">
        <v>0</v>
      </c>
      <c r="JN37" s="4">
        <v>0</v>
      </c>
      <c r="JO37" s="4">
        <v>0</v>
      </c>
      <c r="JP37" s="4">
        <v>0</v>
      </c>
      <c r="JQ37" s="9"/>
      <c r="JR37" s="4">
        <f t="shared" si="16"/>
        <v>76570.321950000012</v>
      </c>
      <c r="JS37" s="4">
        <f t="shared" si="17"/>
        <v>78535.265580000007</v>
      </c>
      <c r="JT37" s="4">
        <f t="shared" si="18"/>
        <v>74397.113010000001</v>
      </c>
      <c r="JU37" s="4">
        <f t="shared" si="19"/>
        <v>74972.663640000013</v>
      </c>
      <c r="JV37" s="4">
        <f t="shared" si="20"/>
        <v>14179.689250000003</v>
      </c>
      <c r="JW37" s="4">
        <f t="shared" si="21"/>
        <v>14543.5677</v>
      </c>
      <c r="JX37" s="4">
        <f t="shared" si="22"/>
        <v>13777.243150000002</v>
      </c>
      <c r="JY37" s="4">
        <f t="shared" si="23"/>
        <v>13883.8266</v>
      </c>
    </row>
    <row r="38" spans="1:285" x14ac:dyDescent="0.35">
      <c r="A38" s="2" t="s">
        <v>45</v>
      </c>
      <c r="B38" s="1">
        <v>93927</v>
      </c>
      <c r="C38" s="1">
        <v>94734</v>
      </c>
      <c r="D38" s="1">
        <v>95894</v>
      </c>
      <c r="E38" s="1">
        <v>97425</v>
      </c>
      <c r="F38" s="1">
        <v>19454.84</v>
      </c>
      <c r="G38" s="1">
        <v>19336.53</v>
      </c>
      <c r="H38" s="1">
        <v>17667.36</v>
      </c>
      <c r="I38" s="1">
        <v>17110.88</v>
      </c>
      <c r="J38" s="1">
        <f t="shared" si="8"/>
        <v>10007.27</v>
      </c>
      <c r="K38" s="1">
        <f t="shared" si="9"/>
        <v>9780.14</v>
      </c>
      <c r="L38" s="1">
        <f t="shared" si="10"/>
        <v>9146.08</v>
      </c>
      <c r="M38" s="1">
        <f t="shared" si="11"/>
        <v>9182.3900000000012</v>
      </c>
      <c r="N38" s="1">
        <f t="shared" si="12"/>
        <v>9447.57</v>
      </c>
      <c r="O38" s="1">
        <f t="shared" si="13"/>
        <v>9556.39</v>
      </c>
      <c r="P38" s="1">
        <f t="shared" si="14"/>
        <v>8521.2800000000007</v>
      </c>
      <c r="Q38" s="1">
        <f t="shared" si="15"/>
        <v>7928.49</v>
      </c>
      <c r="R38" s="1">
        <v>0</v>
      </c>
      <c r="S38" s="1">
        <v>0</v>
      </c>
      <c r="T38" s="1">
        <v>0</v>
      </c>
      <c r="U38" s="1">
        <v>0</v>
      </c>
      <c r="V38" s="1">
        <v>0</v>
      </c>
      <c r="W38" s="1">
        <v>0</v>
      </c>
      <c r="X38" s="1">
        <v>0</v>
      </c>
      <c r="Y38" s="1">
        <v>0</v>
      </c>
      <c r="Z38" s="1">
        <v>0</v>
      </c>
      <c r="AA38" s="1">
        <v>0</v>
      </c>
      <c r="AB38" s="1">
        <v>0</v>
      </c>
      <c r="AC38" s="1">
        <v>0</v>
      </c>
      <c r="AD38" s="1">
        <v>0</v>
      </c>
      <c r="AE38" s="1">
        <v>0</v>
      </c>
      <c r="AF38" s="1">
        <v>0</v>
      </c>
      <c r="AG38" s="1">
        <v>0</v>
      </c>
      <c r="AH38" s="1">
        <v>0</v>
      </c>
      <c r="AI38" s="1">
        <v>0</v>
      </c>
      <c r="AJ38" s="1">
        <v>0</v>
      </c>
      <c r="AK38" s="1">
        <v>0</v>
      </c>
      <c r="AL38" s="1">
        <v>0</v>
      </c>
      <c r="AM38" s="1">
        <v>0</v>
      </c>
      <c r="AN38" s="1">
        <v>0</v>
      </c>
      <c r="AO38" s="1">
        <v>0</v>
      </c>
      <c r="AP38" s="1">
        <v>2574.04</v>
      </c>
      <c r="AQ38" s="1">
        <v>2302.4</v>
      </c>
      <c r="AR38" s="1">
        <v>2082.8199999999997</v>
      </c>
      <c r="AS38" s="1">
        <v>2213.38</v>
      </c>
      <c r="AT38" s="1">
        <v>0</v>
      </c>
      <c r="AU38" s="1">
        <v>2574.04</v>
      </c>
      <c r="AV38" s="1">
        <v>0</v>
      </c>
      <c r="AW38" s="1">
        <v>0</v>
      </c>
      <c r="AX38" s="1">
        <v>0</v>
      </c>
      <c r="AY38" s="1">
        <v>2302.4</v>
      </c>
      <c r="AZ38" s="1">
        <v>0</v>
      </c>
      <c r="BA38" s="1">
        <v>0</v>
      </c>
      <c r="BB38" s="1">
        <v>0</v>
      </c>
      <c r="BC38" s="1">
        <v>2082.8199999999997</v>
      </c>
      <c r="BD38" s="1">
        <v>0</v>
      </c>
      <c r="BE38" s="1">
        <v>0</v>
      </c>
      <c r="BF38" s="1">
        <v>2213.38</v>
      </c>
      <c r="BG38" s="1">
        <v>0</v>
      </c>
      <c r="BH38" s="1">
        <v>0</v>
      </c>
      <c r="BI38" s="1">
        <v>0</v>
      </c>
      <c r="BJ38" s="1">
        <v>0</v>
      </c>
      <c r="BK38" s="1">
        <v>0</v>
      </c>
      <c r="BL38" s="1">
        <v>0</v>
      </c>
      <c r="BM38" s="1">
        <v>0</v>
      </c>
      <c r="BN38" s="1">
        <v>0</v>
      </c>
      <c r="BO38" s="1">
        <v>0</v>
      </c>
      <c r="BP38" s="1">
        <v>0</v>
      </c>
      <c r="BQ38" s="1">
        <v>0</v>
      </c>
      <c r="BR38" s="1">
        <v>0</v>
      </c>
      <c r="BS38" s="1">
        <v>0</v>
      </c>
      <c r="BT38" s="1">
        <v>0</v>
      </c>
      <c r="BU38" s="1">
        <v>2747.55</v>
      </c>
      <c r="BV38" s="1">
        <v>2645.18</v>
      </c>
      <c r="BW38" s="1">
        <v>2394.7199999999998</v>
      </c>
      <c r="BX38" s="1">
        <v>2476.63</v>
      </c>
      <c r="BY38" s="1">
        <v>2747.55</v>
      </c>
      <c r="BZ38" s="1">
        <v>2645.18</v>
      </c>
      <c r="CA38" s="1">
        <v>2394.7199999999998</v>
      </c>
      <c r="CB38" s="1">
        <v>2476.63</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944.3</v>
      </c>
      <c r="CT38" s="1">
        <v>898.68</v>
      </c>
      <c r="CU38" s="1">
        <v>833.33999999999992</v>
      </c>
      <c r="CV38" s="1">
        <v>803.85</v>
      </c>
      <c r="CW38" s="1">
        <v>944.3</v>
      </c>
      <c r="CX38" s="1">
        <v>898.68</v>
      </c>
      <c r="CY38" s="1">
        <v>833.33999999999992</v>
      </c>
      <c r="CZ38" s="1">
        <v>803.85</v>
      </c>
      <c r="DA38" s="1">
        <v>0</v>
      </c>
      <c r="DB38" s="1">
        <v>0</v>
      </c>
      <c r="DC38" s="1">
        <v>0</v>
      </c>
      <c r="DD38" s="1">
        <v>0</v>
      </c>
      <c r="DE38" s="1">
        <v>0</v>
      </c>
      <c r="DF38" s="1">
        <v>0</v>
      </c>
      <c r="DG38" s="1">
        <v>0</v>
      </c>
      <c r="DH38" s="1">
        <v>0</v>
      </c>
      <c r="DI38" s="1">
        <v>0</v>
      </c>
      <c r="DJ38" s="1">
        <v>0</v>
      </c>
      <c r="DK38" s="1">
        <v>0</v>
      </c>
      <c r="DL38" s="1">
        <v>0</v>
      </c>
      <c r="DM38" s="1">
        <v>2800.75</v>
      </c>
      <c r="DN38" s="1">
        <v>2722.02</v>
      </c>
      <c r="DO38" s="1">
        <v>2500.0300000000002</v>
      </c>
      <c r="DP38" s="1">
        <v>2411.4299999999998</v>
      </c>
      <c r="DQ38" s="1">
        <v>2800.75</v>
      </c>
      <c r="DR38" s="1">
        <v>2722.02</v>
      </c>
      <c r="DS38" s="1">
        <v>2500.0300000000002</v>
      </c>
      <c r="DT38" s="1">
        <v>2411.4299999999998</v>
      </c>
      <c r="DU38" s="1">
        <v>0</v>
      </c>
      <c r="DV38" s="1">
        <v>0</v>
      </c>
      <c r="DW38" s="1">
        <v>0</v>
      </c>
      <c r="DX38" s="1">
        <v>0</v>
      </c>
      <c r="DY38" s="1">
        <v>0</v>
      </c>
      <c r="DZ38" s="1">
        <v>0</v>
      </c>
      <c r="EA38" s="1">
        <v>0</v>
      </c>
      <c r="EB38" s="1">
        <v>0</v>
      </c>
      <c r="EC38" s="1">
        <v>0</v>
      </c>
      <c r="ED38" s="1">
        <v>0</v>
      </c>
      <c r="EE38" s="1">
        <v>0</v>
      </c>
      <c r="EF38" s="1">
        <v>0</v>
      </c>
      <c r="EG38" s="1">
        <v>0</v>
      </c>
      <c r="EH38" s="1">
        <v>0</v>
      </c>
      <c r="EI38" s="1">
        <v>0</v>
      </c>
      <c r="EJ38" s="1">
        <v>0</v>
      </c>
      <c r="EK38" s="1">
        <v>569.16000000000008</v>
      </c>
      <c r="EL38" s="1">
        <v>491.91</v>
      </c>
      <c r="EM38" s="1">
        <v>457.24</v>
      </c>
      <c r="EN38" s="1">
        <v>442.07000000000011</v>
      </c>
      <c r="EO38" s="1">
        <v>569.16000000000008</v>
      </c>
      <c r="EP38" s="1">
        <v>491.91</v>
      </c>
      <c r="EQ38" s="1">
        <v>457.24</v>
      </c>
      <c r="ER38" s="1">
        <v>442.07000000000011</v>
      </c>
      <c r="ES38" s="1">
        <v>0</v>
      </c>
      <c r="ET38" s="1">
        <v>0</v>
      </c>
      <c r="EU38" s="1">
        <v>0</v>
      </c>
      <c r="EV38" s="1">
        <v>0</v>
      </c>
      <c r="EW38" s="1">
        <v>0</v>
      </c>
      <c r="EX38" s="1">
        <v>0</v>
      </c>
      <c r="EY38" s="1">
        <v>0</v>
      </c>
      <c r="EZ38" s="1">
        <v>0</v>
      </c>
      <c r="FA38" s="1">
        <v>0</v>
      </c>
      <c r="FB38" s="1">
        <v>0</v>
      </c>
      <c r="FC38" s="1">
        <v>0</v>
      </c>
      <c r="FD38" s="1">
        <v>0</v>
      </c>
      <c r="FE38" s="1">
        <v>30.69</v>
      </c>
      <c r="FF38" s="1">
        <v>31.23</v>
      </c>
      <c r="FG38" s="1">
        <v>18.329999999999998</v>
      </c>
      <c r="FH38" s="1">
        <v>14.41</v>
      </c>
      <c r="FI38" s="1">
        <v>30.69</v>
      </c>
      <c r="FJ38" s="1">
        <v>31.23</v>
      </c>
      <c r="FK38" s="1">
        <v>18.329999999999998</v>
      </c>
      <c r="FL38" s="1">
        <v>14.41</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30.66</v>
      </c>
      <c r="GD38" s="1">
        <v>0</v>
      </c>
      <c r="GE38" s="1">
        <v>0</v>
      </c>
      <c r="GF38" s="1">
        <v>0</v>
      </c>
      <c r="GG38" s="1">
        <v>30.66</v>
      </c>
      <c r="GH38" s="1">
        <v>0</v>
      </c>
      <c r="GI38" s="1">
        <v>0</v>
      </c>
      <c r="GJ38" s="1">
        <v>0</v>
      </c>
      <c r="GK38" s="1">
        <v>0</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3.83</v>
      </c>
      <c r="HF38" s="1">
        <v>0</v>
      </c>
      <c r="HG38" s="1">
        <v>0</v>
      </c>
      <c r="HH38" s="1">
        <v>0</v>
      </c>
      <c r="HI38" s="1">
        <v>3.83</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306.29000000000002</v>
      </c>
      <c r="IP38" s="1">
        <v>688.72</v>
      </c>
      <c r="IQ38" s="1">
        <v>859.6</v>
      </c>
      <c r="IR38" s="1">
        <v>820.62000000000012</v>
      </c>
      <c r="IS38" s="1">
        <v>306.29000000000002</v>
      </c>
      <c r="IT38" s="1">
        <v>688.72</v>
      </c>
      <c r="IU38" s="1">
        <v>859.6</v>
      </c>
      <c r="IV38" s="1">
        <v>820.62000000000012</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0</v>
      </c>
      <c r="JO38" s="1">
        <v>0</v>
      </c>
      <c r="JP38" s="1">
        <v>0</v>
      </c>
      <c r="JQ38" s="9"/>
      <c r="JR38" s="1">
        <f t="shared" si="16"/>
        <v>2550.8439000000003</v>
      </c>
      <c r="JS38" s="1">
        <f t="shared" si="17"/>
        <v>2580.2253000000001</v>
      </c>
      <c r="JT38" s="1">
        <f t="shared" si="18"/>
        <v>2300.7456000000002</v>
      </c>
      <c r="JU38" s="1">
        <f t="shared" si="19"/>
        <v>2140.6923000000002</v>
      </c>
      <c r="JV38" s="1">
        <f t="shared" si="20"/>
        <v>472.37850000000003</v>
      </c>
      <c r="JW38" s="1">
        <f t="shared" si="21"/>
        <v>477.81950000000001</v>
      </c>
      <c r="JX38" s="1">
        <f t="shared" si="22"/>
        <v>426.06400000000008</v>
      </c>
      <c r="JY38" s="1">
        <f t="shared" si="23"/>
        <v>396.42450000000002</v>
      </c>
    </row>
    <row r="39" spans="1:285" x14ac:dyDescent="0.35">
      <c r="A39" s="2" t="s">
        <v>46</v>
      </c>
      <c r="B39" s="1">
        <v>193604</v>
      </c>
      <c r="C39" s="1">
        <v>193866</v>
      </c>
      <c r="D39" s="1">
        <v>195046</v>
      </c>
      <c r="E39" s="1">
        <v>196719</v>
      </c>
      <c r="F39" s="1">
        <v>55534.18</v>
      </c>
      <c r="G39" s="1">
        <v>56908.759999999987</v>
      </c>
      <c r="H39" s="1">
        <v>53679.889000000003</v>
      </c>
      <c r="I39" s="1">
        <v>52509.731</v>
      </c>
      <c r="J39" s="1">
        <f t="shared" si="8"/>
        <v>40445.43</v>
      </c>
      <c r="K39" s="1">
        <f t="shared" si="9"/>
        <v>40913.499999999993</v>
      </c>
      <c r="L39" s="1">
        <f t="shared" si="10"/>
        <v>37417.170000000006</v>
      </c>
      <c r="M39" s="1">
        <f t="shared" si="11"/>
        <v>36288.677000000003</v>
      </c>
      <c r="N39" s="1">
        <f t="shared" si="12"/>
        <v>15088.75</v>
      </c>
      <c r="O39" s="1">
        <f t="shared" si="13"/>
        <v>15995.259999999995</v>
      </c>
      <c r="P39" s="1">
        <f t="shared" si="14"/>
        <v>16262.718999999997</v>
      </c>
      <c r="Q39" s="1">
        <f t="shared" si="15"/>
        <v>16221.053999999996</v>
      </c>
      <c r="R39" s="1">
        <v>0</v>
      </c>
      <c r="S39" s="1">
        <v>0</v>
      </c>
      <c r="T39" s="1">
        <v>0</v>
      </c>
      <c r="U39" s="1">
        <v>0</v>
      </c>
      <c r="V39" s="1">
        <v>0</v>
      </c>
      <c r="W39" s="1">
        <v>0</v>
      </c>
      <c r="X39" s="1">
        <v>0</v>
      </c>
      <c r="Y39" s="1">
        <v>0</v>
      </c>
      <c r="Z39" s="1">
        <v>0</v>
      </c>
      <c r="AA39" s="1">
        <v>0</v>
      </c>
      <c r="AB39" s="1">
        <v>0</v>
      </c>
      <c r="AC39" s="1">
        <v>0</v>
      </c>
      <c r="AD39" s="1">
        <v>0</v>
      </c>
      <c r="AE39" s="1">
        <v>0</v>
      </c>
      <c r="AF39" s="1">
        <v>0</v>
      </c>
      <c r="AG39" s="1">
        <v>0</v>
      </c>
      <c r="AH39" s="1">
        <v>0</v>
      </c>
      <c r="AI39" s="1">
        <v>0</v>
      </c>
      <c r="AJ39" s="1">
        <v>0</v>
      </c>
      <c r="AK39" s="1">
        <v>0</v>
      </c>
      <c r="AL39" s="1">
        <v>0</v>
      </c>
      <c r="AM39" s="1">
        <v>0</v>
      </c>
      <c r="AN39" s="1">
        <v>0</v>
      </c>
      <c r="AO39" s="1">
        <v>0</v>
      </c>
      <c r="AP39" s="1">
        <v>18337.89</v>
      </c>
      <c r="AQ39" s="1">
        <v>17580.46</v>
      </c>
      <c r="AR39" s="1">
        <v>16223.359999999999</v>
      </c>
      <c r="AS39" s="1">
        <v>15789.239999999998</v>
      </c>
      <c r="AT39" s="1">
        <v>0</v>
      </c>
      <c r="AU39" s="1">
        <v>18337.89</v>
      </c>
      <c r="AV39" s="1">
        <v>0</v>
      </c>
      <c r="AW39" s="1">
        <v>0</v>
      </c>
      <c r="AX39" s="1">
        <v>3230.38</v>
      </c>
      <c r="AY39" s="1">
        <v>14350.079999999998</v>
      </c>
      <c r="AZ39" s="1">
        <v>0</v>
      </c>
      <c r="BA39" s="1">
        <v>0</v>
      </c>
      <c r="BB39" s="1">
        <v>16223.359999999999</v>
      </c>
      <c r="BC39" s="1">
        <v>0</v>
      </c>
      <c r="BD39" s="1">
        <v>0</v>
      </c>
      <c r="BE39" s="1">
        <v>15789.239999999998</v>
      </c>
      <c r="BF39" s="1">
        <v>0</v>
      </c>
      <c r="BG39" s="1">
        <v>0</v>
      </c>
      <c r="BH39" s="1">
        <v>0</v>
      </c>
      <c r="BI39" s="1">
        <v>0</v>
      </c>
      <c r="BJ39" s="1">
        <v>0</v>
      </c>
      <c r="BK39" s="1">
        <v>0</v>
      </c>
      <c r="BL39" s="1">
        <v>0</v>
      </c>
      <c r="BM39" s="1">
        <v>0</v>
      </c>
      <c r="BN39" s="1">
        <v>0</v>
      </c>
      <c r="BO39" s="1">
        <v>0</v>
      </c>
      <c r="BP39" s="1">
        <v>0</v>
      </c>
      <c r="BQ39" s="1">
        <v>0</v>
      </c>
      <c r="BR39" s="1">
        <v>0</v>
      </c>
      <c r="BS39" s="1">
        <v>0</v>
      </c>
      <c r="BT39" s="1">
        <v>0</v>
      </c>
      <c r="BU39" s="1">
        <v>12673.84</v>
      </c>
      <c r="BV39" s="1">
        <v>14182.24</v>
      </c>
      <c r="BW39" s="1">
        <v>13177.92</v>
      </c>
      <c r="BX39" s="1">
        <v>12758.48</v>
      </c>
      <c r="BY39" s="1">
        <v>12673.84</v>
      </c>
      <c r="BZ39" s="1">
        <v>14182.24</v>
      </c>
      <c r="CA39" s="1">
        <v>13177.92</v>
      </c>
      <c r="CB39" s="1">
        <v>12758.48</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1268.55</v>
      </c>
      <c r="CT39" s="1">
        <v>1331.72</v>
      </c>
      <c r="CU39" s="1">
        <v>1247.152</v>
      </c>
      <c r="CV39" s="1">
        <v>1269.21</v>
      </c>
      <c r="CW39" s="1">
        <v>1268.55</v>
      </c>
      <c r="CX39" s="1">
        <v>1331.72</v>
      </c>
      <c r="CY39" s="1">
        <v>1247.152</v>
      </c>
      <c r="CZ39" s="1">
        <v>1269.21</v>
      </c>
      <c r="DA39" s="1">
        <v>0</v>
      </c>
      <c r="DB39" s="1">
        <v>0</v>
      </c>
      <c r="DC39" s="1">
        <v>0</v>
      </c>
      <c r="DD39" s="1">
        <v>0</v>
      </c>
      <c r="DE39" s="1">
        <v>0</v>
      </c>
      <c r="DF39" s="1">
        <v>0</v>
      </c>
      <c r="DG39" s="1">
        <v>0</v>
      </c>
      <c r="DH39" s="1">
        <v>0</v>
      </c>
      <c r="DI39" s="1">
        <v>0</v>
      </c>
      <c r="DJ39" s="1">
        <v>0</v>
      </c>
      <c r="DK39" s="1">
        <v>0</v>
      </c>
      <c r="DL39" s="1">
        <v>0</v>
      </c>
      <c r="DM39" s="1">
        <v>6547.52</v>
      </c>
      <c r="DN39" s="1">
        <v>6389.84</v>
      </c>
      <c r="DO39" s="1">
        <v>5658.66</v>
      </c>
      <c r="DP39" s="1">
        <v>5263.6849999999986</v>
      </c>
      <c r="DQ39" s="1">
        <v>6547.52</v>
      </c>
      <c r="DR39" s="1">
        <v>6389.84</v>
      </c>
      <c r="DS39" s="1">
        <v>5658.66</v>
      </c>
      <c r="DT39" s="1">
        <v>5263.6849999999986</v>
      </c>
      <c r="DU39" s="1">
        <v>0</v>
      </c>
      <c r="DV39" s="1">
        <v>0</v>
      </c>
      <c r="DW39" s="1">
        <v>0</v>
      </c>
      <c r="DX39" s="1">
        <v>0</v>
      </c>
      <c r="DY39" s="1">
        <v>0</v>
      </c>
      <c r="DZ39" s="1">
        <v>0</v>
      </c>
      <c r="EA39" s="1">
        <v>0</v>
      </c>
      <c r="EB39" s="1">
        <v>0</v>
      </c>
      <c r="EC39" s="1">
        <v>0</v>
      </c>
      <c r="ED39" s="1">
        <v>0</v>
      </c>
      <c r="EE39" s="1">
        <v>0</v>
      </c>
      <c r="EF39" s="1">
        <v>0</v>
      </c>
      <c r="EG39" s="1">
        <v>0</v>
      </c>
      <c r="EH39" s="1">
        <v>0</v>
      </c>
      <c r="EI39" s="1">
        <v>0</v>
      </c>
      <c r="EJ39" s="1">
        <v>0</v>
      </c>
      <c r="EK39" s="1">
        <v>1617.63</v>
      </c>
      <c r="EL39" s="1">
        <v>1429.24</v>
      </c>
      <c r="EM39" s="1">
        <v>1104.9059999999999</v>
      </c>
      <c r="EN39" s="1">
        <v>1203.8720000000001</v>
      </c>
      <c r="EO39" s="1">
        <v>1617.63</v>
      </c>
      <c r="EP39" s="1">
        <v>1429.24</v>
      </c>
      <c r="EQ39" s="1">
        <v>1104.9059999999999</v>
      </c>
      <c r="ER39" s="1">
        <v>1203.8720000000001</v>
      </c>
      <c r="ES39" s="1">
        <v>0</v>
      </c>
      <c r="ET39" s="1">
        <v>0</v>
      </c>
      <c r="EU39" s="1">
        <v>0</v>
      </c>
      <c r="EV39" s="1">
        <v>0</v>
      </c>
      <c r="EW39" s="1">
        <v>0</v>
      </c>
      <c r="EX39" s="1">
        <v>0</v>
      </c>
      <c r="EY39" s="1">
        <v>0</v>
      </c>
      <c r="EZ39" s="1">
        <v>0</v>
      </c>
      <c r="FA39" s="1">
        <v>0</v>
      </c>
      <c r="FB39" s="1">
        <v>0</v>
      </c>
      <c r="FC39" s="1">
        <v>0</v>
      </c>
      <c r="FD39" s="1">
        <v>0</v>
      </c>
      <c r="FE39" s="1">
        <v>0</v>
      </c>
      <c r="FF39" s="1">
        <v>0</v>
      </c>
      <c r="FG39" s="1">
        <v>5.1719999999999997</v>
      </c>
      <c r="FH39" s="1">
        <v>4.1900000000000004</v>
      </c>
      <c r="FI39" s="1">
        <v>0</v>
      </c>
      <c r="FJ39" s="1">
        <v>0</v>
      </c>
      <c r="FK39" s="1">
        <v>5.1719999999999997</v>
      </c>
      <c r="FL39" s="1">
        <v>4.1900000000000004</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0</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0</v>
      </c>
      <c r="JO39" s="1">
        <v>0</v>
      </c>
      <c r="JP39" s="1">
        <v>0</v>
      </c>
      <c r="JQ39" s="9"/>
      <c r="JR39" s="1">
        <f t="shared" si="16"/>
        <v>4073.9625000000001</v>
      </c>
      <c r="JS39" s="1">
        <f t="shared" si="17"/>
        <v>4318.7201999999988</v>
      </c>
      <c r="JT39" s="1">
        <f t="shared" si="18"/>
        <v>4390.9341299999996</v>
      </c>
      <c r="JU39" s="1">
        <f t="shared" si="19"/>
        <v>4379.6845799999992</v>
      </c>
      <c r="JV39" s="1">
        <f t="shared" si="20"/>
        <v>754.4375</v>
      </c>
      <c r="JW39" s="1">
        <f t="shared" si="21"/>
        <v>799.76299999999981</v>
      </c>
      <c r="JX39" s="1">
        <f t="shared" si="22"/>
        <v>813.13594999999987</v>
      </c>
      <c r="JY39" s="1">
        <f t="shared" si="23"/>
        <v>811.05269999999985</v>
      </c>
    </row>
    <row r="40" spans="1:285" x14ac:dyDescent="0.35">
      <c r="A40" s="2" t="s">
        <v>47</v>
      </c>
      <c r="B40" s="1">
        <v>206976</v>
      </c>
      <c r="C40" s="1">
        <v>206828</v>
      </c>
      <c r="D40" s="1">
        <v>207896</v>
      </c>
      <c r="E40" s="1">
        <v>209334</v>
      </c>
      <c r="F40" s="1">
        <v>186293.12</v>
      </c>
      <c r="G40" s="1">
        <v>196662.49</v>
      </c>
      <c r="H40" s="1">
        <v>184579.71</v>
      </c>
      <c r="I40" s="1">
        <v>192766.34</v>
      </c>
      <c r="J40" s="1">
        <f t="shared" si="8"/>
        <v>48856.24</v>
      </c>
      <c r="K40" s="1">
        <f t="shared" si="9"/>
        <v>51227.13</v>
      </c>
      <c r="L40" s="1">
        <f t="shared" si="10"/>
        <v>47972.25</v>
      </c>
      <c r="M40" s="1">
        <f t="shared" si="11"/>
        <v>46330.530000000006</v>
      </c>
      <c r="N40" s="1">
        <f t="shared" si="12"/>
        <v>137436.88</v>
      </c>
      <c r="O40" s="1">
        <f t="shared" si="13"/>
        <v>145435.35999999999</v>
      </c>
      <c r="P40" s="1">
        <f t="shared" si="14"/>
        <v>136607.46</v>
      </c>
      <c r="Q40" s="1">
        <f t="shared" si="15"/>
        <v>146435.81</v>
      </c>
      <c r="R40" s="1">
        <v>5467.91</v>
      </c>
      <c r="S40" s="1">
        <v>5075.41</v>
      </c>
      <c r="T40" s="1">
        <v>4411.9799999999996</v>
      </c>
      <c r="U40" s="1">
        <v>4103.4799999999996</v>
      </c>
      <c r="V40" s="1">
        <v>0</v>
      </c>
      <c r="W40" s="1">
        <v>0</v>
      </c>
      <c r="X40" s="1">
        <v>5467.91</v>
      </c>
      <c r="Y40" s="1">
        <v>0</v>
      </c>
      <c r="Z40" s="1">
        <v>0</v>
      </c>
      <c r="AA40" s="1">
        <v>5075.41</v>
      </c>
      <c r="AB40" s="1">
        <v>0</v>
      </c>
      <c r="AC40" s="1">
        <v>0</v>
      </c>
      <c r="AD40" s="1">
        <v>4411.9799999999996</v>
      </c>
      <c r="AE40" s="1">
        <v>0</v>
      </c>
      <c r="AF40" s="1">
        <v>0</v>
      </c>
      <c r="AG40" s="1">
        <v>4103.4799999999996</v>
      </c>
      <c r="AH40" s="1">
        <v>0</v>
      </c>
      <c r="AI40" s="1">
        <v>0</v>
      </c>
      <c r="AJ40" s="1">
        <v>0</v>
      </c>
      <c r="AK40" s="1">
        <v>0</v>
      </c>
      <c r="AL40" s="1">
        <v>0</v>
      </c>
      <c r="AM40" s="1">
        <v>0</v>
      </c>
      <c r="AN40" s="1">
        <v>0</v>
      </c>
      <c r="AO40" s="1">
        <v>0</v>
      </c>
      <c r="AP40" s="1">
        <v>5583.81</v>
      </c>
      <c r="AQ40" s="1">
        <v>6965.3600000000006</v>
      </c>
      <c r="AR40" s="1">
        <v>6467.5599999999995</v>
      </c>
      <c r="AS40" s="1">
        <v>6941.22</v>
      </c>
      <c r="AT40" s="1">
        <v>0</v>
      </c>
      <c r="AU40" s="1">
        <v>5583.81</v>
      </c>
      <c r="AV40" s="1">
        <v>0</v>
      </c>
      <c r="AW40" s="1">
        <v>0</v>
      </c>
      <c r="AX40" s="1">
        <v>0</v>
      </c>
      <c r="AY40" s="1">
        <v>6965.3600000000006</v>
      </c>
      <c r="AZ40" s="1">
        <v>0</v>
      </c>
      <c r="BA40" s="1">
        <v>0</v>
      </c>
      <c r="BB40" s="1">
        <v>0</v>
      </c>
      <c r="BC40" s="1">
        <v>6467.5599999999995</v>
      </c>
      <c r="BD40" s="1">
        <v>0</v>
      </c>
      <c r="BE40" s="1">
        <v>0</v>
      </c>
      <c r="BF40" s="1">
        <v>6941.22</v>
      </c>
      <c r="BG40" s="1">
        <v>0</v>
      </c>
      <c r="BH40" s="1">
        <v>0</v>
      </c>
      <c r="BI40" s="1">
        <v>0</v>
      </c>
      <c r="BJ40" s="1">
        <v>0</v>
      </c>
      <c r="BK40" s="1">
        <v>0</v>
      </c>
      <c r="BL40" s="1">
        <v>0</v>
      </c>
      <c r="BM40" s="1">
        <v>0</v>
      </c>
      <c r="BN40" s="1">
        <v>0</v>
      </c>
      <c r="BO40" s="1">
        <v>0</v>
      </c>
      <c r="BP40" s="1">
        <v>0</v>
      </c>
      <c r="BQ40" s="1">
        <v>0</v>
      </c>
      <c r="BR40" s="1">
        <v>0</v>
      </c>
      <c r="BS40" s="1">
        <v>0</v>
      </c>
      <c r="BT40" s="1">
        <v>0</v>
      </c>
      <c r="BU40" s="1">
        <v>7214.98</v>
      </c>
      <c r="BV40" s="1">
        <v>7716.4500000000007</v>
      </c>
      <c r="BW40" s="1">
        <v>6111.82</v>
      </c>
      <c r="BX40" s="1">
        <v>5686.35</v>
      </c>
      <c r="BY40" s="1">
        <v>7214.98</v>
      </c>
      <c r="BZ40" s="1">
        <v>7716.4500000000007</v>
      </c>
      <c r="CA40" s="1">
        <v>6111.82</v>
      </c>
      <c r="CB40" s="1">
        <v>5686.35</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4056.31</v>
      </c>
      <c r="CT40" s="1">
        <v>2992.93</v>
      </c>
      <c r="CU40" s="1">
        <v>2915.7</v>
      </c>
      <c r="CV40" s="1">
        <v>3359.34</v>
      </c>
      <c r="CW40" s="1">
        <v>4056.31</v>
      </c>
      <c r="CX40" s="1">
        <v>2992.93</v>
      </c>
      <c r="CY40" s="1">
        <v>2915.7</v>
      </c>
      <c r="CZ40" s="1">
        <v>3359.34</v>
      </c>
      <c r="DA40" s="1">
        <v>0</v>
      </c>
      <c r="DB40" s="1">
        <v>0</v>
      </c>
      <c r="DC40" s="1">
        <v>0</v>
      </c>
      <c r="DD40" s="1">
        <v>0</v>
      </c>
      <c r="DE40" s="1">
        <v>0</v>
      </c>
      <c r="DF40" s="1">
        <v>0</v>
      </c>
      <c r="DG40" s="1">
        <v>0</v>
      </c>
      <c r="DH40" s="1">
        <v>0</v>
      </c>
      <c r="DI40" s="1">
        <v>0</v>
      </c>
      <c r="DJ40" s="1">
        <v>0</v>
      </c>
      <c r="DK40" s="1">
        <v>0</v>
      </c>
      <c r="DL40" s="1">
        <v>0</v>
      </c>
      <c r="DM40" s="1">
        <v>6804.15</v>
      </c>
      <c r="DN40" s="1">
        <v>6444.46</v>
      </c>
      <c r="DO40" s="1">
        <v>5302.28</v>
      </c>
      <c r="DP40" s="1">
        <v>4831.88</v>
      </c>
      <c r="DQ40" s="1">
        <v>6804.15</v>
      </c>
      <c r="DR40" s="1">
        <v>6444.46</v>
      </c>
      <c r="DS40" s="1">
        <v>5302.28</v>
      </c>
      <c r="DT40" s="1">
        <v>4831.88</v>
      </c>
      <c r="DU40" s="1">
        <v>0</v>
      </c>
      <c r="DV40" s="1">
        <v>0</v>
      </c>
      <c r="DW40" s="1">
        <v>0</v>
      </c>
      <c r="DX40" s="1">
        <v>0</v>
      </c>
      <c r="DY40" s="1">
        <v>0</v>
      </c>
      <c r="DZ40" s="1">
        <v>0</v>
      </c>
      <c r="EA40" s="1">
        <v>0</v>
      </c>
      <c r="EB40" s="1">
        <v>0</v>
      </c>
      <c r="EC40" s="1">
        <v>0</v>
      </c>
      <c r="ED40" s="1">
        <v>0</v>
      </c>
      <c r="EE40" s="1">
        <v>0</v>
      </c>
      <c r="EF40" s="1">
        <v>0</v>
      </c>
      <c r="EG40" s="1">
        <v>0</v>
      </c>
      <c r="EH40" s="1">
        <v>0</v>
      </c>
      <c r="EI40" s="1">
        <v>0</v>
      </c>
      <c r="EJ40" s="1">
        <v>0</v>
      </c>
      <c r="EK40" s="1">
        <v>12065.17</v>
      </c>
      <c r="EL40" s="1">
        <v>12192.88</v>
      </c>
      <c r="EM40" s="1">
        <v>11541.45</v>
      </c>
      <c r="EN40" s="1">
        <v>11928.63</v>
      </c>
      <c r="EO40" s="1">
        <v>12065.17</v>
      </c>
      <c r="EP40" s="1">
        <v>12192.88</v>
      </c>
      <c r="EQ40" s="1">
        <v>11541.45</v>
      </c>
      <c r="ER40" s="1">
        <v>11928.63</v>
      </c>
      <c r="ES40" s="1">
        <v>0</v>
      </c>
      <c r="ET40" s="1">
        <v>0</v>
      </c>
      <c r="EU40" s="1">
        <v>0</v>
      </c>
      <c r="EV40" s="1">
        <v>0</v>
      </c>
      <c r="EW40" s="1">
        <v>0</v>
      </c>
      <c r="EX40" s="1">
        <v>0</v>
      </c>
      <c r="EY40" s="1">
        <v>0</v>
      </c>
      <c r="EZ40" s="1">
        <v>0</v>
      </c>
      <c r="FA40" s="1">
        <v>0</v>
      </c>
      <c r="FB40" s="1">
        <v>0</v>
      </c>
      <c r="FC40" s="1">
        <v>0</v>
      </c>
      <c r="FD40" s="1">
        <v>0</v>
      </c>
      <c r="FE40" s="1">
        <v>448.15</v>
      </c>
      <c r="FF40" s="1">
        <v>417.61</v>
      </c>
      <c r="FG40" s="1">
        <v>453.55</v>
      </c>
      <c r="FH40" s="1">
        <v>572.01</v>
      </c>
      <c r="FI40" s="1">
        <v>448.15</v>
      </c>
      <c r="FJ40" s="1">
        <v>417.61</v>
      </c>
      <c r="FK40" s="1">
        <v>453.55</v>
      </c>
      <c r="FL40" s="1">
        <v>572.01</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2379.52</v>
      </c>
      <c r="GD40" s="1">
        <v>4059</v>
      </c>
      <c r="GE40" s="1">
        <v>3565.1</v>
      </c>
      <c r="GF40" s="1">
        <v>4130.05</v>
      </c>
      <c r="GG40" s="1">
        <v>2379.52</v>
      </c>
      <c r="GH40" s="1">
        <v>4059</v>
      </c>
      <c r="GI40" s="1">
        <v>3565.1</v>
      </c>
      <c r="GJ40" s="1">
        <v>0</v>
      </c>
      <c r="GK40" s="1">
        <v>0</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4824.4799999999996</v>
      </c>
      <c r="HF40" s="1">
        <v>5327.15</v>
      </c>
      <c r="HG40" s="1">
        <v>4864.72</v>
      </c>
      <c r="HH40" s="1">
        <v>4711.37</v>
      </c>
      <c r="HI40" s="1">
        <v>4824.4799999999996</v>
      </c>
      <c r="HJ40" s="1">
        <v>5166.34</v>
      </c>
      <c r="HK40" s="1">
        <v>4546.49</v>
      </c>
      <c r="HL40" s="1">
        <v>4403.95</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160.81</v>
      </c>
      <c r="IE40" s="1">
        <v>318.23</v>
      </c>
      <c r="IF40" s="1">
        <v>307.42</v>
      </c>
      <c r="IG40" s="1">
        <v>0</v>
      </c>
      <c r="IH40" s="1">
        <v>0</v>
      </c>
      <c r="II40" s="1">
        <v>0</v>
      </c>
      <c r="IJ40" s="1">
        <v>0</v>
      </c>
      <c r="IK40" s="1">
        <v>0</v>
      </c>
      <c r="IL40" s="1">
        <v>0</v>
      </c>
      <c r="IM40" s="1">
        <v>0</v>
      </c>
      <c r="IN40" s="1">
        <v>0</v>
      </c>
      <c r="IO40" s="1">
        <v>11.76</v>
      </c>
      <c r="IP40" s="1">
        <v>35.880000000000003</v>
      </c>
      <c r="IQ40" s="1">
        <v>2338.09</v>
      </c>
      <c r="IR40" s="1">
        <v>66.2</v>
      </c>
      <c r="IS40" s="1">
        <v>0</v>
      </c>
      <c r="IT40" s="1">
        <v>0</v>
      </c>
      <c r="IU40" s="1">
        <v>2285.6999999999998</v>
      </c>
      <c r="IV40" s="1">
        <v>0</v>
      </c>
      <c r="IW40" s="1">
        <v>11.76</v>
      </c>
      <c r="IX40" s="1">
        <v>35.880000000000003</v>
      </c>
      <c r="IY40" s="1">
        <v>52.39</v>
      </c>
      <c r="IZ40" s="1">
        <v>66.2</v>
      </c>
      <c r="JA40" s="1">
        <v>0</v>
      </c>
      <c r="JB40" s="1">
        <v>0</v>
      </c>
      <c r="JC40" s="1">
        <v>0</v>
      </c>
      <c r="JD40" s="1">
        <v>0</v>
      </c>
      <c r="JE40" s="1">
        <v>0</v>
      </c>
      <c r="JF40" s="1">
        <v>0</v>
      </c>
      <c r="JG40" s="1">
        <v>0</v>
      </c>
      <c r="JH40" s="1">
        <v>0</v>
      </c>
      <c r="JI40" s="1">
        <v>0</v>
      </c>
      <c r="JJ40" s="1">
        <v>0</v>
      </c>
      <c r="JK40" s="1">
        <v>0</v>
      </c>
      <c r="JL40" s="1">
        <v>0</v>
      </c>
      <c r="JM40" s="1">
        <v>0</v>
      </c>
      <c r="JN40" s="1">
        <v>0</v>
      </c>
      <c r="JO40" s="1">
        <v>0</v>
      </c>
      <c r="JP40" s="1">
        <v>0</v>
      </c>
      <c r="JQ40" s="9"/>
      <c r="JR40" s="1">
        <f t="shared" si="16"/>
        <v>37107.957600000002</v>
      </c>
      <c r="JS40" s="1">
        <f t="shared" si="17"/>
        <v>39267.547200000001</v>
      </c>
      <c r="JT40" s="1">
        <f t="shared" si="18"/>
        <v>36884.014199999998</v>
      </c>
      <c r="JU40" s="1">
        <f t="shared" si="19"/>
        <v>39537.668700000002</v>
      </c>
      <c r="JV40" s="1">
        <f t="shared" si="20"/>
        <v>6871.844000000001</v>
      </c>
      <c r="JW40" s="1">
        <f t="shared" si="21"/>
        <v>7271.768</v>
      </c>
      <c r="JX40" s="1">
        <f t="shared" si="22"/>
        <v>6830.3729999999996</v>
      </c>
      <c r="JY40" s="1">
        <f t="shared" si="23"/>
        <v>7321.7905000000001</v>
      </c>
    </row>
    <row r="41" spans="1:285" x14ac:dyDescent="0.35">
      <c r="A41" s="2" t="s">
        <v>48</v>
      </c>
      <c r="B41" s="1">
        <v>143741</v>
      </c>
      <c r="C41" s="1">
        <v>145022</v>
      </c>
      <c r="D41" s="1">
        <v>147928</v>
      </c>
      <c r="E41" s="1">
        <v>148842</v>
      </c>
      <c r="F41" s="1">
        <v>95036.013000000006</v>
      </c>
      <c r="G41" s="1">
        <v>95146.341000000015</v>
      </c>
      <c r="H41" s="1">
        <v>88724.97</v>
      </c>
      <c r="I41" s="1">
        <v>91597.301999999996</v>
      </c>
      <c r="J41" s="1">
        <f t="shared" si="8"/>
        <v>55446.451999999997</v>
      </c>
      <c r="K41" s="1">
        <f t="shared" si="9"/>
        <v>59895.92</v>
      </c>
      <c r="L41" s="1">
        <f t="shared" si="10"/>
        <v>55032.847999999991</v>
      </c>
      <c r="M41" s="1">
        <f t="shared" si="11"/>
        <v>57040.974000000002</v>
      </c>
      <c r="N41" s="1">
        <f t="shared" si="12"/>
        <v>39589.561000000009</v>
      </c>
      <c r="O41" s="1">
        <f t="shared" si="13"/>
        <v>35250.421000000017</v>
      </c>
      <c r="P41" s="1">
        <f t="shared" si="14"/>
        <v>33692.12200000001</v>
      </c>
      <c r="Q41" s="1">
        <f t="shared" si="15"/>
        <v>34556.327999999994</v>
      </c>
      <c r="R41" s="1">
        <v>376.94</v>
      </c>
      <c r="S41" s="1">
        <v>849.74</v>
      </c>
      <c r="T41" s="1">
        <v>1279.1600000000001</v>
      </c>
      <c r="U41" s="1">
        <v>849.68000000000006</v>
      </c>
      <c r="V41" s="1">
        <v>376.94</v>
      </c>
      <c r="W41" s="1">
        <v>0</v>
      </c>
      <c r="X41" s="1">
        <v>0</v>
      </c>
      <c r="Y41" s="1">
        <v>849.74</v>
      </c>
      <c r="Z41" s="1">
        <v>0</v>
      </c>
      <c r="AA41" s="1">
        <v>0</v>
      </c>
      <c r="AB41" s="1">
        <v>1279.1600000000001</v>
      </c>
      <c r="AC41" s="1">
        <v>0</v>
      </c>
      <c r="AD41" s="1">
        <v>0</v>
      </c>
      <c r="AE41" s="1">
        <v>849.68000000000006</v>
      </c>
      <c r="AF41" s="1">
        <v>0</v>
      </c>
      <c r="AG41" s="1">
        <v>0</v>
      </c>
      <c r="AH41" s="1">
        <v>0</v>
      </c>
      <c r="AI41" s="1">
        <v>0</v>
      </c>
      <c r="AJ41" s="1">
        <v>0</v>
      </c>
      <c r="AK41" s="1">
        <v>0</v>
      </c>
      <c r="AL41" s="1">
        <v>0</v>
      </c>
      <c r="AM41" s="1">
        <v>0</v>
      </c>
      <c r="AN41" s="1">
        <v>0</v>
      </c>
      <c r="AO41" s="1">
        <v>0</v>
      </c>
      <c r="AP41" s="1">
        <v>23292.269999999997</v>
      </c>
      <c r="AQ41" s="1">
        <v>30260.55</v>
      </c>
      <c r="AR41" s="1">
        <v>25995.460000000003</v>
      </c>
      <c r="AS41" s="1">
        <v>29940.14</v>
      </c>
      <c r="AT41" s="1">
        <v>23292.269999999997</v>
      </c>
      <c r="AU41" s="1">
        <v>0</v>
      </c>
      <c r="AV41" s="1">
        <v>0</v>
      </c>
      <c r="AW41" s="1">
        <v>0</v>
      </c>
      <c r="AX41" s="1">
        <v>30260.55</v>
      </c>
      <c r="AY41" s="1">
        <v>0</v>
      </c>
      <c r="AZ41" s="1">
        <v>0</v>
      </c>
      <c r="BA41" s="1">
        <v>0</v>
      </c>
      <c r="BB41" s="1">
        <v>0</v>
      </c>
      <c r="BC41" s="1">
        <v>25995.460000000003</v>
      </c>
      <c r="BD41" s="1">
        <v>0</v>
      </c>
      <c r="BE41" s="1">
        <v>29940.14</v>
      </c>
      <c r="BF41" s="1">
        <v>0</v>
      </c>
      <c r="BG41" s="1">
        <v>0</v>
      </c>
      <c r="BH41" s="1">
        <v>0</v>
      </c>
      <c r="BI41" s="1">
        <v>0</v>
      </c>
      <c r="BJ41" s="1">
        <v>0</v>
      </c>
      <c r="BK41" s="1">
        <v>0</v>
      </c>
      <c r="BL41" s="1">
        <v>0</v>
      </c>
      <c r="BM41" s="1">
        <v>0</v>
      </c>
      <c r="BN41" s="1">
        <v>0</v>
      </c>
      <c r="BO41" s="1">
        <v>0</v>
      </c>
      <c r="BP41" s="1">
        <v>0</v>
      </c>
      <c r="BQ41" s="1">
        <v>0</v>
      </c>
      <c r="BR41" s="1">
        <v>0</v>
      </c>
      <c r="BS41" s="1">
        <v>0</v>
      </c>
      <c r="BT41" s="1">
        <v>0</v>
      </c>
      <c r="BU41" s="1">
        <v>12622.77</v>
      </c>
      <c r="BV41" s="1">
        <v>12839.814</v>
      </c>
      <c r="BW41" s="1">
        <v>13171.259</v>
      </c>
      <c r="BX41" s="1">
        <v>12869.793</v>
      </c>
      <c r="BY41" s="1">
        <v>12291.77</v>
      </c>
      <c r="BZ41" s="1">
        <v>12839.814</v>
      </c>
      <c r="CA41" s="1">
        <v>13171.259</v>
      </c>
      <c r="CB41" s="1">
        <v>12869.793</v>
      </c>
      <c r="CC41" s="1">
        <v>331</v>
      </c>
      <c r="CD41" s="1">
        <v>0</v>
      </c>
      <c r="CE41" s="1">
        <v>0</v>
      </c>
      <c r="CF41" s="1">
        <v>0</v>
      </c>
      <c r="CG41" s="1">
        <v>0</v>
      </c>
      <c r="CH41" s="1">
        <v>0</v>
      </c>
      <c r="CI41" s="1">
        <v>0</v>
      </c>
      <c r="CJ41" s="1">
        <v>0</v>
      </c>
      <c r="CK41" s="1">
        <v>0</v>
      </c>
      <c r="CL41" s="1">
        <v>0</v>
      </c>
      <c r="CM41" s="1">
        <v>0</v>
      </c>
      <c r="CN41" s="1">
        <v>0</v>
      </c>
      <c r="CO41" s="1">
        <v>0</v>
      </c>
      <c r="CP41" s="1">
        <v>0</v>
      </c>
      <c r="CQ41" s="1">
        <v>0</v>
      </c>
      <c r="CR41" s="1">
        <v>0</v>
      </c>
      <c r="CS41" s="1">
        <v>5443.8520000000008</v>
      </c>
      <c r="CT41" s="1">
        <v>3601.114</v>
      </c>
      <c r="CU41" s="1">
        <v>3612.3989999999999</v>
      </c>
      <c r="CV41" s="1">
        <v>3460.3</v>
      </c>
      <c r="CW41" s="1">
        <v>5443.8520000000008</v>
      </c>
      <c r="CX41" s="1">
        <v>3601.114</v>
      </c>
      <c r="CY41" s="1">
        <v>3612.3989999999999</v>
      </c>
      <c r="CZ41" s="1">
        <v>3460.3</v>
      </c>
      <c r="DA41" s="1">
        <v>0</v>
      </c>
      <c r="DB41" s="1">
        <v>0</v>
      </c>
      <c r="DC41" s="1">
        <v>0</v>
      </c>
      <c r="DD41" s="1">
        <v>0</v>
      </c>
      <c r="DE41" s="1">
        <v>0</v>
      </c>
      <c r="DF41" s="1">
        <v>0</v>
      </c>
      <c r="DG41" s="1">
        <v>0</v>
      </c>
      <c r="DH41" s="1">
        <v>0</v>
      </c>
      <c r="DI41" s="1">
        <v>0</v>
      </c>
      <c r="DJ41" s="1">
        <v>0</v>
      </c>
      <c r="DK41" s="1">
        <v>0</v>
      </c>
      <c r="DL41" s="1">
        <v>0</v>
      </c>
      <c r="DM41" s="1">
        <v>11451.762000000001</v>
      </c>
      <c r="DN41" s="1">
        <v>10468.804</v>
      </c>
      <c r="DO41" s="1">
        <v>9110.8289999999997</v>
      </c>
      <c r="DP41" s="1">
        <v>7955.866</v>
      </c>
      <c r="DQ41" s="1">
        <v>11451.762000000001</v>
      </c>
      <c r="DR41" s="1">
        <v>10442.454</v>
      </c>
      <c r="DS41" s="1">
        <v>9110.8289999999997</v>
      </c>
      <c r="DT41" s="1">
        <v>7955.866</v>
      </c>
      <c r="DU41" s="1">
        <v>0</v>
      </c>
      <c r="DV41" s="1">
        <v>26.35</v>
      </c>
      <c r="DW41" s="1">
        <v>0</v>
      </c>
      <c r="DX41" s="1">
        <v>0</v>
      </c>
      <c r="DY41" s="1">
        <v>0</v>
      </c>
      <c r="DZ41" s="1">
        <v>0</v>
      </c>
      <c r="EA41" s="1">
        <v>0</v>
      </c>
      <c r="EB41" s="1">
        <v>0</v>
      </c>
      <c r="EC41" s="1">
        <v>0</v>
      </c>
      <c r="ED41" s="1">
        <v>0</v>
      </c>
      <c r="EE41" s="1">
        <v>0</v>
      </c>
      <c r="EF41" s="1">
        <v>0</v>
      </c>
      <c r="EG41" s="1">
        <v>0</v>
      </c>
      <c r="EH41" s="1">
        <v>0</v>
      </c>
      <c r="EI41" s="1">
        <v>0</v>
      </c>
      <c r="EJ41" s="1">
        <v>0</v>
      </c>
      <c r="EK41" s="1">
        <v>2018.3</v>
      </c>
      <c r="EL41" s="1">
        <v>1419.7639999999999</v>
      </c>
      <c r="EM41" s="1">
        <v>1398.559</v>
      </c>
      <c r="EN41" s="1">
        <v>1460.2</v>
      </c>
      <c r="EO41" s="1">
        <v>2018.3</v>
      </c>
      <c r="EP41" s="1">
        <v>1419.7639999999999</v>
      </c>
      <c r="EQ41" s="1">
        <v>1398.559</v>
      </c>
      <c r="ER41" s="1">
        <v>1460.2</v>
      </c>
      <c r="ES41" s="1">
        <v>0</v>
      </c>
      <c r="ET41" s="1">
        <v>0</v>
      </c>
      <c r="EU41" s="1">
        <v>0</v>
      </c>
      <c r="EV41" s="1">
        <v>0</v>
      </c>
      <c r="EW41" s="1">
        <v>0</v>
      </c>
      <c r="EX41" s="1">
        <v>0</v>
      </c>
      <c r="EY41" s="1">
        <v>0</v>
      </c>
      <c r="EZ41" s="1">
        <v>0</v>
      </c>
      <c r="FA41" s="1">
        <v>0</v>
      </c>
      <c r="FB41" s="1">
        <v>0</v>
      </c>
      <c r="FC41" s="1">
        <v>0</v>
      </c>
      <c r="FD41" s="1">
        <v>0</v>
      </c>
      <c r="FE41" s="1">
        <v>99.338999999999999</v>
      </c>
      <c r="FF41" s="1">
        <v>384.81400000000002</v>
      </c>
      <c r="FG41" s="1">
        <v>367.07499999999999</v>
      </c>
      <c r="FH41" s="1">
        <v>333.08399999999989</v>
      </c>
      <c r="FI41" s="1">
        <v>99.338999999999999</v>
      </c>
      <c r="FJ41" s="1">
        <v>384.81400000000002</v>
      </c>
      <c r="FK41" s="1">
        <v>367.07499999999999</v>
      </c>
      <c r="FL41" s="1">
        <v>333.08399999999989</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92.799000000000007</v>
      </c>
      <c r="GD41" s="1">
        <v>63.76</v>
      </c>
      <c r="GE41" s="1">
        <v>78.546999999999997</v>
      </c>
      <c r="GF41" s="1">
        <v>171.911</v>
      </c>
      <c r="GG41" s="1">
        <v>92.799000000000007</v>
      </c>
      <c r="GH41" s="1">
        <v>63.76</v>
      </c>
      <c r="GI41" s="1">
        <v>78.546999999999997</v>
      </c>
      <c r="GJ41" s="1">
        <v>4130.05</v>
      </c>
      <c r="GK41" s="1">
        <v>0</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48.42</v>
      </c>
      <c r="HF41" s="1">
        <v>7.56</v>
      </c>
      <c r="HG41" s="1">
        <v>19.559999999999999</v>
      </c>
      <c r="HH41" s="1">
        <v>0</v>
      </c>
      <c r="HI41" s="1">
        <v>48.42</v>
      </c>
      <c r="HJ41" s="1">
        <v>7.56</v>
      </c>
      <c r="HK41" s="1">
        <v>19.559999999999999</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0</v>
      </c>
      <c r="JO41" s="1">
        <v>0</v>
      </c>
      <c r="JP41" s="1">
        <v>0</v>
      </c>
      <c r="JQ41" s="9"/>
      <c r="JR41" s="1">
        <f t="shared" si="16"/>
        <v>10689.181470000003</v>
      </c>
      <c r="JS41" s="1">
        <f t="shared" si="17"/>
        <v>9517.6136700000043</v>
      </c>
      <c r="JT41" s="1">
        <f t="shared" si="18"/>
        <v>9096.8729400000029</v>
      </c>
      <c r="JU41" s="1">
        <f t="shared" si="19"/>
        <v>9330.2085599999991</v>
      </c>
      <c r="JV41" s="1">
        <f t="shared" si="20"/>
        <v>1979.4780500000006</v>
      </c>
      <c r="JW41" s="1">
        <f t="shared" si="21"/>
        <v>1762.521050000001</v>
      </c>
      <c r="JX41" s="1">
        <f t="shared" si="22"/>
        <v>1684.6061000000007</v>
      </c>
      <c r="JY41" s="1">
        <f t="shared" si="23"/>
        <v>1727.8163999999997</v>
      </c>
    </row>
    <row r="42" spans="1:285" x14ac:dyDescent="0.35">
      <c r="A42" s="2" t="s">
        <v>49</v>
      </c>
      <c r="B42" s="1">
        <v>214768</v>
      </c>
      <c r="C42" s="1">
        <v>210968</v>
      </c>
      <c r="D42" s="1">
        <v>217352</v>
      </c>
      <c r="E42" s="1">
        <v>217235</v>
      </c>
      <c r="F42" s="1">
        <v>50976.5</v>
      </c>
      <c r="G42" s="1">
        <v>55579.94</v>
      </c>
      <c r="H42" s="1">
        <v>65928.25</v>
      </c>
      <c r="I42" s="1">
        <v>56981.84</v>
      </c>
      <c r="J42" s="1">
        <f t="shared" si="8"/>
        <v>29397.66</v>
      </c>
      <c r="K42" s="1">
        <f t="shared" si="9"/>
        <v>34207.33</v>
      </c>
      <c r="L42" s="1">
        <f t="shared" si="10"/>
        <v>43279.97</v>
      </c>
      <c r="M42" s="1">
        <f t="shared" si="11"/>
        <v>32214.530000000006</v>
      </c>
      <c r="N42" s="1">
        <f t="shared" si="12"/>
        <v>21578.84</v>
      </c>
      <c r="O42" s="1">
        <f t="shared" si="13"/>
        <v>21372.61</v>
      </c>
      <c r="P42" s="1">
        <f t="shared" si="14"/>
        <v>22648.28</v>
      </c>
      <c r="Q42" s="1">
        <f t="shared" si="15"/>
        <v>24767.30999999999</v>
      </c>
      <c r="R42" s="1">
        <v>2954.48</v>
      </c>
      <c r="S42" s="1">
        <v>3160.54</v>
      </c>
      <c r="T42" s="1">
        <v>2872.47</v>
      </c>
      <c r="U42" s="1">
        <v>3165.9700000000003</v>
      </c>
      <c r="V42" s="1">
        <v>0</v>
      </c>
      <c r="W42" s="1">
        <v>0</v>
      </c>
      <c r="X42" s="1">
        <v>2954.48</v>
      </c>
      <c r="Y42" s="1">
        <v>0</v>
      </c>
      <c r="Z42" s="1">
        <v>0</v>
      </c>
      <c r="AA42" s="1">
        <v>3160.54</v>
      </c>
      <c r="AB42" s="1">
        <v>0</v>
      </c>
      <c r="AC42" s="1">
        <v>0</v>
      </c>
      <c r="AD42" s="1">
        <v>2872.47</v>
      </c>
      <c r="AE42" s="1">
        <v>0</v>
      </c>
      <c r="AF42" s="1">
        <v>0</v>
      </c>
      <c r="AG42" s="1">
        <v>3165.9700000000003</v>
      </c>
      <c r="AH42" s="1">
        <v>0</v>
      </c>
      <c r="AI42" s="1">
        <v>0</v>
      </c>
      <c r="AJ42" s="1">
        <v>0</v>
      </c>
      <c r="AK42" s="1">
        <v>0</v>
      </c>
      <c r="AL42" s="1">
        <v>0</v>
      </c>
      <c r="AM42" s="1">
        <v>0</v>
      </c>
      <c r="AN42" s="1">
        <v>0</v>
      </c>
      <c r="AO42" s="1">
        <v>0</v>
      </c>
      <c r="AP42" s="1">
        <v>2161.14</v>
      </c>
      <c r="AQ42" s="1">
        <v>2338.06</v>
      </c>
      <c r="AR42" s="1">
        <v>2389.12</v>
      </c>
      <c r="AS42" s="1">
        <v>2676.07</v>
      </c>
      <c r="AT42" s="1">
        <v>0</v>
      </c>
      <c r="AU42" s="1">
        <v>2161.14</v>
      </c>
      <c r="AV42" s="1">
        <v>0</v>
      </c>
      <c r="AW42" s="1">
        <v>0</v>
      </c>
      <c r="AX42" s="1">
        <v>4.58</v>
      </c>
      <c r="AY42" s="1">
        <v>2333.48</v>
      </c>
      <c r="AZ42" s="1">
        <v>0</v>
      </c>
      <c r="BA42" s="1">
        <v>0</v>
      </c>
      <c r="BB42" s="1">
        <v>167.2</v>
      </c>
      <c r="BC42" s="1">
        <v>2221.92</v>
      </c>
      <c r="BD42" s="1">
        <v>0</v>
      </c>
      <c r="BE42" s="1">
        <v>0</v>
      </c>
      <c r="BF42" s="1">
        <v>2676.07</v>
      </c>
      <c r="BG42" s="1">
        <v>0</v>
      </c>
      <c r="BH42" s="1">
        <v>0</v>
      </c>
      <c r="BI42" s="1">
        <v>0</v>
      </c>
      <c r="BJ42" s="1">
        <v>0</v>
      </c>
      <c r="BK42" s="1">
        <v>0</v>
      </c>
      <c r="BL42" s="1">
        <v>0</v>
      </c>
      <c r="BM42" s="1">
        <v>0</v>
      </c>
      <c r="BN42" s="1">
        <v>0</v>
      </c>
      <c r="BO42" s="1">
        <v>0</v>
      </c>
      <c r="BP42" s="1">
        <v>0</v>
      </c>
      <c r="BQ42" s="1">
        <v>0</v>
      </c>
      <c r="BR42" s="1">
        <v>0</v>
      </c>
      <c r="BS42" s="1">
        <v>0</v>
      </c>
      <c r="BT42" s="1">
        <v>0</v>
      </c>
      <c r="BU42" s="1">
        <v>13223.5</v>
      </c>
      <c r="BV42" s="1">
        <v>16485.29</v>
      </c>
      <c r="BW42" s="1">
        <v>25741.83</v>
      </c>
      <c r="BX42" s="1">
        <v>15119.65</v>
      </c>
      <c r="BY42" s="1">
        <v>13205.07</v>
      </c>
      <c r="BZ42" s="1">
        <v>16452.77</v>
      </c>
      <c r="CA42" s="1">
        <v>25595.16</v>
      </c>
      <c r="CB42" s="1">
        <v>14957.89</v>
      </c>
      <c r="CC42" s="1">
        <v>18.43</v>
      </c>
      <c r="CD42" s="1">
        <v>32.520000000000003</v>
      </c>
      <c r="CE42" s="1">
        <v>146.66999999999999</v>
      </c>
      <c r="CF42" s="1">
        <v>161.76</v>
      </c>
      <c r="CG42" s="1">
        <v>0</v>
      </c>
      <c r="CH42" s="1">
        <v>0</v>
      </c>
      <c r="CI42" s="1">
        <v>0</v>
      </c>
      <c r="CJ42" s="1">
        <v>0</v>
      </c>
      <c r="CK42" s="1">
        <v>0</v>
      </c>
      <c r="CL42" s="1">
        <v>0</v>
      </c>
      <c r="CM42" s="1">
        <v>0</v>
      </c>
      <c r="CN42" s="1">
        <v>0</v>
      </c>
      <c r="CO42" s="1">
        <v>0</v>
      </c>
      <c r="CP42" s="1">
        <v>0</v>
      </c>
      <c r="CQ42" s="1">
        <v>0</v>
      </c>
      <c r="CR42" s="1">
        <v>0</v>
      </c>
      <c r="CS42" s="1">
        <v>2692.64</v>
      </c>
      <c r="CT42" s="1">
        <v>4063.78</v>
      </c>
      <c r="CU42" s="1">
        <v>2878.93</v>
      </c>
      <c r="CV42" s="1">
        <v>2536.6799999999998</v>
      </c>
      <c r="CW42" s="1">
        <v>2692.64</v>
      </c>
      <c r="CX42" s="1">
        <v>4063.78</v>
      </c>
      <c r="CY42" s="1">
        <v>2878.93</v>
      </c>
      <c r="CZ42" s="1">
        <v>2536.6799999999998</v>
      </c>
      <c r="DA42" s="1">
        <v>0</v>
      </c>
      <c r="DB42" s="1">
        <v>0</v>
      </c>
      <c r="DC42" s="1">
        <v>0</v>
      </c>
      <c r="DD42" s="1">
        <v>0</v>
      </c>
      <c r="DE42" s="1">
        <v>0</v>
      </c>
      <c r="DF42" s="1">
        <v>0</v>
      </c>
      <c r="DG42" s="1">
        <v>0</v>
      </c>
      <c r="DH42" s="1">
        <v>0</v>
      </c>
      <c r="DI42" s="1">
        <v>0</v>
      </c>
      <c r="DJ42" s="1">
        <v>0</v>
      </c>
      <c r="DK42" s="1">
        <v>0</v>
      </c>
      <c r="DL42" s="1">
        <v>0</v>
      </c>
      <c r="DM42" s="1">
        <v>5652.09</v>
      </c>
      <c r="DN42" s="1">
        <v>4715.6499999999996</v>
      </c>
      <c r="DO42" s="1">
        <v>5274.1900000000014</v>
      </c>
      <c r="DP42" s="1">
        <v>4497.5200000000004</v>
      </c>
      <c r="DQ42" s="1">
        <v>5652.09</v>
      </c>
      <c r="DR42" s="1">
        <v>4715.6499999999996</v>
      </c>
      <c r="DS42" s="1">
        <v>5274.1900000000014</v>
      </c>
      <c r="DT42" s="1">
        <v>4497.5200000000004</v>
      </c>
      <c r="DU42" s="1">
        <v>0</v>
      </c>
      <c r="DV42" s="1">
        <v>0</v>
      </c>
      <c r="DW42" s="1">
        <v>0</v>
      </c>
      <c r="DX42" s="1">
        <v>0</v>
      </c>
      <c r="DY42" s="1">
        <v>0</v>
      </c>
      <c r="DZ42" s="1">
        <v>0</v>
      </c>
      <c r="EA42" s="1">
        <v>0</v>
      </c>
      <c r="EB42" s="1">
        <v>0</v>
      </c>
      <c r="EC42" s="1">
        <v>0</v>
      </c>
      <c r="ED42" s="1">
        <v>0</v>
      </c>
      <c r="EE42" s="1">
        <v>0</v>
      </c>
      <c r="EF42" s="1">
        <v>0</v>
      </c>
      <c r="EG42" s="1">
        <v>0</v>
      </c>
      <c r="EH42" s="1">
        <v>0</v>
      </c>
      <c r="EI42" s="1">
        <v>0</v>
      </c>
      <c r="EJ42" s="1">
        <v>0</v>
      </c>
      <c r="EK42" s="1">
        <v>1027.75</v>
      </c>
      <c r="EL42" s="1">
        <v>756.51</v>
      </c>
      <c r="EM42" s="1">
        <v>800.53</v>
      </c>
      <c r="EN42" s="1">
        <v>1370.79</v>
      </c>
      <c r="EO42" s="1">
        <v>1022.69</v>
      </c>
      <c r="EP42" s="1">
        <v>747.88</v>
      </c>
      <c r="EQ42" s="1">
        <v>792.21</v>
      </c>
      <c r="ER42" s="1">
        <v>1353.69</v>
      </c>
      <c r="ES42" s="1">
        <v>5.0599999999999996</v>
      </c>
      <c r="ET42" s="1">
        <v>8.629999999999999</v>
      </c>
      <c r="EU42" s="1">
        <v>8.32</v>
      </c>
      <c r="EV42" s="1">
        <v>17.100000000000001</v>
      </c>
      <c r="EW42" s="1">
        <v>0</v>
      </c>
      <c r="EX42" s="1">
        <v>0</v>
      </c>
      <c r="EY42" s="1">
        <v>0</v>
      </c>
      <c r="EZ42" s="1">
        <v>0</v>
      </c>
      <c r="FA42" s="1">
        <v>0</v>
      </c>
      <c r="FB42" s="1">
        <v>0</v>
      </c>
      <c r="FC42" s="1">
        <v>0</v>
      </c>
      <c r="FD42" s="1">
        <v>0</v>
      </c>
      <c r="FE42" s="1">
        <v>408.71</v>
      </c>
      <c r="FF42" s="1">
        <v>394.13</v>
      </c>
      <c r="FG42" s="1">
        <v>601.46</v>
      </c>
      <c r="FH42" s="1">
        <v>441.34</v>
      </c>
      <c r="FI42" s="1">
        <v>128.72</v>
      </c>
      <c r="FJ42" s="1">
        <v>114.29</v>
      </c>
      <c r="FK42" s="1">
        <v>262.60000000000002</v>
      </c>
      <c r="FL42" s="1">
        <v>184.48</v>
      </c>
      <c r="FM42" s="1">
        <v>279.99</v>
      </c>
      <c r="FN42" s="1">
        <v>279.83999999999997</v>
      </c>
      <c r="FO42" s="1">
        <v>338.86</v>
      </c>
      <c r="FP42" s="1">
        <v>256.86</v>
      </c>
      <c r="FQ42" s="1">
        <v>0</v>
      </c>
      <c r="FR42" s="1">
        <v>0</v>
      </c>
      <c r="FS42" s="1">
        <v>0</v>
      </c>
      <c r="FT42" s="1">
        <v>0</v>
      </c>
      <c r="FU42" s="1">
        <v>0</v>
      </c>
      <c r="FV42" s="1">
        <v>0</v>
      </c>
      <c r="FW42" s="1">
        <v>0</v>
      </c>
      <c r="FX42" s="1">
        <v>0</v>
      </c>
      <c r="FY42" s="1">
        <v>0</v>
      </c>
      <c r="FZ42" s="1">
        <v>0</v>
      </c>
      <c r="GA42" s="1">
        <v>0</v>
      </c>
      <c r="GB42" s="1">
        <v>0</v>
      </c>
      <c r="GC42" s="1">
        <v>550.82999999999993</v>
      </c>
      <c r="GD42" s="1">
        <v>713.68000000000006</v>
      </c>
      <c r="GE42" s="1">
        <v>568.40000000000009</v>
      </c>
      <c r="GF42" s="1">
        <v>594.61</v>
      </c>
      <c r="GG42" s="1">
        <v>550.82999999999993</v>
      </c>
      <c r="GH42" s="1">
        <v>713.68000000000006</v>
      </c>
      <c r="GI42" s="1">
        <v>568.40000000000009</v>
      </c>
      <c r="GJ42" s="1">
        <v>171.911</v>
      </c>
      <c r="GK42" s="1">
        <v>0</v>
      </c>
      <c r="GL42" s="1">
        <v>0</v>
      </c>
      <c r="GM42" s="1">
        <v>0</v>
      </c>
      <c r="GN42" s="1">
        <v>1.73</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721.55</v>
      </c>
      <c r="HF42" s="1">
        <v>1564.11</v>
      </c>
      <c r="HG42" s="1">
        <v>2129.56</v>
      </c>
      <c r="HH42" s="1">
        <v>1793.43</v>
      </c>
      <c r="HI42" s="1">
        <v>721.55</v>
      </c>
      <c r="HJ42" s="1">
        <v>1328.44</v>
      </c>
      <c r="HK42" s="1">
        <v>1244.46</v>
      </c>
      <c r="HL42" s="1">
        <v>1722.18</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235.67</v>
      </c>
      <c r="IE42" s="1">
        <v>885.1</v>
      </c>
      <c r="IF42" s="1">
        <v>71.25</v>
      </c>
      <c r="IG42" s="1">
        <v>0</v>
      </c>
      <c r="IH42" s="1">
        <v>0</v>
      </c>
      <c r="II42" s="1">
        <v>0</v>
      </c>
      <c r="IJ42" s="1">
        <v>0</v>
      </c>
      <c r="IK42" s="1">
        <v>0</v>
      </c>
      <c r="IL42" s="1">
        <v>0</v>
      </c>
      <c r="IM42" s="1">
        <v>0</v>
      </c>
      <c r="IN42" s="1">
        <v>0</v>
      </c>
      <c r="IO42" s="1">
        <v>4.97</v>
      </c>
      <c r="IP42" s="1">
        <v>15.58</v>
      </c>
      <c r="IQ42" s="1">
        <v>23.48</v>
      </c>
      <c r="IR42" s="1">
        <v>18.47</v>
      </c>
      <c r="IS42" s="1">
        <v>4.97</v>
      </c>
      <c r="IT42" s="1">
        <v>15.58</v>
      </c>
      <c r="IU42" s="1">
        <v>21.74</v>
      </c>
      <c r="IV42" s="1">
        <v>16.739999999999998</v>
      </c>
      <c r="IW42" s="1">
        <v>0</v>
      </c>
      <c r="IX42" s="1">
        <v>0</v>
      </c>
      <c r="IY42" s="1">
        <v>1.74</v>
      </c>
      <c r="IZ42" s="1">
        <v>1.73</v>
      </c>
      <c r="JA42" s="1">
        <v>0</v>
      </c>
      <c r="JB42" s="1">
        <v>0</v>
      </c>
      <c r="JC42" s="1">
        <v>0</v>
      </c>
      <c r="JD42" s="1">
        <v>0</v>
      </c>
      <c r="JE42" s="1">
        <v>0</v>
      </c>
      <c r="JF42" s="1">
        <v>0</v>
      </c>
      <c r="JG42" s="1">
        <v>0</v>
      </c>
      <c r="JH42" s="1">
        <v>0</v>
      </c>
      <c r="JI42" s="1">
        <v>0</v>
      </c>
      <c r="JJ42" s="1">
        <v>0</v>
      </c>
      <c r="JK42" s="1">
        <v>0</v>
      </c>
      <c r="JL42" s="1">
        <v>0</v>
      </c>
      <c r="JM42" s="1">
        <v>0</v>
      </c>
      <c r="JN42" s="1">
        <v>0</v>
      </c>
      <c r="JO42" s="1">
        <v>0</v>
      </c>
      <c r="JP42" s="1">
        <v>0</v>
      </c>
      <c r="JQ42" s="9"/>
      <c r="JR42" s="1">
        <f t="shared" si="16"/>
        <v>5826.2868000000008</v>
      </c>
      <c r="JS42" s="1">
        <f t="shared" si="17"/>
        <v>5770.6047000000008</v>
      </c>
      <c r="JT42" s="1">
        <f t="shared" si="18"/>
        <v>6115.0356000000002</v>
      </c>
      <c r="JU42" s="1">
        <f t="shared" si="19"/>
        <v>6687.1736999999976</v>
      </c>
      <c r="JV42" s="1">
        <f t="shared" si="20"/>
        <v>1078.942</v>
      </c>
      <c r="JW42" s="1">
        <f t="shared" si="21"/>
        <v>1068.6305</v>
      </c>
      <c r="JX42" s="1">
        <f t="shared" si="22"/>
        <v>1132.414</v>
      </c>
      <c r="JY42" s="1">
        <f t="shared" si="23"/>
        <v>1238.3654999999997</v>
      </c>
    </row>
    <row r="43" spans="1:285" x14ac:dyDescent="0.35">
      <c r="A43" s="2" t="s">
        <v>50</v>
      </c>
      <c r="B43" s="1">
        <v>99565</v>
      </c>
      <c r="C43" s="1">
        <v>100595</v>
      </c>
      <c r="D43" s="1">
        <v>101165</v>
      </c>
      <c r="E43" s="1">
        <v>103163</v>
      </c>
      <c r="F43" s="1">
        <v>33605</v>
      </c>
      <c r="G43" s="1">
        <v>31888.35</v>
      </c>
      <c r="H43" s="1">
        <v>26515.53</v>
      </c>
      <c r="I43" s="1">
        <v>22874.77</v>
      </c>
      <c r="J43" s="1">
        <f t="shared" si="8"/>
        <v>19791.34</v>
      </c>
      <c r="K43" s="1">
        <f t="shared" si="9"/>
        <v>18842.039999999997</v>
      </c>
      <c r="L43" s="1">
        <f t="shared" si="10"/>
        <v>15331.729999999996</v>
      </c>
      <c r="M43" s="1">
        <f t="shared" si="11"/>
        <v>15024.320000000003</v>
      </c>
      <c r="N43" s="1">
        <f t="shared" si="12"/>
        <v>13813.66</v>
      </c>
      <c r="O43" s="1">
        <f t="shared" si="13"/>
        <v>13046.310000000001</v>
      </c>
      <c r="P43" s="1">
        <f t="shared" si="14"/>
        <v>11183.800000000003</v>
      </c>
      <c r="Q43" s="1">
        <f t="shared" si="15"/>
        <v>7850.4499999999971</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8283.7000000000007</v>
      </c>
      <c r="AQ43" s="1">
        <v>7445.1399999999994</v>
      </c>
      <c r="AR43" s="1">
        <v>6732.7999999999993</v>
      </c>
      <c r="AS43" s="1">
        <v>7324.7000000000007</v>
      </c>
      <c r="AT43" s="1">
        <v>0</v>
      </c>
      <c r="AU43" s="1">
        <v>8283.7000000000007</v>
      </c>
      <c r="AV43" s="1">
        <v>0</v>
      </c>
      <c r="AW43" s="1">
        <v>0</v>
      </c>
      <c r="AX43" s="1">
        <v>0</v>
      </c>
      <c r="AY43" s="1">
        <v>7445.1399999999994</v>
      </c>
      <c r="AZ43" s="1">
        <v>0</v>
      </c>
      <c r="BA43" s="1">
        <v>0</v>
      </c>
      <c r="BB43" s="1">
        <v>0</v>
      </c>
      <c r="BC43" s="1">
        <v>6732.7999999999993</v>
      </c>
      <c r="BD43" s="1">
        <v>0</v>
      </c>
      <c r="BE43" s="1">
        <v>0</v>
      </c>
      <c r="BF43" s="1">
        <v>7324.7000000000007</v>
      </c>
      <c r="BG43" s="1">
        <v>0</v>
      </c>
      <c r="BH43" s="1">
        <v>0</v>
      </c>
      <c r="BI43" s="1">
        <v>0</v>
      </c>
      <c r="BJ43" s="1">
        <v>0</v>
      </c>
      <c r="BK43" s="1">
        <v>0</v>
      </c>
      <c r="BL43" s="1">
        <v>0</v>
      </c>
      <c r="BM43" s="1">
        <v>0</v>
      </c>
      <c r="BN43" s="1">
        <v>0</v>
      </c>
      <c r="BO43" s="1">
        <v>0</v>
      </c>
      <c r="BP43" s="1">
        <v>0</v>
      </c>
      <c r="BQ43" s="1">
        <v>0</v>
      </c>
      <c r="BR43" s="1">
        <v>0</v>
      </c>
      <c r="BS43" s="1">
        <v>0</v>
      </c>
      <c r="BT43" s="1">
        <v>0</v>
      </c>
      <c r="BU43" s="1">
        <v>4636.58</v>
      </c>
      <c r="BV43" s="1">
        <v>4940.7</v>
      </c>
      <c r="BW43" s="1">
        <v>3116.3</v>
      </c>
      <c r="BX43" s="1">
        <v>2625.63</v>
      </c>
      <c r="BY43" s="1">
        <v>4636.58</v>
      </c>
      <c r="BZ43" s="1">
        <v>4940.7</v>
      </c>
      <c r="CA43" s="1">
        <v>3116.3</v>
      </c>
      <c r="CB43" s="1">
        <v>2625.63</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2572.84</v>
      </c>
      <c r="CT43" s="1">
        <v>1719.04</v>
      </c>
      <c r="CU43" s="1">
        <v>1380.07</v>
      </c>
      <c r="CV43" s="1">
        <v>815.41000000000008</v>
      </c>
      <c r="CW43" s="1">
        <v>2572.84</v>
      </c>
      <c r="CX43" s="1">
        <v>1719.04</v>
      </c>
      <c r="CY43" s="1">
        <v>1380.07</v>
      </c>
      <c r="CZ43" s="1">
        <v>815.41000000000008</v>
      </c>
      <c r="DA43" s="1">
        <v>0</v>
      </c>
      <c r="DB43" s="1">
        <v>0</v>
      </c>
      <c r="DC43" s="1">
        <v>0</v>
      </c>
      <c r="DD43" s="1">
        <v>0</v>
      </c>
      <c r="DE43" s="1">
        <v>0</v>
      </c>
      <c r="DF43" s="1">
        <v>0</v>
      </c>
      <c r="DG43" s="1">
        <v>0</v>
      </c>
      <c r="DH43" s="1">
        <v>0</v>
      </c>
      <c r="DI43" s="1">
        <v>0</v>
      </c>
      <c r="DJ43" s="1">
        <v>0</v>
      </c>
      <c r="DK43" s="1">
        <v>0</v>
      </c>
      <c r="DL43" s="1">
        <v>0</v>
      </c>
      <c r="DM43" s="1">
        <v>3509.95</v>
      </c>
      <c r="DN43" s="1">
        <v>3702.44</v>
      </c>
      <c r="DO43" s="1">
        <v>3324.12</v>
      </c>
      <c r="DP43" s="1">
        <v>3450.49</v>
      </c>
      <c r="DQ43" s="1">
        <v>3509.95</v>
      </c>
      <c r="DR43" s="1">
        <v>3702.44</v>
      </c>
      <c r="DS43" s="1">
        <v>3324.12</v>
      </c>
      <c r="DT43" s="1">
        <v>3450.49</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459.83</v>
      </c>
      <c r="EL43" s="1">
        <v>505.71</v>
      </c>
      <c r="EM43" s="1">
        <v>415.65</v>
      </c>
      <c r="EN43" s="1">
        <v>350.18</v>
      </c>
      <c r="EO43" s="1">
        <v>459.83</v>
      </c>
      <c r="EP43" s="1">
        <v>505.71</v>
      </c>
      <c r="EQ43" s="1">
        <v>415.65</v>
      </c>
      <c r="ER43" s="1">
        <v>350.18</v>
      </c>
      <c r="ES43" s="1">
        <v>0</v>
      </c>
      <c r="ET43" s="1">
        <v>0</v>
      </c>
      <c r="EU43" s="1">
        <v>0</v>
      </c>
      <c r="EV43" s="1">
        <v>0</v>
      </c>
      <c r="EW43" s="1">
        <v>0</v>
      </c>
      <c r="EX43" s="1">
        <v>0</v>
      </c>
      <c r="EY43" s="1">
        <v>0</v>
      </c>
      <c r="EZ43" s="1">
        <v>0</v>
      </c>
      <c r="FA43" s="1">
        <v>0</v>
      </c>
      <c r="FB43" s="1">
        <v>0</v>
      </c>
      <c r="FC43" s="1">
        <v>0</v>
      </c>
      <c r="FD43" s="1">
        <v>0</v>
      </c>
      <c r="FE43" s="1">
        <v>110.84</v>
      </c>
      <c r="FF43" s="1">
        <v>150.12</v>
      </c>
      <c r="FG43" s="1">
        <v>136.30000000000001</v>
      </c>
      <c r="FH43" s="1">
        <v>158.37</v>
      </c>
      <c r="FI43" s="1">
        <v>0</v>
      </c>
      <c r="FJ43" s="1">
        <v>0</v>
      </c>
      <c r="FK43" s="1">
        <v>0</v>
      </c>
      <c r="FL43" s="1">
        <v>0</v>
      </c>
      <c r="FM43" s="1">
        <v>110.84</v>
      </c>
      <c r="FN43" s="1">
        <v>150.12</v>
      </c>
      <c r="FO43" s="1">
        <v>136.30000000000001</v>
      </c>
      <c r="FP43" s="1">
        <v>158.37</v>
      </c>
      <c r="FQ43" s="1">
        <v>0</v>
      </c>
      <c r="FR43" s="1">
        <v>0</v>
      </c>
      <c r="FS43" s="1">
        <v>0</v>
      </c>
      <c r="FT43" s="1">
        <v>0</v>
      </c>
      <c r="FU43" s="1">
        <v>0</v>
      </c>
      <c r="FV43" s="1">
        <v>0</v>
      </c>
      <c r="FW43" s="1">
        <v>0</v>
      </c>
      <c r="FX43" s="1">
        <v>0</v>
      </c>
      <c r="FY43" s="1">
        <v>0</v>
      </c>
      <c r="FZ43" s="1">
        <v>0</v>
      </c>
      <c r="GA43" s="1">
        <v>0</v>
      </c>
      <c r="GB43" s="1">
        <v>0</v>
      </c>
      <c r="GC43" s="1">
        <v>1.66</v>
      </c>
      <c r="GD43" s="1">
        <v>7.3599999999999994</v>
      </c>
      <c r="GE43" s="1">
        <v>1.44</v>
      </c>
      <c r="GF43" s="1">
        <v>4.78</v>
      </c>
      <c r="GG43" s="1">
        <v>1.66</v>
      </c>
      <c r="GH43" s="1">
        <v>7.3599999999999994</v>
      </c>
      <c r="GI43" s="1">
        <v>1.44</v>
      </c>
      <c r="GJ43" s="1">
        <v>592.88</v>
      </c>
      <c r="GK43" s="1">
        <v>0</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215.94</v>
      </c>
      <c r="IP43" s="1">
        <v>371.53</v>
      </c>
      <c r="IQ43" s="1">
        <v>225.05</v>
      </c>
      <c r="IR43" s="1">
        <v>294.76</v>
      </c>
      <c r="IS43" s="1">
        <v>215.94</v>
      </c>
      <c r="IT43" s="1">
        <v>371.53</v>
      </c>
      <c r="IU43" s="1">
        <v>225.05</v>
      </c>
      <c r="IV43" s="1">
        <v>294.76</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0</v>
      </c>
      <c r="JO43" s="1">
        <v>0</v>
      </c>
      <c r="JP43" s="1">
        <v>0</v>
      </c>
      <c r="JQ43" s="9"/>
      <c r="JR43" s="1">
        <f t="shared" si="16"/>
        <v>3729.6882000000001</v>
      </c>
      <c r="JS43" s="1">
        <f t="shared" si="17"/>
        <v>3522.5037000000007</v>
      </c>
      <c r="JT43" s="1">
        <f t="shared" si="18"/>
        <v>3019.6260000000011</v>
      </c>
      <c r="JU43" s="1">
        <f t="shared" si="19"/>
        <v>2119.6214999999993</v>
      </c>
      <c r="JV43" s="1">
        <f t="shared" si="20"/>
        <v>690.68299999999999</v>
      </c>
      <c r="JW43" s="1">
        <f t="shared" si="21"/>
        <v>652.31550000000016</v>
      </c>
      <c r="JX43" s="1">
        <f t="shared" si="22"/>
        <v>559.19000000000017</v>
      </c>
      <c r="JY43" s="1">
        <f t="shared" si="23"/>
        <v>392.52249999999987</v>
      </c>
    </row>
    <row r="44" spans="1:285" x14ac:dyDescent="0.35">
      <c r="A44" s="2" t="s">
        <v>51</v>
      </c>
      <c r="B44" s="1">
        <v>157187</v>
      </c>
      <c r="C44" s="1">
        <v>156631</v>
      </c>
      <c r="D44" s="1">
        <v>158723</v>
      </c>
      <c r="E44" s="1">
        <v>160826</v>
      </c>
      <c r="F44" s="1">
        <v>50045.23</v>
      </c>
      <c r="G44" s="1">
        <v>51227.365000000013</v>
      </c>
      <c r="H44" s="1">
        <v>47130.990000000013</v>
      </c>
      <c r="I44" s="1">
        <v>42155.58</v>
      </c>
      <c r="J44" s="1">
        <f t="shared" si="8"/>
        <v>38716.58</v>
      </c>
      <c r="K44" s="1">
        <f t="shared" si="9"/>
        <v>40198.6</v>
      </c>
      <c r="L44" s="1">
        <f t="shared" si="10"/>
        <v>36948.86</v>
      </c>
      <c r="M44" s="1">
        <f t="shared" si="11"/>
        <v>32051.47</v>
      </c>
      <c r="N44" s="1">
        <f t="shared" si="12"/>
        <v>11328.650000000001</v>
      </c>
      <c r="O44" s="1">
        <f t="shared" si="13"/>
        <v>11028.765000000014</v>
      </c>
      <c r="P44" s="1">
        <f t="shared" si="14"/>
        <v>10182.130000000012</v>
      </c>
      <c r="Q44" s="1">
        <f t="shared" si="15"/>
        <v>10104.11</v>
      </c>
      <c r="R44" s="1">
        <v>2263.63</v>
      </c>
      <c r="S44" s="1">
        <v>2366.6999999999998</v>
      </c>
      <c r="T44" s="1">
        <v>2341.84</v>
      </c>
      <c r="U44" s="1">
        <v>1846.86</v>
      </c>
      <c r="V44" s="1">
        <v>2263.63</v>
      </c>
      <c r="W44" s="1">
        <v>0</v>
      </c>
      <c r="X44" s="1">
        <v>0</v>
      </c>
      <c r="Y44" s="1">
        <v>2366.6999999999998</v>
      </c>
      <c r="Z44" s="1">
        <v>0</v>
      </c>
      <c r="AA44" s="1">
        <v>0</v>
      </c>
      <c r="AB44" s="1">
        <v>2341.84</v>
      </c>
      <c r="AC44" s="1">
        <v>0</v>
      </c>
      <c r="AD44" s="1">
        <v>0</v>
      </c>
      <c r="AE44" s="1">
        <v>1846.86</v>
      </c>
      <c r="AF44" s="1">
        <v>0</v>
      </c>
      <c r="AG44" s="1">
        <v>0</v>
      </c>
      <c r="AH44" s="1">
        <v>0</v>
      </c>
      <c r="AI44" s="1">
        <v>0</v>
      </c>
      <c r="AJ44" s="1">
        <v>0</v>
      </c>
      <c r="AK44" s="1">
        <v>0</v>
      </c>
      <c r="AL44" s="1">
        <v>0</v>
      </c>
      <c r="AM44" s="1">
        <v>0</v>
      </c>
      <c r="AN44" s="1">
        <v>0</v>
      </c>
      <c r="AO44" s="1">
        <v>0</v>
      </c>
      <c r="AP44" s="1">
        <v>7526.14</v>
      </c>
      <c r="AQ44" s="1">
        <v>8499.8700000000008</v>
      </c>
      <c r="AR44" s="1">
        <v>7290.62</v>
      </c>
      <c r="AS44" s="1">
        <v>7346.8</v>
      </c>
      <c r="AT44" s="1">
        <v>0</v>
      </c>
      <c r="AU44" s="1">
        <v>7526.14</v>
      </c>
      <c r="AV44" s="1">
        <v>0</v>
      </c>
      <c r="AW44" s="1">
        <v>0</v>
      </c>
      <c r="AX44" s="1">
        <v>0</v>
      </c>
      <c r="AY44" s="1">
        <v>8499.8700000000008</v>
      </c>
      <c r="AZ44" s="1">
        <v>0</v>
      </c>
      <c r="BA44" s="1">
        <v>0</v>
      </c>
      <c r="BB44" s="1">
        <v>0</v>
      </c>
      <c r="BC44" s="1">
        <v>7290.62</v>
      </c>
      <c r="BD44" s="1">
        <v>0</v>
      </c>
      <c r="BE44" s="1">
        <v>0</v>
      </c>
      <c r="BF44" s="1">
        <v>7346.8</v>
      </c>
      <c r="BG44" s="1">
        <v>0</v>
      </c>
      <c r="BH44" s="1">
        <v>0</v>
      </c>
      <c r="BI44" s="1">
        <v>0</v>
      </c>
      <c r="BJ44" s="1">
        <v>0</v>
      </c>
      <c r="BK44" s="1">
        <v>0</v>
      </c>
      <c r="BL44" s="1">
        <v>0</v>
      </c>
      <c r="BM44" s="1">
        <v>0</v>
      </c>
      <c r="BN44" s="1">
        <v>0</v>
      </c>
      <c r="BO44" s="1">
        <v>0</v>
      </c>
      <c r="BP44" s="1">
        <v>0</v>
      </c>
      <c r="BQ44" s="1">
        <v>0</v>
      </c>
      <c r="BR44" s="1">
        <v>0</v>
      </c>
      <c r="BS44" s="1">
        <v>0</v>
      </c>
      <c r="BT44" s="1">
        <v>0</v>
      </c>
      <c r="BU44" s="1">
        <v>3582.57</v>
      </c>
      <c r="BV44" s="1">
        <v>3588.05</v>
      </c>
      <c r="BW44" s="1">
        <v>3820.78</v>
      </c>
      <c r="BX44" s="1">
        <v>3334.86</v>
      </c>
      <c r="BY44" s="1">
        <v>3582.57</v>
      </c>
      <c r="BZ44" s="1">
        <v>3588.05</v>
      </c>
      <c r="CA44" s="1">
        <v>3820.78</v>
      </c>
      <c r="CB44" s="1">
        <v>3334.86</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8092.93</v>
      </c>
      <c r="CT44" s="1">
        <v>8277.9599999999991</v>
      </c>
      <c r="CU44" s="1">
        <v>7603.05</v>
      </c>
      <c r="CV44" s="1">
        <v>6237.83</v>
      </c>
      <c r="CW44" s="1">
        <v>8092.93</v>
      </c>
      <c r="CX44" s="1">
        <v>8277.9599999999991</v>
      </c>
      <c r="CY44" s="1">
        <v>7603.05</v>
      </c>
      <c r="CZ44" s="1">
        <v>6237.83</v>
      </c>
      <c r="DA44" s="1">
        <v>0</v>
      </c>
      <c r="DB44" s="1">
        <v>0</v>
      </c>
      <c r="DC44" s="1">
        <v>0</v>
      </c>
      <c r="DD44" s="1">
        <v>0</v>
      </c>
      <c r="DE44" s="1">
        <v>0</v>
      </c>
      <c r="DF44" s="1">
        <v>0</v>
      </c>
      <c r="DG44" s="1">
        <v>0</v>
      </c>
      <c r="DH44" s="1">
        <v>0</v>
      </c>
      <c r="DI44" s="1">
        <v>0</v>
      </c>
      <c r="DJ44" s="1">
        <v>0</v>
      </c>
      <c r="DK44" s="1">
        <v>0</v>
      </c>
      <c r="DL44" s="1">
        <v>0</v>
      </c>
      <c r="DM44" s="1">
        <v>8588.7000000000007</v>
      </c>
      <c r="DN44" s="1">
        <v>8643.6299999999992</v>
      </c>
      <c r="DO44" s="1">
        <v>7603.05</v>
      </c>
      <c r="DP44" s="1">
        <v>6237.83</v>
      </c>
      <c r="DQ44" s="1">
        <v>8588.7000000000007</v>
      </c>
      <c r="DR44" s="1">
        <v>8643.6299999999992</v>
      </c>
      <c r="DS44" s="1">
        <v>7603.05</v>
      </c>
      <c r="DT44" s="1">
        <v>6237.83</v>
      </c>
      <c r="DU44" s="1">
        <v>0</v>
      </c>
      <c r="DV44" s="1">
        <v>0</v>
      </c>
      <c r="DW44" s="1">
        <v>0</v>
      </c>
      <c r="DX44" s="1">
        <v>0</v>
      </c>
      <c r="DY44" s="1">
        <v>0</v>
      </c>
      <c r="DZ44" s="1">
        <v>0</v>
      </c>
      <c r="EA44" s="1">
        <v>0</v>
      </c>
      <c r="EB44" s="1">
        <v>0</v>
      </c>
      <c r="EC44" s="1">
        <v>0</v>
      </c>
      <c r="ED44" s="1">
        <v>0</v>
      </c>
      <c r="EE44" s="1">
        <v>0</v>
      </c>
      <c r="EF44" s="1">
        <v>0</v>
      </c>
      <c r="EG44" s="1">
        <v>0</v>
      </c>
      <c r="EH44" s="1">
        <v>0</v>
      </c>
      <c r="EI44" s="1">
        <v>0</v>
      </c>
      <c r="EJ44" s="1">
        <v>0</v>
      </c>
      <c r="EK44" s="1">
        <v>8095.72</v>
      </c>
      <c r="EL44" s="1">
        <v>8277.9599999999991</v>
      </c>
      <c r="EM44" s="1">
        <v>7603.05</v>
      </c>
      <c r="EN44" s="1">
        <v>6237.83</v>
      </c>
      <c r="EO44" s="1">
        <v>8095.72</v>
      </c>
      <c r="EP44" s="1">
        <v>8277.9599999999991</v>
      </c>
      <c r="EQ44" s="1">
        <v>7603.05</v>
      </c>
      <c r="ER44" s="1">
        <v>6237.83</v>
      </c>
      <c r="ES44" s="1">
        <v>0</v>
      </c>
      <c r="ET44" s="1">
        <v>0</v>
      </c>
      <c r="EU44" s="1">
        <v>0</v>
      </c>
      <c r="EV44" s="1">
        <v>0</v>
      </c>
      <c r="EW44" s="1">
        <v>0</v>
      </c>
      <c r="EX44" s="1">
        <v>0</v>
      </c>
      <c r="EY44" s="1">
        <v>0</v>
      </c>
      <c r="EZ44" s="1">
        <v>0</v>
      </c>
      <c r="FA44" s="1">
        <v>0</v>
      </c>
      <c r="FB44" s="1">
        <v>0</v>
      </c>
      <c r="FC44" s="1">
        <v>0</v>
      </c>
      <c r="FD44" s="1">
        <v>0</v>
      </c>
      <c r="FE44" s="1">
        <v>71.12</v>
      </c>
      <c r="FF44" s="1">
        <v>17.690000000000001</v>
      </c>
      <c r="FG44" s="1">
        <v>0.74</v>
      </c>
      <c r="FH44" s="1">
        <v>0.88</v>
      </c>
      <c r="FI44" s="1">
        <v>71.12</v>
      </c>
      <c r="FJ44" s="1">
        <v>17.690000000000001</v>
      </c>
      <c r="FK44" s="1">
        <v>0.74</v>
      </c>
      <c r="FL44" s="1">
        <v>0.88</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4.78</v>
      </c>
      <c r="GK44" s="1">
        <v>0</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495.77</v>
      </c>
      <c r="IP44" s="1">
        <v>526.74</v>
      </c>
      <c r="IQ44" s="1">
        <v>685.73</v>
      </c>
      <c r="IR44" s="1">
        <v>808.57999999999993</v>
      </c>
      <c r="IS44" s="1">
        <v>495.77</v>
      </c>
      <c r="IT44" s="1">
        <v>526.74</v>
      </c>
      <c r="IU44" s="1">
        <v>685.73</v>
      </c>
      <c r="IV44" s="1">
        <v>808.57999999999993</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0</v>
      </c>
      <c r="JO44" s="1">
        <v>0</v>
      </c>
      <c r="JP44" s="1">
        <v>0</v>
      </c>
      <c r="JQ44" s="9"/>
      <c r="JR44" s="1">
        <f t="shared" si="16"/>
        <v>3058.7355000000007</v>
      </c>
      <c r="JS44" s="1">
        <f t="shared" si="17"/>
        <v>2977.7665500000039</v>
      </c>
      <c r="JT44" s="1">
        <f t="shared" si="18"/>
        <v>2749.1751000000036</v>
      </c>
      <c r="JU44" s="1">
        <f t="shared" si="19"/>
        <v>2728.1097000000004</v>
      </c>
      <c r="JV44" s="1">
        <f t="shared" si="20"/>
        <v>566.43250000000012</v>
      </c>
      <c r="JW44" s="1">
        <f t="shared" si="21"/>
        <v>551.43825000000072</v>
      </c>
      <c r="JX44" s="1">
        <f t="shared" si="22"/>
        <v>509.10650000000061</v>
      </c>
      <c r="JY44" s="1">
        <f t="shared" si="23"/>
        <v>505.20550000000003</v>
      </c>
    </row>
    <row r="45" spans="1:285" x14ac:dyDescent="0.35">
      <c r="A45" s="2" t="s">
        <v>52</v>
      </c>
      <c r="B45" s="1">
        <v>89782</v>
      </c>
      <c r="C45" s="1">
        <v>89712</v>
      </c>
      <c r="D45" s="1">
        <v>89779</v>
      </c>
      <c r="E45" s="1">
        <v>90140</v>
      </c>
      <c r="F45" s="1">
        <v>33077.891000000003</v>
      </c>
      <c r="G45" s="1">
        <v>35049.112000000001</v>
      </c>
      <c r="H45" s="1">
        <v>30026.116999999998</v>
      </c>
      <c r="I45" s="1">
        <v>30710.151000000002</v>
      </c>
      <c r="J45" s="1">
        <f t="shared" si="8"/>
        <v>23899.212000000003</v>
      </c>
      <c r="K45" s="1">
        <f t="shared" si="9"/>
        <v>24939.002999999997</v>
      </c>
      <c r="L45" s="1">
        <f t="shared" si="10"/>
        <v>21874.170000000002</v>
      </c>
      <c r="M45" s="1">
        <f t="shared" si="11"/>
        <v>22285.438999999998</v>
      </c>
      <c r="N45" s="1">
        <f t="shared" si="12"/>
        <v>9178.6790000000001</v>
      </c>
      <c r="O45" s="1">
        <f t="shared" si="13"/>
        <v>10110.109000000004</v>
      </c>
      <c r="P45" s="1">
        <f t="shared" si="14"/>
        <v>8151.9469999999965</v>
      </c>
      <c r="Q45" s="1">
        <f t="shared" si="15"/>
        <v>8424.7120000000032</v>
      </c>
      <c r="R45" s="1">
        <v>3117.9</v>
      </c>
      <c r="S45" s="1">
        <v>3136.24</v>
      </c>
      <c r="T45" s="1">
        <v>2851.8</v>
      </c>
      <c r="U45" s="1">
        <v>2716.7999999999997</v>
      </c>
      <c r="V45" s="1">
        <v>0</v>
      </c>
      <c r="W45" s="1">
        <v>0</v>
      </c>
      <c r="X45" s="1">
        <v>3117.9</v>
      </c>
      <c r="Y45" s="1">
        <v>0</v>
      </c>
      <c r="Z45" s="1">
        <v>0</v>
      </c>
      <c r="AA45" s="1">
        <v>3136.24</v>
      </c>
      <c r="AB45" s="1">
        <v>0</v>
      </c>
      <c r="AC45" s="1">
        <v>0</v>
      </c>
      <c r="AD45" s="1">
        <v>2851.8</v>
      </c>
      <c r="AE45" s="1">
        <v>0</v>
      </c>
      <c r="AF45" s="1">
        <v>0</v>
      </c>
      <c r="AG45" s="1">
        <v>2716.7999999999997</v>
      </c>
      <c r="AH45" s="1">
        <v>0</v>
      </c>
      <c r="AI45" s="1">
        <v>0</v>
      </c>
      <c r="AJ45" s="1">
        <v>0</v>
      </c>
      <c r="AK45" s="1">
        <v>0</v>
      </c>
      <c r="AL45" s="1">
        <v>0</v>
      </c>
      <c r="AM45" s="1">
        <v>0</v>
      </c>
      <c r="AN45" s="1">
        <v>0</v>
      </c>
      <c r="AO45" s="1">
        <v>0</v>
      </c>
      <c r="AP45" s="1">
        <v>5781.68</v>
      </c>
      <c r="AQ45" s="1">
        <v>6277.5199999999995</v>
      </c>
      <c r="AR45" s="1">
        <v>5071.4600000000009</v>
      </c>
      <c r="AS45" s="1">
        <v>5770.6</v>
      </c>
      <c r="AT45" s="1">
        <v>0</v>
      </c>
      <c r="AU45" s="1">
        <v>5781.68</v>
      </c>
      <c r="AV45" s="1">
        <v>0</v>
      </c>
      <c r="AW45" s="1">
        <v>0</v>
      </c>
      <c r="AX45" s="1">
        <v>0</v>
      </c>
      <c r="AY45" s="1">
        <v>6277.5199999999995</v>
      </c>
      <c r="AZ45" s="1">
        <v>0</v>
      </c>
      <c r="BA45" s="1">
        <v>0</v>
      </c>
      <c r="BB45" s="1">
        <v>0</v>
      </c>
      <c r="BC45" s="1">
        <v>5071.4600000000009</v>
      </c>
      <c r="BD45" s="1">
        <v>0</v>
      </c>
      <c r="BE45" s="1">
        <v>0</v>
      </c>
      <c r="BF45" s="1">
        <v>5770.6</v>
      </c>
      <c r="BG45" s="1">
        <v>0</v>
      </c>
      <c r="BH45" s="1">
        <v>0</v>
      </c>
      <c r="BI45" s="1">
        <v>0</v>
      </c>
      <c r="BJ45" s="1">
        <v>0</v>
      </c>
      <c r="BK45" s="1">
        <v>0</v>
      </c>
      <c r="BL45" s="1">
        <v>0</v>
      </c>
      <c r="BM45" s="1">
        <v>0</v>
      </c>
      <c r="BN45" s="1">
        <v>0</v>
      </c>
      <c r="BO45" s="1">
        <v>0</v>
      </c>
      <c r="BP45" s="1">
        <v>0</v>
      </c>
      <c r="BQ45" s="1">
        <v>0</v>
      </c>
      <c r="BR45" s="1">
        <v>0</v>
      </c>
      <c r="BS45" s="1">
        <v>0</v>
      </c>
      <c r="BT45" s="1">
        <v>0</v>
      </c>
      <c r="BU45" s="1">
        <v>6855.8829999999998</v>
      </c>
      <c r="BV45" s="1">
        <v>6850.8629999999994</v>
      </c>
      <c r="BW45" s="1">
        <v>6192.0690000000004</v>
      </c>
      <c r="BX45" s="1">
        <v>6223.3869999999997</v>
      </c>
      <c r="BY45" s="1">
        <v>6855.8829999999998</v>
      </c>
      <c r="BZ45" s="1">
        <v>6850.8629999999994</v>
      </c>
      <c r="CA45" s="1">
        <v>6192.0690000000004</v>
      </c>
      <c r="CB45" s="1">
        <v>6223.3869999999997</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2093.5590000000002</v>
      </c>
      <c r="CT45" s="1">
        <v>2172.2190000000001</v>
      </c>
      <c r="CU45" s="1">
        <v>2139.942</v>
      </c>
      <c r="CV45" s="1">
        <v>2108.614</v>
      </c>
      <c r="CW45" s="1">
        <v>2093.5590000000002</v>
      </c>
      <c r="CX45" s="1">
        <v>2172.2190000000001</v>
      </c>
      <c r="CY45" s="1">
        <v>2139.942</v>
      </c>
      <c r="CZ45" s="1">
        <v>2061.9679999999998</v>
      </c>
      <c r="DA45" s="1">
        <v>0</v>
      </c>
      <c r="DB45" s="1">
        <v>0</v>
      </c>
      <c r="DC45" s="1">
        <v>0</v>
      </c>
      <c r="DD45" s="1">
        <v>0</v>
      </c>
      <c r="DE45" s="1">
        <v>0</v>
      </c>
      <c r="DF45" s="1">
        <v>0</v>
      </c>
      <c r="DG45" s="1">
        <v>0</v>
      </c>
      <c r="DH45" s="1">
        <v>46.646000000000001</v>
      </c>
      <c r="DI45" s="1">
        <v>0</v>
      </c>
      <c r="DJ45" s="1">
        <v>0</v>
      </c>
      <c r="DK45" s="1">
        <v>0</v>
      </c>
      <c r="DL45" s="1">
        <v>0</v>
      </c>
      <c r="DM45" s="1">
        <v>4813.0259999999998</v>
      </c>
      <c r="DN45" s="1">
        <v>5097.0920000000006</v>
      </c>
      <c r="DO45" s="1">
        <v>4494.768</v>
      </c>
      <c r="DP45" s="1">
        <v>4308.96</v>
      </c>
      <c r="DQ45" s="1">
        <v>4647.2569999999996</v>
      </c>
      <c r="DR45" s="1">
        <v>5097.0920000000006</v>
      </c>
      <c r="DS45" s="1">
        <v>4494.768</v>
      </c>
      <c r="DT45" s="1">
        <v>4308.96</v>
      </c>
      <c r="DU45" s="1">
        <v>0</v>
      </c>
      <c r="DV45" s="1">
        <v>0</v>
      </c>
      <c r="DW45" s="1">
        <v>0</v>
      </c>
      <c r="DX45" s="1">
        <v>0</v>
      </c>
      <c r="DY45" s="1">
        <v>0</v>
      </c>
      <c r="DZ45" s="1">
        <v>0</v>
      </c>
      <c r="EA45" s="1">
        <v>0</v>
      </c>
      <c r="EB45" s="1">
        <v>0</v>
      </c>
      <c r="EC45" s="1">
        <v>0</v>
      </c>
      <c r="ED45" s="1">
        <v>0</v>
      </c>
      <c r="EE45" s="1">
        <v>0</v>
      </c>
      <c r="EF45" s="1">
        <v>0</v>
      </c>
      <c r="EG45" s="1">
        <v>165.76900000000001</v>
      </c>
      <c r="EH45" s="1">
        <v>0</v>
      </c>
      <c r="EI45" s="1">
        <v>0</v>
      </c>
      <c r="EJ45" s="1">
        <v>0</v>
      </c>
      <c r="EK45" s="1">
        <v>880.62599999999998</v>
      </c>
      <c r="EL45" s="1">
        <v>1118.222</v>
      </c>
      <c r="EM45" s="1">
        <v>804.58699999999999</v>
      </c>
      <c r="EN45" s="1">
        <v>908.65699999999993</v>
      </c>
      <c r="EO45" s="1">
        <v>880.62599999999998</v>
      </c>
      <c r="EP45" s="1">
        <v>1118.222</v>
      </c>
      <c r="EQ45" s="1">
        <v>804.58699999999999</v>
      </c>
      <c r="ER45" s="1">
        <v>908.65699999999993</v>
      </c>
      <c r="ES45" s="1">
        <v>0</v>
      </c>
      <c r="ET45" s="1">
        <v>0</v>
      </c>
      <c r="EU45" s="1">
        <v>0</v>
      </c>
      <c r="EV45" s="1">
        <v>0</v>
      </c>
      <c r="EW45" s="1">
        <v>0</v>
      </c>
      <c r="EX45" s="1">
        <v>0</v>
      </c>
      <c r="EY45" s="1">
        <v>0</v>
      </c>
      <c r="EZ45" s="1">
        <v>0</v>
      </c>
      <c r="FA45" s="1">
        <v>0</v>
      </c>
      <c r="FB45" s="1">
        <v>0</v>
      </c>
      <c r="FC45" s="1">
        <v>0</v>
      </c>
      <c r="FD45" s="1">
        <v>0</v>
      </c>
      <c r="FE45" s="1">
        <v>99.449999999999989</v>
      </c>
      <c r="FF45" s="1">
        <v>115.83499999999999</v>
      </c>
      <c r="FG45" s="1">
        <v>76.5</v>
      </c>
      <c r="FH45" s="1">
        <v>72.195000000000007</v>
      </c>
      <c r="FI45" s="1">
        <v>99.449999999999989</v>
      </c>
      <c r="FJ45" s="1">
        <v>115.83499999999999</v>
      </c>
      <c r="FK45" s="1">
        <v>69.39</v>
      </c>
      <c r="FL45" s="1">
        <v>60.134999999999998</v>
      </c>
      <c r="FM45" s="1">
        <v>0</v>
      </c>
      <c r="FN45" s="1">
        <v>0</v>
      </c>
      <c r="FO45" s="1">
        <v>7.1099999999999994</v>
      </c>
      <c r="FP45" s="1">
        <v>12.06</v>
      </c>
      <c r="FQ45" s="1">
        <v>0</v>
      </c>
      <c r="FR45" s="1">
        <v>0</v>
      </c>
      <c r="FS45" s="1">
        <v>0</v>
      </c>
      <c r="FT45" s="1">
        <v>0</v>
      </c>
      <c r="FU45" s="1">
        <v>0</v>
      </c>
      <c r="FV45" s="1">
        <v>0</v>
      </c>
      <c r="FW45" s="1">
        <v>0</v>
      </c>
      <c r="FX45" s="1">
        <v>0</v>
      </c>
      <c r="FY45" s="1">
        <v>0</v>
      </c>
      <c r="FZ45" s="1">
        <v>0</v>
      </c>
      <c r="GA45" s="1">
        <v>0</v>
      </c>
      <c r="GB45" s="1">
        <v>0</v>
      </c>
      <c r="GC45" s="1">
        <v>95.59</v>
      </c>
      <c r="GD45" s="1">
        <v>45.546999999999997</v>
      </c>
      <c r="GE45" s="1">
        <v>48.789000000000001</v>
      </c>
      <c r="GF45" s="1">
        <v>46.831000000000003</v>
      </c>
      <c r="GG45" s="1">
        <v>95.59</v>
      </c>
      <c r="GH45" s="1">
        <v>45.546999999999997</v>
      </c>
      <c r="GI45" s="1">
        <v>48.789000000000001</v>
      </c>
      <c r="GJ45" s="1">
        <v>0</v>
      </c>
      <c r="GK45" s="1">
        <v>0</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161.49799999999999</v>
      </c>
      <c r="IP45" s="1">
        <v>125.465</v>
      </c>
      <c r="IQ45" s="1">
        <v>194.255</v>
      </c>
      <c r="IR45" s="1">
        <v>129.39500000000001</v>
      </c>
      <c r="IS45" s="1">
        <v>98.715000000000003</v>
      </c>
      <c r="IT45" s="1">
        <v>125.465</v>
      </c>
      <c r="IU45" s="1">
        <v>194.255</v>
      </c>
      <c r="IV45" s="1">
        <v>129.39500000000001</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62.783000000000001</v>
      </c>
      <c r="JN45" s="1">
        <v>0</v>
      </c>
      <c r="JO45" s="1">
        <v>0</v>
      </c>
      <c r="JP45" s="1">
        <v>0</v>
      </c>
      <c r="JQ45" s="9"/>
      <c r="JR45" s="1">
        <f t="shared" si="16"/>
        <v>2478.2433300000002</v>
      </c>
      <c r="JS45" s="1">
        <f t="shared" si="17"/>
        <v>2729.7294300000012</v>
      </c>
      <c r="JT45" s="1">
        <f t="shared" si="18"/>
        <v>2201.025689999999</v>
      </c>
      <c r="JU45" s="1">
        <f t="shared" si="19"/>
        <v>2274.6722400000008</v>
      </c>
      <c r="JV45" s="1">
        <f t="shared" si="20"/>
        <v>458.93395000000004</v>
      </c>
      <c r="JW45" s="1">
        <f t="shared" si="21"/>
        <v>505.50545000000022</v>
      </c>
      <c r="JX45" s="1">
        <f t="shared" si="22"/>
        <v>407.59734999999984</v>
      </c>
      <c r="JY45" s="1">
        <f t="shared" si="23"/>
        <v>421.2356000000002</v>
      </c>
    </row>
    <row r="46" spans="1:285" x14ac:dyDescent="0.35">
      <c r="A46" s="2" t="s">
        <v>53</v>
      </c>
      <c r="B46" s="1">
        <v>289105</v>
      </c>
      <c r="C46" s="1">
        <v>295651</v>
      </c>
      <c r="D46" s="1">
        <v>301829</v>
      </c>
      <c r="E46" s="1">
        <v>309382</v>
      </c>
      <c r="F46" s="1">
        <v>326480.69</v>
      </c>
      <c r="G46" s="1">
        <v>257153.29</v>
      </c>
      <c r="H46" s="1">
        <v>242227.97</v>
      </c>
      <c r="I46" s="1">
        <v>260754.86</v>
      </c>
      <c r="J46" s="1">
        <f t="shared" si="8"/>
        <v>73196.100000000006</v>
      </c>
      <c r="K46" s="1">
        <f t="shared" si="9"/>
        <v>69459.62</v>
      </c>
      <c r="L46" s="1">
        <f t="shared" si="10"/>
        <v>67583.7</v>
      </c>
      <c r="M46" s="1">
        <f t="shared" si="11"/>
        <v>91473.49</v>
      </c>
      <c r="N46" s="1">
        <f t="shared" si="12"/>
        <v>253284.59</v>
      </c>
      <c r="O46" s="1">
        <f t="shared" si="13"/>
        <v>187693.67</v>
      </c>
      <c r="P46" s="1">
        <f t="shared" si="14"/>
        <v>174644.27000000002</v>
      </c>
      <c r="Q46" s="1">
        <f t="shared" si="15"/>
        <v>169281.37</v>
      </c>
      <c r="R46" s="1">
        <v>5998.71</v>
      </c>
      <c r="S46" s="1">
        <v>10194.17</v>
      </c>
      <c r="T46" s="1">
        <v>9280.59</v>
      </c>
      <c r="U46" s="1">
        <v>8851.81</v>
      </c>
      <c r="V46" s="1">
        <v>0</v>
      </c>
      <c r="W46" s="1">
        <v>0</v>
      </c>
      <c r="X46" s="1">
        <v>5998.71</v>
      </c>
      <c r="Y46" s="1">
        <v>0</v>
      </c>
      <c r="Z46" s="1">
        <v>0</v>
      </c>
      <c r="AA46" s="1">
        <v>10194.17</v>
      </c>
      <c r="AB46" s="1">
        <v>0</v>
      </c>
      <c r="AC46" s="1">
        <v>0</v>
      </c>
      <c r="AD46" s="1">
        <v>9280.59</v>
      </c>
      <c r="AE46" s="1">
        <v>0</v>
      </c>
      <c r="AF46" s="1">
        <v>0</v>
      </c>
      <c r="AG46" s="1">
        <v>8851.81</v>
      </c>
      <c r="AH46" s="1">
        <v>0</v>
      </c>
      <c r="AI46" s="1">
        <v>0</v>
      </c>
      <c r="AJ46" s="1">
        <v>0</v>
      </c>
      <c r="AK46" s="1">
        <v>0</v>
      </c>
      <c r="AL46" s="1">
        <v>0</v>
      </c>
      <c r="AM46" s="1">
        <v>0</v>
      </c>
      <c r="AN46" s="1">
        <v>0</v>
      </c>
      <c r="AO46" s="1">
        <v>0</v>
      </c>
      <c r="AP46" s="1">
        <v>17166.38</v>
      </c>
      <c r="AQ46" s="1">
        <v>18125.100000000002</v>
      </c>
      <c r="AR46" s="1">
        <v>19438.54</v>
      </c>
      <c r="AS46" s="1">
        <v>23887.859999999997</v>
      </c>
      <c r="AT46" s="1">
        <v>0</v>
      </c>
      <c r="AU46" s="1">
        <v>17166.38</v>
      </c>
      <c r="AV46" s="1">
        <v>0</v>
      </c>
      <c r="AW46" s="1">
        <v>0</v>
      </c>
      <c r="AX46" s="1">
        <v>0</v>
      </c>
      <c r="AY46" s="1">
        <v>18125.100000000002</v>
      </c>
      <c r="AZ46" s="1">
        <v>0</v>
      </c>
      <c r="BA46" s="1">
        <v>0</v>
      </c>
      <c r="BB46" s="1">
        <v>0</v>
      </c>
      <c r="BC46" s="1">
        <v>19438.54</v>
      </c>
      <c r="BD46" s="1">
        <v>0</v>
      </c>
      <c r="BE46" s="1">
        <v>0</v>
      </c>
      <c r="BF46" s="1">
        <v>23887.859999999997</v>
      </c>
      <c r="BG46" s="1">
        <v>0</v>
      </c>
      <c r="BH46" s="1">
        <v>0</v>
      </c>
      <c r="BI46" s="1">
        <v>0</v>
      </c>
      <c r="BJ46" s="1">
        <v>0</v>
      </c>
      <c r="BK46" s="1">
        <v>0</v>
      </c>
      <c r="BL46" s="1">
        <v>0</v>
      </c>
      <c r="BM46" s="1">
        <v>0</v>
      </c>
      <c r="BN46" s="1">
        <v>0</v>
      </c>
      <c r="BO46" s="1">
        <v>0</v>
      </c>
      <c r="BP46" s="1">
        <v>0</v>
      </c>
      <c r="BQ46" s="1">
        <v>0</v>
      </c>
      <c r="BR46" s="1">
        <v>0</v>
      </c>
      <c r="BS46" s="1">
        <v>0</v>
      </c>
      <c r="BT46" s="1">
        <v>0</v>
      </c>
      <c r="BU46" s="1">
        <v>19490.419999999998</v>
      </c>
      <c r="BV46" s="1">
        <v>17825.509999999998</v>
      </c>
      <c r="BW46" s="1">
        <v>19347.61</v>
      </c>
      <c r="BX46" s="1">
        <v>23872.3</v>
      </c>
      <c r="BY46" s="1">
        <v>19490.419999999998</v>
      </c>
      <c r="BZ46" s="1">
        <v>17825.509999999998</v>
      </c>
      <c r="CA46" s="1">
        <v>19347.61</v>
      </c>
      <c r="CB46" s="1">
        <v>23872.3</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10113.370000000001</v>
      </c>
      <c r="CT46" s="1">
        <v>8384.07</v>
      </c>
      <c r="CU46" s="1">
        <v>5143.22</v>
      </c>
      <c r="CV46" s="1">
        <v>15748.99</v>
      </c>
      <c r="CW46" s="1">
        <v>10113.370000000001</v>
      </c>
      <c r="CX46" s="1">
        <v>8318.19</v>
      </c>
      <c r="CY46" s="1">
        <v>4997.54</v>
      </c>
      <c r="CZ46" s="1">
        <v>15674.04</v>
      </c>
      <c r="DA46" s="1">
        <v>0</v>
      </c>
      <c r="DB46" s="1">
        <v>65.88</v>
      </c>
      <c r="DC46" s="1">
        <v>145.68</v>
      </c>
      <c r="DD46" s="1">
        <v>74.95</v>
      </c>
      <c r="DE46" s="1">
        <v>0</v>
      </c>
      <c r="DF46" s="1">
        <v>0</v>
      </c>
      <c r="DG46" s="1">
        <v>0</v>
      </c>
      <c r="DH46" s="1">
        <v>0</v>
      </c>
      <c r="DI46" s="1">
        <v>0</v>
      </c>
      <c r="DJ46" s="1">
        <v>0</v>
      </c>
      <c r="DK46" s="1">
        <v>0</v>
      </c>
      <c r="DL46" s="1">
        <v>0</v>
      </c>
      <c r="DM46" s="1">
        <v>10030.93</v>
      </c>
      <c r="DN46" s="1">
        <v>7352.2999999999993</v>
      </c>
      <c r="DO46" s="1">
        <v>7001.98</v>
      </c>
      <c r="DP46" s="1">
        <v>6378.14</v>
      </c>
      <c r="DQ46" s="1">
        <v>10030.93</v>
      </c>
      <c r="DR46" s="1">
        <v>7352.2999999999993</v>
      </c>
      <c r="DS46" s="1">
        <v>7001.98</v>
      </c>
      <c r="DT46" s="1">
        <v>6378.14</v>
      </c>
      <c r="DU46" s="1">
        <v>0</v>
      </c>
      <c r="DV46" s="1">
        <v>0</v>
      </c>
      <c r="DW46" s="1">
        <v>0</v>
      </c>
      <c r="DX46" s="1">
        <v>0</v>
      </c>
      <c r="DY46" s="1">
        <v>0</v>
      </c>
      <c r="DZ46" s="1">
        <v>0</v>
      </c>
      <c r="EA46" s="1">
        <v>0</v>
      </c>
      <c r="EB46" s="1">
        <v>0</v>
      </c>
      <c r="EC46" s="1">
        <v>0</v>
      </c>
      <c r="ED46" s="1">
        <v>0</v>
      </c>
      <c r="EE46" s="1">
        <v>0</v>
      </c>
      <c r="EF46" s="1">
        <v>0</v>
      </c>
      <c r="EG46" s="1">
        <v>0</v>
      </c>
      <c r="EH46" s="1">
        <v>0</v>
      </c>
      <c r="EI46" s="1">
        <v>0</v>
      </c>
      <c r="EJ46" s="1">
        <v>0</v>
      </c>
      <c r="EK46" s="1">
        <v>6604.380000000001</v>
      </c>
      <c r="EL46" s="1">
        <v>4394.22</v>
      </c>
      <c r="EM46" s="1">
        <v>3238.92</v>
      </c>
      <c r="EN46" s="1">
        <v>7152.7199999999993</v>
      </c>
      <c r="EO46" s="1">
        <v>6604.380000000001</v>
      </c>
      <c r="EP46" s="1">
        <v>4394.22</v>
      </c>
      <c r="EQ46" s="1">
        <v>3238.92</v>
      </c>
      <c r="ER46" s="1">
        <v>7152.7199999999993</v>
      </c>
      <c r="ES46" s="1">
        <v>0</v>
      </c>
      <c r="ET46" s="1">
        <v>0</v>
      </c>
      <c r="EU46" s="1">
        <v>0</v>
      </c>
      <c r="EV46" s="1">
        <v>0</v>
      </c>
      <c r="EW46" s="1">
        <v>0</v>
      </c>
      <c r="EX46" s="1">
        <v>0</v>
      </c>
      <c r="EY46" s="1">
        <v>0</v>
      </c>
      <c r="EZ46" s="1">
        <v>0</v>
      </c>
      <c r="FA46" s="1">
        <v>0</v>
      </c>
      <c r="FB46" s="1">
        <v>0</v>
      </c>
      <c r="FC46" s="1">
        <v>0</v>
      </c>
      <c r="FD46" s="1">
        <v>0</v>
      </c>
      <c r="FE46" s="1">
        <v>1015.46</v>
      </c>
      <c r="FF46" s="1">
        <v>1011.03</v>
      </c>
      <c r="FG46" s="1">
        <v>926.6400000000001</v>
      </c>
      <c r="FH46" s="1">
        <v>730.18000000000006</v>
      </c>
      <c r="FI46" s="1">
        <v>1015.46</v>
      </c>
      <c r="FJ46" s="1">
        <v>1011.03</v>
      </c>
      <c r="FK46" s="1">
        <v>926.6400000000001</v>
      </c>
      <c r="FL46" s="1">
        <v>730.18000000000006</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1130.42</v>
      </c>
      <c r="GD46" s="1">
        <v>1310.84</v>
      </c>
      <c r="GE46" s="1">
        <v>1068.02</v>
      </c>
      <c r="GF46" s="1">
        <v>1375.52</v>
      </c>
      <c r="GG46" s="1">
        <v>1130.42</v>
      </c>
      <c r="GH46" s="1">
        <v>1310.84</v>
      </c>
      <c r="GI46" s="1">
        <v>1068.02</v>
      </c>
      <c r="GJ46" s="1">
        <v>46.831000000000003</v>
      </c>
      <c r="GK46" s="1">
        <v>0</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0.61</v>
      </c>
      <c r="HF46" s="1">
        <v>0</v>
      </c>
      <c r="HG46" s="1">
        <v>0</v>
      </c>
      <c r="HH46" s="1">
        <v>0</v>
      </c>
      <c r="HI46" s="1">
        <v>0.61</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1645.42</v>
      </c>
      <c r="IP46" s="1">
        <v>862.38</v>
      </c>
      <c r="IQ46" s="1">
        <v>2138.1799999999998</v>
      </c>
      <c r="IR46" s="1">
        <v>3475.97</v>
      </c>
      <c r="IS46" s="1">
        <v>1645.42</v>
      </c>
      <c r="IT46" s="1">
        <v>767.82999999999993</v>
      </c>
      <c r="IU46" s="1">
        <v>1992.5</v>
      </c>
      <c r="IV46" s="1">
        <v>3345.78</v>
      </c>
      <c r="IW46" s="1">
        <v>0</v>
      </c>
      <c r="IX46" s="1">
        <v>94.55</v>
      </c>
      <c r="IY46" s="1">
        <v>145.68</v>
      </c>
      <c r="IZ46" s="1">
        <v>130.19</v>
      </c>
      <c r="JA46" s="1">
        <v>0</v>
      </c>
      <c r="JB46" s="1">
        <v>0</v>
      </c>
      <c r="JC46" s="1">
        <v>0</v>
      </c>
      <c r="JD46" s="1">
        <v>0</v>
      </c>
      <c r="JE46" s="1">
        <v>0</v>
      </c>
      <c r="JF46" s="1">
        <v>0</v>
      </c>
      <c r="JG46" s="1">
        <v>0</v>
      </c>
      <c r="JH46" s="1">
        <v>0</v>
      </c>
      <c r="JI46" s="1">
        <v>0</v>
      </c>
      <c r="JJ46" s="1">
        <v>0</v>
      </c>
      <c r="JK46" s="1">
        <v>0</v>
      </c>
      <c r="JL46" s="1">
        <v>0</v>
      </c>
      <c r="JM46" s="1">
        <v>0</v>
      </c>
      <c r="JN46" s="1">
        <v>0</v>
      </c>
      <c r="JO46" s="1">
        <v>0</v>
      </c>
      <c r="JP46" s="1">
        <v>0</v>
      </c>
      <c r="JQ46" s="9"/>
      <c r="JR46" s="1">
        <f t="shared" si="16"/>
        <v>68386.839300000007</v>
      </c>
      <c r="JS46" s="1">
        <f t="shared" si="17"/>
        <v>50677.290900000007</v>
      </c>
      <c r="JT46" s="1">
        <f t="shared" si="18"/>
        <v>47153.952900000011</v>
      </c>
      <c r="JU46" s="1">
        <f t="shared" si="19"/>
        <v>45705.969900000004</v>
      </c>
      <c r="JV46" s="1">
        <f t="shared" si="20"/>
        <v>12664.229500000001</v>
      </c>
      <c r="JW46" s="1">
        <f t="shared" si="21"/>
        <v>9384.683500000001</v>
      </c>
      <c r="JX46" s="1">
        <f t="shared" si="22"/>
        <v>8732.2135000000017</v>
      </c>
      <c r="JY46" s="1">
        <f t="shared" si="23"/>
        <v>8464.0684999999994</v>
      </c>
    </row>
    <row r="47" spans="1:285" x14ac:dyDescent="0.35">
      <c r="A47" s="2" t="s">
        <v>54</v>
      </c>
      <c r="B47" s="1">
        <v>182108</v>
      </c>
      <c r="C47" s="1">
        <v>182906</v>
      </c>
      <c r="D47" s="1">
        <v>185174</v>
      </c>
      <c r="E47" s="1">
        <v>187179</v>
      </c>
      <c r="F47" s="1">
        <v>55463.286999999997</v>
      </c>
      <c r="G47" s="1">
        <v>54121.232000000004</v>
      </c>
      <c r="H47" s="1">
        <v>48716.351999999999</v>
      </c>
      <c r="I47" s="1">
        <v>49655.118999999999</v>
      </c>
      <c r="J47" s="1">
        <f t="shared" si="8"/>
        <v>27746.695999999996</v>
      </c>
      <c r="K47" s="1">
        <f t="shared" si="9"/>
        <v>28573.913</v>
      </c>
      <c r="L47" s="1">
        <f t="shared" si="10"/>
        <v>25239.823999999997</v>
      </c>
      <c r="M47" s="1">
        <f t="shared" si="11"/>
        <v>26148.222999999994</v>
      </c>
      <c r="N47" s="1">
        <f t="shared" si="12"/>
        <v>27716.591</v>
      </c>
      <c r="O47" s="1">
        <f t="shared" si="13"/>
        <v>25547.319000000003</v>
      </c>
      <c r="P47" s="1">
        <f t="shared" si="14"/>
        <v>23476.528000000002</v>
      </c>
      <c r="Q47" s="1">
        <f t="shared" si="15"/>
        <v>23506.896000000004</v>
      </c>
      <c r="R47" s="1">
        <v>0</v>
      </c>
      <c r="S47" s="1">
        <v>0</v>
      </c>
      <c r="T47" s="1">
        <v>0</v>
      </c>
      <c r="U47" s="1">
        <v>0</v>
      </c>
      <c r="V47" s="1">
        <v>0</v>
      </c>
      <c r="W47" s="1">
        <v>0</v>
      </c>
      <c r="X47" s="1">
        <v>0</v>
      </c>
      <c r="Y47" s="1">
        <v>0</v>
      </c>
      <c r="Z47" s="1">
        <v>0</v>
      </c>
      <c r="AA47" s="1">
        <v>0</v>
      </c>
      <c r="AB47" s="1">
        <v>0</v>
      </c>
      <c r="AC47" s="1">
        <v>0</v>
      </c>
      <c r="AD47" s="1">
        <v>0</v>
      </c>
      <c r="AE47" s="1">
        <v>0</v>
      </c>
      <c r="AF47" s="1">
        <v>0</v>
      </c>
      <c r="AG47" s="1">
        <v>0</v>
      </c>
      <c r="AH47" s="1">
        <v>0</v>
      </c>
      <c r="AI47" s="1">
        <v>0</v>
      </c>
      <c r="AJ47" s="1">
        <v>0</v>
      </c>
      <c r="AK47" s="1">
        <v>0</v>
      </c>
      <c r="AL47" s="1">
        <v>0</v>
      </c>
      <c r="AM47" s="1">
        <v>0</v>
      </c>
      <c r="AN47" s="1">
        <v>0</v>
      </c>
      <c r="AO47" s="1">
        <v>0</v>
      </c>
      <c r="AP47" s="1">
        <v>10534.86</v>
      </c>
      <c r="AQ47" s="1">
        <v>11628.58</v>
      </c>
      <c r="AR47" s="1">
        <v>9845.24</v>
      </c>
      <c r="AS47" s="1">
        <v>11373.1</v>
      </c>
      <c r="AT47" s="1">
        <v>0</v>
      </c>
      <c r="AU47" s="1">
        <v>10534.86</v>
      </c>
      <c r="AV47" s="1">
        <v>0</v>
      </c>
      <c r="AW47" s="1">
        <v>0</v>
      </c>
      <c r="AX47" s="1">
        <v>0</v>
      </c>
      <c r="AY47" s="1">
        <v>11628.58</v>
      </c>
      <c r="AZ47" s="1">
        <v>0</v>
      </c>
      <c r="BA47" s="1">
        <v>0</v>
      </c>
      <c r="BB47" s="1">
        <v>0</v>
      </c>
      <c r="BC47" s="1">
        <v>9845.24</v>
      </c>
      <c r="BD47" s="1">
        <v>0</v>
      </c>
      <c r="BE47" s="1">
        <v>0</v>
      </c>
      <c r="BF47" s="1">
        <v>11373.1</v>
      </c>
      <c r="BG47" s="1">
        <v>0</v>
      </c>
      <c r="BH47" s="1">
        <v>0</v>
      </c>
      <c r="BI47" s="1">
        <v>0</v>
      </c>
      <c r="BJ47" s="1">
        <v>0</v>
      </c>
      <c r="BK47" s="1">
        <v>0</v>
      </c>
      <c r="BL47" s="1">
        <v>0</v>
      </c>
      <c r="BM47" s="1">
        <v>0</v>
      </c>
      <c r="BN47" s="1">
        <v>0</v>
      </c>
      <c r="BO47" s="1">
        <v>0</v>
      </c>
      <c r="BP47" s="1">
        <v>0</v>
      </c>
      <c r="BQ47" s="1">
        <v>0</v>
      </c>
      <c r="BR47" s="1">
        <v>0</v>
      </c>
      <c r="BS47" s="1">
        <v>0</v>
      </c>
      <c r="BT47" s="1">
        <v>0</v>
      </c>
      <c r="BU47" s="1">
        <v>8869.7970000000005</v>
      </c>
      <c r="BV47" s="1">
        <v>7944.0759999999991</v>
      </c>
      <c r="BW47" s="1">
        <v>7296.3410000000003</v>
      </c>
      <c r="BX47" s="1">
        <v>6810.0910000000003</v>
      </c>
      <c r="BY47" s="1">
        <v>8868.8469999999998</v>
      </c>
      <c r="BZ47" s="1">
        <v>7941.5259999999998</v>
      </c>
      <c r="CA47" s="1">
        <v>7292.3709999999992</v>
      </c>
      <c r="CB47" s="1">
        <v>6806.0110000000004</v>
      </c>
      <c r="CC47" s="1">
        <v>0.95</v>
      </c>
      <c r="CD47" s="1">
        <v>2.5499999999999998</v>
      </c>
      <c r="CE47" s="1">
        <v>3.97</v>
      </c>
      <c r="CF47" s="1">
        <v>4.08</v>
      </c>
      <c r="CG47" s="1">
        <v>0</v>
      </c>
      <c r="CH47" s="1">
        <v>0</v>
      </c>
      <c r="CI47" s="1">
        <v>0</v>
      </c>
      <c r="CJ47" s="1">
        <v>0</v>
      </c>
      <c r="CK47" s="1">
        <v>0</v>
      </c>
      <c r="CL47" s="1">
        <v>0</v>
      </c>
      <c r="CM47" s="1">
        <v>0</v>
      </c>
      <c r="CN47" s="1">
        <v>0</v>
      </c>
      <c r="CO47" s="1">
        <v>0</v>
      </c>
      <c r="CP47" s="1">
        <v>0</v>
      </c>
      <c r="CQ47" s="1">
        <v>0</v>
      </c>
      <c r="CR47" s="1">
        <v>0</v>
      </c>
      <c r="CS47" s="1">
        <v>2118.4369999999999</v>
      </c>
      <c r="CT47" s="1">
        <v>2039.269</v>
      </c>
      <c r="CU47" s="1">
        <v>1901.5530000000001</v>
      </c>
      <c r="CV47" s="1">
        <v>1920.153</v>
      </c>
      <c r="CW47" s="1">
        <v>2118.4369999999999</v>
      </c>
      <c r="CX47" s="1">
        <v>2039.269</v>
      </c>
      <c r="CY47" s="1">
        <v>1901.5530000000001</v>
      </c>
      <c r="CZ47" s="1">
        <v>1920.153</v>
      </c>
      <c r="DA47" s="1">
        <v>0</v>
      </c>
      <c r="DB47" s="1">
        <v>0</v>
      </c>
      <c r="DC47" s="1">
        <v>0</v>
      </c>
      <c r="DD47" s="1">
        <v>0</v>
      </c>
      <c r="DE47" s="1">
        <v>0</v>
      </c>
      <c r="DF47" s="1">
        <v>0</v>
      </c>
      <c r="DG47" s="1">
        <v>0</v>
      </c>
      <c r="DH47" s="1">
        <v>0</v>
      </c>
      <c r="DI47" s="1">
        <v>0</v>
      </c>
      <c r="DJ47" s="1">
        <v>0</v>
      </c>
      <c r="DK47" s="1">
        <v>0</v>
      </c>
      <c r="DL47" s="1">
        <v>0</v>
      </c>
      <c r="DM47" s="1">
        <v>4280.0590000000002</v>
      </c>
      <c r="DN47" s="1">
        <v>5252.8630000000003</v>
      </c>
      <c r="DO47" s="1">
        <v>4905.4279999999999</v>
      </c>
      <c r="DP47" s="1">
        <v>4850.8969999999999</v>
      </c>
      <c r="DQ47" s="1">
        <v>4280.0590000000002</v>
      </c>
      <c r="DR47" s="1">
        <v>5252.8630000000003</v>
      </c>
      <c r="DS47" s="1">
        <v>4905.4279999999999</v>
      </c>
      <c r="DT47" s="1">
        <v>4850.8969999999999</v>
      </c>
      <c r="DU47" s="1">
        <v>0</v>
      </c>
      <c r="DV47" s="1">
        <v>0</v>
      </c>
      <c r="DW47" s="1">
        <v>0</v>
      </c>
      <c r="DX47" s="1">
        <v>0</v>
      </c>
      <c r="DY47" s="1">
        <v>0</v>
      </c>
      <c r="DZ47" s="1">
        <v>0</v>
      </c>
      <c r="EA47" s="1">
        <v>0</v>
      </c>
      <c r="EB47" s="1">
        <v>0</v>
      </c>
      <c r="EC47" s="1">
        <v>0</v>
      </c>
      <c r="ED47" s="1">
        <v>0</v>
      </c>
      <c r="EE47" s="1">
        <v>0</v>
      </c>
      <c r="EF47" s="1">
        <v>0</v>
      </c>
      <c r="EG47" s="1">
        <v>0</v>
      </c>
      <c r="EH47" s="1">
        <v>0</v>
      </c>
      <c r="EI47" s="1">
        <v>0</v>
      </c>
      <c r="EJ47" s="1">
        <v>0</v>
      </c>
      <c r="EK47" s="1">
        <v>1018.515</v>
      </c>
      <c r="EL47" s="1">
        <v>976.24500000000012</v>
      </c>
      <c r="EM47" s="1">
        <v>823.69600000000003</v>
      </c>
      <c r="EN47" s="1">
        <v>766.6</v>
      </c>
      <c r="EO47" s="1">
        <v>1018.515</v>
      </c>
      <c r="EP47" s="1">
        <v>976.24500000000012</v>
      </c>
      <c r="EQ47" s="1">
        <v>823.69600000000003</v>
      </c>
      <c r="ER47" s="1">
        <v>766.6</v>
      </c>
      <c r="ES47" s="1">
        <v>0</v>
      </c>
      <c r="ET47" s="1">
        <v>0</v>
      </c>
      <c r="EU47" s="1">
        <v>0</v>
      </c>
      <c r="EV47" s="1">
        <v>0</v>
      </c>
      <c r="EW47" s="1">
        <v>0</v>
      </c>
      <c r="EX47" s="1">
        <v>0</v>
      </c>
      <c r="EY47" s="1">
        <v>0</v>
      </c>
      <c r="EZ47" s="1">
        <v>0</v>
      </c>
      <c r="FA47" s="1">
        <v>0</v>
      </c>
      <c r="FB47" s="1">
        <v>0</v>
      </c>
      <c r="FC47" s="1">
        <v>0</v>
      </c>
      <c r="FD47" s="1">
        <v>0</v>
      </c>
      <c r="FE47" s="1">
        <v>127.88800000000001</v>
      </c>
      <c r="FF47" s="1">
        <v>121.233</v>
      </c>
      <c r="FG47" s="1">
        <v>128.19999999999999</v>
      </c>
      <c r="FH47" s="1">
        <v>142.73500000000001</v>
      </c>
      <c r="FI47" s="1">
        <v>35.451999999999998</v>
      </c>
      <c r="FJ47" s="1">
        <v>55.494</v>
      </c>
      <c r="FK47" s="1">
        <v>57.706000000000003</v>
      </c>
      <c r="FL47" s="1">
        <v>58.881999999999998</v>
      </c>
      <c r="FM47" s="1">
        <v>92.436000000000007</v>
      </c>
      <c r="FN47" s="1">
        <v>65.73899999999999</v>
      </c>
      <c r="FO47" s="1">
        <v>70.494</v>
      </c>
      <c r="FP47" s="1">
        <v>83.853000000000009</v>
      </c>
      <c r="FQ47" s="1">
        <v>0</v>
      </c>
      <c r="FR47" s="1">
        <v>0</v>
      </c>
      <c r="FS47" s="1">
        <v>0</v>
      </c>
      <c r="FT47" s="1">
        <v>0</v>
      </c>
      <c r="FU47" s="1">
        <v>0</v>
      </c>
      <c r="FV47" s="1">
        <v>0</v>
      </c>
      <c r="FW47" s="1">
        <v>0</v>
      </c>
      <c r="FX47" s="1">
        <v>0</v>
      </c>
      <c r="FY47" s="1">
        <v>0</v>
      </c>
      <c r="FZ47" s="1">
        <v>0</v>
      </c>
      <c r="GA47" s="1">
        <v>0</v>
      </c>
      <c r="GB47" s="1">
        <v>0</v>
      </c>
      <c r="GC47" s="1">
        <v>165.2</v>
      </c>
      <c r="GD47" s="1">
        <v>164.11099999999999</v>
      </c>
      <c r="GE47" s="1">
        <v>75.745000000000005</v>
      </c>
      <c r="GF47" s="1">
        <v>70.477000000000004</v>
      </c>
      <c r="GG47" s="1">
        <v>165.2</v>
      </c>
      <c r="GH47" s="1">
        <v>164.11099999999999</v>
      </c>
      <c r="GI47" s="1">
        <v>75.745000000000005</v>
      </c>
      <c r="GJ47" s="1">
        <v>1375.52</v>
      </c>
      <c r="GK47" s="1">
        <v>0</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72.016999999999996</v>
      </c>
      <c r="HF47" s="1">
        <v>65.802000000000007</v>
      </c>
      <c r="HG47" s="1">
        <v>36.695</v>
      </c>
      <c r="HH47" s="1">
        <v>24.404</v>
      </c>
      <c r="HI47" s="1">
        <v>72.016999999999996</v>
      </c>
      <c r="HJ47" s="1">
        <v>65.802000000000007</v>
      </c>
      <c r="HK47" s="1">
        <v>36.695</v>
      </c>
      <c r="HL47" s="1">
        <v>24.404</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559.923</v>
      </c>
      <c r="IP47" s="1">
        <v>381.73399999999998</v>
      </c>
      <c r="IQ47" s="1">
        <v>226.92599999999999</v>
      </c>
      <c r="IR47" s="1">
        <v>189.76599999999999</v>
      </c>
      <c r="IS47" s="1">
        <v>378.43099999999998</v>
      </c>
      <c r="IT47" s="1">
        <v>261.40499999999997</v>
      </c>
      <c r="IU47" s="1">
        <v>105.935</v>
      </c>
      <c r="IV47" s="1">
        <v>22.731999999999999</v>
      </c>
      <c r="IW47" s="1">
        <v>181.49199999999999</v>
      </c>
      <c r="IX47" s="1">
        <v>120.32899999999999</v>
      </c>
      <c r="IY47" s="1">
        <v>120.991</v>
      </c>
      <c r="IZ47" s="1">
        <v>167.03399999999999</v>
      </c>
      <c r="JA47" s="1">
        <v>0</v>
      </c>
      <c r="JB47" s="1">
        <v>0</v>
      </c>
      <c r="JC47" s="1">
        <v>0</v>
      </c>
      <c r="JD47" s="1">
        <v>0</v>
      </c>
      <c r="JE47" s="1">
        <v>0</v>
      </c>
      <c r="JF47" s="1">
        <v>0</v>
      </c>
      <c r="JG47" s="1">
        <v>0</v>
      </c>
      <c r="JH47" s="1">
        <v>0</v>
      </c>
      <c r="JI47" s="1">
        <v>0</v>
      </c>
      <c r="JJ47" s="1">
        <v>0</v>
      </c>
      <c r="JK47" s="1">
        <v>0</v>
      </c>
      <c r="JL47" s="1">
        <v>0</v>
      </c>
      <c r="JM47" s="1">
        <v>0</v>
      </c>
      <c r="JN47" s="1">
        <v>0</v>
      </c>
      <c r="JO47" s="1">
        <v>0</v>
      </c>
      <c r="JP47" s="1">
        <v>0</v>
      </c>
      <c r="JQ47" s="9"/>
      <c r="JR47" s="1">
        <f t="shared" si="16"/>
        <v>7483.4795700000004</v>
      </c>
      <c r="JS47" s="1">
        <f t="shared" si="17"/>
        <v>6897.7761300000011</v>
      </c>
      <c r="JT47" s="1">
        <f t="shared" si="18"/>
        <v>6338.6625600000007</v>
      </c>
      <c r="JU47" s="1">
        <f t="shared" si="19"/>
        <v>6346.8619200000012</v>
      </c>
      <c r="JV47" s="1">
        <f t="shared" si="20"/>
        <v>1385.8295500000002</v>
      </c>
      <c r="JW47" s="1">
        <f t="shared" si="21"/>
        <v>1277.3659500000003</v>
      </c>
      <c r="JX47" s="1">
        <f t="shared" si="22"/>
        <v>1173.8264000000001</v>
      </c>
      <c r="JY47" s="1">
        <f t="shared" si="23"/>
        <v>1175.3448000000003</v>
      </c>
    </row>
    <row r="48" spans="1:285" x14ac:dyDescent="0.35">
      <c r="A48" s="2" t="s">
        <v>55</v>
      </c>
      <c r="B48" s="1">
        <v>180488</v>
      </c>
      <c r="C48" s="1">
        <v>181827</v>
      </c>
      <c r="D48" s="1">
        <v>183471</v>
      </c>
      <c r="E48" s="1">
        <v>186060</v>
      </c>
      <c r="F48" s="1">
        <v>72036.25</v>
      </c>
      <c r="G48" s="1">
        <v>59957.652000000002</v>
      </c>
      <c r="H48" s="1">
        <v>48290.906000000003</v>
      </c>
      <c r="I48" s="1">
        <v>59402.817999999999</v>
      </c>
      <c r="J48" s="1">
        <f t="shared" si="8"/>
        <v>60699.46899999999</v>
      </c>
      <c r="K48" s="1">
        <f t="shared" si="9"/>
        <v>49500.193999999996</v>
      </c>
      <c r="L48" s="1">
        <f t="shared" si="10"/>
        <v>38903.255000000005</v>
      </c>
      <c r="M48" s="1">
        <f t="shared" si="11"/>
        <v>51580.727999999996</v>
      </c>
      <c r="N48" s="1">
        <f t="shared" si="12"/>
        <v>11336.78100000001</v>
      </c>
      <c r="O48" s="1">
        <f t="shared" si="13"/>
        <v>10457.458000000006</v>
      </c>
      <c r="P48" s="1">
        <f t="shared" si="14"/>
        <v>9387.650999999998</v>
      </c>
      <c r="Q48" s="1">
        <f t="shared" si="15"/>
        <v>7822.0900000000038</v>
      </c>
      <c r="R48" s="1">
        <v>6300.12</v>
      </c>
      <c r="S48" s="1">
        <v>6256.96</v>
      </c>
      <c r="T48" s="1">
        <v>6158.54</v>
      </c>
      <c r="U48" s="1">
        <v>6254.4500000000007</v>
      </c>
      <c r="V48" s="1">
        <v>0</v>
      </c>
      <c r="W48" s="1">
        <v>0</v>
      </c>
      <c r="X48" s="1">
        <v>6300.12</v>
      </c>
      <c r="Y48" s="1">
        <v>0</v>
      </c>
      <c r="Z48" s="1">
        <v>0</v>
      </c>
      <c r="AA48" s="1">
        <v>6256.96</v>
      </c>
      <c r="AB48" s="1">
        <v>0</v>
      </c>
      <c r="AC48" s="1">
        <v>0</v>
      </c>
      <c r="AD48" s="1">
        <v>6158.54</v>
      </c>
      <c r="AE48" s="1">
        <v>0</v>
      </c>
      <c r="AF48" s="1">
        <v>0</v>
      </c>
      <c r="AG48" s="1">
        <v>6254.4500000000007</v>
      </c>
      <c r="AH48" s="1">
        <v>0</v>
      </c>
      <c r="AI48" s="1">
        <v>0</v>
      </c>
      <c r="AJ48" s="1">
        <v>0</v>
      </c>
      <c r="AK48" s="1">
        <v>0</v>
      </c>
      <c r="AL48" s="1">
        <v>0</v>
      </c>
      <c r="AM48" s="1">
        <v>0</v>
      </c>
      <c r="AN48" s="1">
        <v>0</v>
      </c>
      <c r="AO48" s="1">
        <v>0</v>
      </c>
      <c r="AP48" s="1">
        <v>17790.990000000002</v>
      </c>
      <c r="AQ48" s="1">
        <v>17613.452000000001</v>
      </c>
      <c r="AR48" s="1">
        <v>12922.74</v>
      </c>
      <c r="AS48" s="1">
        <v>15979.364000000001</v>
      </c>
      <c r="AT48" s="1">
        <v>0</v>
      </c>
      <c r="AU48" s="1">
        <v>821.2</v>
      </c>
      <c r="AV48" s="1">
        <v>0</v>
      </c>
      <c r="AW48" s="1">
        <v>16969.79</v>
      </c>
      <c r="AX48" s="1">
        <v>0</v>
      </c>
      <c r="AY48" s="1">
        <v>15261.162</v>
      </c>
      <c r="AZ48" s="1">
        <v>0</v>
      </c>
      <c r="BA48" s="1">
        <v>2352.29</v>
      </c>
      <c r="BB48" s="1">
        <v>0</v>
      </c>
      <c r="BC48" s="1">
        <v>12922.74</v>
      </c>
      <c r="BD48" s="1">
        <v>0</v>
      </c>
      <c r="BE48" s="1">
        <v>0</v>
      </c>
      <c r="BF48" s="1">
        <v>15979.364000000001</v>
      </c>
      <c r="BG48" s="1">
        <v>0</v>
      </c>
      <c r="BH48" s="1">
        <v>0</v>
      </c>
      <c r="BI48" s="1">
        <v>0</v>
      </c>
      <c r="BJ48" s="1">
        <v>0</v>
      </c>
      <c r="BK48" s="1">
        <v>0</v>
      </c>
      <c r="BL48" s="1">
        <v>0</v>
      </c>
      <c r="BM48" s="1">
        <v>0</v>
      </c>
      <c r="BN48" s="1">
        <v>0</v>
      </c>
      <c r="BO48" s="1">
        <v>0</v>
      </c>
      <c r="BP48" s="1">
        <v>0</v>
      </c>
      <c r="BQ48" s="1">
        <v>0</v>
      </c>
      <c r="BR48" s="1">
        <v>0</v>
      </c>
      <c r="BS48" s="1">
        <v>0</v>
      </c>
      <c r="BT48" s="1">
        <v>0</v>
      </c>
      <c r="BU48" s="1">
        <v>12851.829</v>
      </c>
      <c r="BV48" s="1">
        <v>11002.373</v>
      </c>
      <c r="BW48" s="1">
        <v>10332.754000000001</v>
      </c>
      <c r="BX48" s="1">
        <v>13405.731</v>
      </c>
      <c r="BY48" s="1">
        <v>12851.829</v>
      </c>
      <c r="BZ48" s="1">
        <v>11002.373</v>
      </c>
      <c r="CA48" s="1">
        <v>10332.754000000001</v>
      </c>
      <c r="CB48" s="1">
        <v>13405.731</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7352.48</v>
      </c>
      <c r="CT48" s="1">
        <v>2946.69</v>
      </c>
      <c r="CU48" s="1">
        <v>2377.8200000000002</v>
      </c>
      <c r="CV48" s="1">
        <v>5174.0609999999997</v>
      </c>
      <c r="CW48" s="1">
        <v>7352.48</v>
      </c>
      <c r="CX48" s="1">
        <v>2946.69</v>
      </c>
      <c r="CY48" s="1">
        <v>2377.8200000000002</v>
      </c>
      <c r="CZ48" s="1">
        <v>5174.0609999999997</v>
      </c>
      <c r="DA48" s="1">
        <v>0</v>
      </c>
      <c r="DB48" s="1">
        <v>0</v>
      </c>
      <c r="DC48" s="1">
        <v>0</v>
      </c>
      <c r="DD48" s="1">
        <v>0</v>
      </c>
      <c r="DE48" s="1">
        <v>0</v>
      </c>
      <c r="DF48" s="1">
        <v>0</v>
      </c>
      <c r="DG48" s="1">
        <v>0</v>
      </c>
      <c r="DH48" s="1">
        <v>0</v>
      </c>
      <c r="DI48" s="1">
        <v>0</v>
      </c>
      <c r="DJ48" s="1">
        <v>0</v>
      </c>
      <c r="DK48" s="1">
        <v>0</v>
      </c>
      <c r="DL48" s="1">
        <v>0</v>
      </c>
      <c r="DM48" s="1">
        <v>6064.2629999999999</v>
      </c>
      <c r="DN48" s="1">
        <v>5689.67</v>
      </c>
      <c r="DO48" s="1">
        <v>4878.1400000000003</v>
      </c>
      <c r="DP48" s="1">
        <v>4987.49</v>
      </c>
      <c r="DQ48" s="1">
        <v>6064.2629999999999</v>
      </c>
      <c r="DR48" s="1">
        <v>5689.67</v>
      </c>
      <c r="DS48" s="1">
        <v>4878.1400000000003</v>
      </c>
      <c r="DT48" s="1">
        <v>4987.49</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9790.3950000000004</v>
      </c>
      <c r="EL48" s="1">
        <v>5466.8780000000006</v>
      </c>
      <c r="EM48" s="1">
        <v>1728.3320000000001</v>
      </c>
      <c r="EN48" s="1">
        <v>5153.4570000000003</v>
      </c>
      <c r="EO48" s="1">
        <v>9790.3950000000004</v>
      </c>
      <c r="EP48" s="1">
        <v>5466.8780000000006</v>
      </c>
      <c r="EQ48" s="1">
        <v>1728.3320000000001</v>
      </c>
      <c r="ER48" s="1">
        <v>5153.4570000000003</v>
      </c>
      <c r="ES48" s="1">
        <v>0</v>
      </c>
      <c r="ET48" s="1">
        <v>0</v>
      </c>
      <c r="EU48" s="1">
        <v>0</v>
      </c>
      <c r="EV48" s="1">
        <v>0</v>
      </c>
      <c r="EW48" s="1">
        <v>0</v>
      </c>
      <c r="EX48" s="1">
        <v>0</v>
      </c>
      <c r="EY48" s="1">
        <v>0</v>
      </c>
      <c r="EZ48" s="1">
        <v>0</v>
      </c>
      <c r="FA48" s="1">
        <v>0</v>
      </c>
      <c r="FB48" s="1">
        <v>0</v>
      </c>
      <c r="FC48" s="1">
        <v>0</v>
      </c>
      <c r="FD48" s="1">
        <v>0</v>
      </c>
      <c r="FE48" s="1">
        <v>14.7</v>
      </c>
      <c r="FF48" s="1">
        <v>7.0429999999999993</v>
      </c>
      <c r="FG48" s="1">
        <v>15.462999999999999</v>
      </c>
      <c r="FH48" s="1">
        <v>30.393000000000001</v>
      </c>
      <c r="FI48" s="1">
        <v>14.7</v>
      </c>
      <c r="FJ48" s="1">
        <v>7.0429999999999993</v>
      </c>
      <c r="FK48" s="1">
        <v>15.462999999999999</v>
      </c>
      <c r="FL48" s="1">
        <v>30.393000000000001</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70.477000000000004</v>
      </c>
      <c r="GK48" s="1">
        <v>0</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534.69200000000001</v>
      </c>
      <c r="IP48" s="1">
        <v>517.12800000000004</v>
      </c>
      <c r="IQ48" s="1">
        <v>489.46600000000001</v>
      </c>
      <c r="IR48" s="1">
        <v>595.78200000000004</v>
      </c>
      <c r="IS48" s="1">
        <v>534.69200000000001</v>
      </c>
      <c r="IT48" s="1">
        <v>517.12800000000004</v>
      </c>
      <c r="IU48" s="1">
        <v>489.46600000000001</v>
      </c>
      <c r="IV48" s="1">
        <v>595.78200000000004</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0</v>
      </c>
      <c r="JO48" s="1">
        <v>0</v>
      </c>
      <c r="JP48" s="1">
        <v>0</v>
      </c>
      <c r="JQ48" s="9"/>
      <c r="JR48" s="1">
        <f t="shared" si="16"/>
        <v>3060.9308700000029</v>
      </c>
      <c r="JS48" s="1">
        <f t="shared" si="17"/>
        <v>2823.5136600000019</v>
      </c>
      <c r="JT48" s="1">
        <f t="shared" si="18"/>
        <v>2534.6657699999996</v>
      </c>
      <c r="JU48" s="1">
        <f t="shared" si="19"/>
        <v>2111.964300000001</v>
      </c>
      <c r="JV48" s="1">
        <f t="shared" si="20"/>
        <v>566.8390500000005</v>
      </c>
      <c r="JW48" s="1">
        <f t="shared" si="21"/>
        <v>522.8729000000003</v>
      </c>
      <c r="JX48" s="1">
        <f t="shared" si="22"/>
        <v>469.38254999999992</v>
      </c>
      <c r="JY48" s="1">
        <f t="shared" si="23"/>
        <v>391.1045000000002</v>
      </c>
    </row>
    <row r="49" spans="1:285" x14ac:dyDescent="0.35">
      <c r="A49" s="2" t="s">
        <v>56</v>
      </c>
      <c r="B49" s="1">
        <v>118924</v>
      </c>
      <c r="C49" s="1">
        <v>118838</v>
      </c>
      <c r="D49" s="1">
        <v>119617</v>
      </c>
      <c r="E49" s="1">
        <v>120859</v>
      </c>
      <c r="F49" s="1">
        <v>52450.43</v>
      </c>
      <c r="G49" s="1">
        <v>42372.538999999997</v>
      </c>
      <c r="H49" s="1">
        <v>38517.919000000002</v>
      </c>
      <c r="I49" s="1">
        <v>48245.26</v>
      </c>
      <c r="J49" s="1">
        <f t="shared" si="8"/>
        <v>49796.627</v>
      </c>
      <c r="K49" s="1">
        <f t="shared" si="9"/>
        <v>39435.526000000005</v>
      </c>
      <c r="L49" s="1">
        <f t="shared" si="10"/>
        <v>35798.18</v>
      </c>
      <c r="M49" s="1">
        <f t="shared" si="11"/>
        <v>41524.629999999997</v>
      </c>
      <c r="N49" s="1">
        <f t="shared" si="12"/>
        <v>2653.8029999999999</v>
      </c>
      <c r="O49" s="1">
        <f t="shared" si="13"/>
        <v>2937.0129999999917</v>
      </c>
      <c r="P49" s="1">
        <f t="shared" si="14"/>
        <v>2719.7390000000014</v>
      </c>
      <c r="Q49" s="1">
        <f t="shared" si="15"/>
        <v>6720.6300000000047</v>
      </c>
      <c r="R49" s="1">
        <v>3780.8</v>
      </c>
      <c r="S49" s="1">
        <v>3959.78</v>
      </c>
      <c r="T49" s="1">
        <v>3444.22</v>
      </c>
      <c r="U49" s="1">
        <v>3354.73</v>
      </c>
      <c r="V49" s="1">
        <v>0</v>
      </c>
      <c r="W49" s="1">
        <v>0</v>
      </c>
      <c r="X49" s="1">
        <v>3780.8</v>
      </c>
      <c r="Y49" s="1">
        <v>0</v>
      </c>
      <c r="Z49" s="1">
        <v>0</v>
      </c>
      <c r="AA49" s="1">
        <v>3959.78</v>
      </c>
      <c r="AB49" s="1">
        <v>0</v>
      </c>
      <c r="AC49" s="1">
        <v>0</v>
      </c>
      <c r="AD49" s="1">
        <v>3444.22</v>
      </c>
      <c r="AE49" s="1">
        <v>0</v>
      </c>
      <c r="AF49" s="1">
        <v>0</v>
      </c>
      <c r="AG49" s="1">
        <v>3354.73</v>
      </c>
      <c r="AH49" s="1">
        <v>0</v>
      </c>
      <c r="AI49" s="1">
        <v>0</v>
      </c>
      <c r="AJ49" s="1">
        <v>0</v>
      </c>
      <c r="AK49" s="1">
        <v>0</v>
      </c>
      <c r="AL49" s="1">
        <v>0</v>
      </c>
      <c r="AM49" s="1">
        <v>0</v>
      </c>
      <c r="AN49" s="1">
        <v>0</v>
      </c>
      <c r="AO49" s="1">
        <v>0</v>
      </c>
      <c r="AP49" s="1">
        <v>8169.7000000000007</v>
      </c>
      <c r="AQ49" s="1">
        <v>7325.7300000000014</v>
      </c>
      <c r="AR49" s="1">
        <v>6712.9800000000014</v>
      </c>
      <c r="AS49" s="1">
        <v>7589.8399999999992</v>
      </c>
      <c r="AT49" s="1">
        <v>0</v>
      </c>
      <c r="AU49" s="1">
        <v>8169.7000000000007</v>
      </c>
      <c r="AV49" s="1">
        <v>0</v>
      </c>
      <c r="AW49" s="1">
        <v>0</v>
      </c>
      <c r="AX49" s="1">
        <v>0</v>
      </c>
      <c r="AY49" s="1">
        <v>7325.7300000000014</v>
      </c>
      <c r="AZ49" s="1">
        <v>0</v>
      </c>
      <c r="BA49" s="1">
        <v>0</v>
      </c>
      <c r="BB49" s="1">
        <v>0</v>
      </c>
      <c r="BC49" s="1">
        <v>6712.9800000000014</v>
      </c>
      <c r="BD49" s="1">
        <v>0</v>
      </c>
      <c r="BE49" s="1">
        <v>0</v>
      </c>
      <c r="BF49" s="1">
        <v>7589.8399999999992</v>
      </c>
      <c r="BG49" s="1">
        <v>0</v>
      </c>
      <c r="BH49" s="1">
        <v>0</v>
      </c>
      <c r="BI49" s="1">
        <v>0</v>
      </c>
      <c r="BJ49" s="1">
        <v>0</v>
      </c>
      <c r="BK49" s="1">
        <v>0</v>
      </c>
      <c r="BL49" s="1">
        <v>0</v>
      </c>
      <c r="BM49" s="1">
        <v>0</v>
      </c>
      <c r="BN49" s="1">
        <v>0</v>
      </c>
      <c r="BO49" s="1">
        <v>0</v>
      </c>
      <c r="BP49" s="1">
        <v>0</v>
      </c>
      <c r="BQ49" s="1">
        <v>0</v>
      </c>
      <c r="BR49" s="1">
        <v>0</v>
      </c>
      <c r="BS49" s="1">
        <v>0</v>
      </c>
      <c r="BT49" s="1">
        <v>0</v>
      </c>
      <c r="BU49" s="1">
        <v>14970.95</v>
      </c>
      <c r="BV49" s="1">
        <v>11007.578</v>
      </c>
      <c r="BW49" s="1">
        <v>7619.7759999999998</v>
      </c>
      <c r="BX49" s="1">
        <v>6652.5999999999995</v>
      </c>
      <c r="BY49" s="1">
        <v>14852.098</v>
      </c>
      <c r="BZ49" s="1">
        <v>10858.272000000001</v>
      </c>
      <c r="CA49" s="1">
        <v>7446.8549999999996</v>
      </c>
      <c r="CB49" s="1">
        <v>6495.77</v>
      </c>
      <c r="CC49" s="1">
        <v>118.852</v>
      </c>
      <c r="CD49" s="1">
        <v>149.30600000000001</v>
      </c>
      <c r="CE49" s="1">
        <v>172.92099999999999</v>
      </c>
      <c r="CF49" s="1">
        <v>156.83000000000001</v>
      </c>
      <c r="CG49" s="1">
        <v>0</v>
      </c>
      <c r="CH49" s="1">
        <v>0</v>
      </c>
      <c r="CI49" s="1">
        <v>0</v>
      </c>
      <c r="CJ49" s="1">
        <v>0</v>
      </c>
      <c r="CK49" s="1">
        <v>0</v>
      </c>
      <c r="CL49" s="1">
        <v>0</v>
      </c>
      <c r="CM49" s="1">
        <v>0</v>
      </c>
      <c r="CN49" s="1">
        <v>0</v>
      </c>
      <c r="CO49" s="1">
        <v>0</v>
      </c>
      <c r="CP49" s="1">
        <v>0</v>
      </c>
      <c r="CQ49" s="1">
        <v>0</v>
      </c>
      <c r="CR49" s="1">
        <v>0</v>
      </c>
      <c r="CS49" s="1">
        <v>8475.8889999999992</v>
      </c>
      <c r="CT49" s="1">
        <v>5080.4539999999997</v>
      </c>
      <c r="CU49" s="1">
        <v>4391.384</v>
      </c>
      <c r="CV49" s="1">
        <v>4328.16</v>
      </c>
      <c r="CW49" s="1">
        <v>8475.8889999999992</v>
      </c>
      <c r="CX49" s="1">
        <v>5080.4539999999997</v>
      </c>
      <c r="CY49" s="1">
        <v>4391.384</v>
      </c>
      <c r="CZ49" s="1">
        <v>4328.16</v>
      </c>
      <c r="DA49" s="1">
        <v>0</v>
      </c>
      <c r="DB49" s="1">
        <v>0</v>
      </c>
      <c r="DC49" s="1">
        <v>0</v>
      </c>
      <c r="DD49" s="1">
        <v>0</v>
      </c>
      <c r="DE49" s="1">
        <v>0</v>
      </c>
      <c r="DF49" s="1">
        <v>0</v>
      </c>
      <c r="DG49" s="1">
        <v>0</v>
      </c>
      <c r="DH49" s="1">
        <v>0</v>
      </c>
      <c r="DI49" s="1">
        <v>0</v>
      </c>
      <c r="DJ49" s="1">
        <v>0</v>
      </c>
      <c r="DK49" s="1">
        <v>0</v>
      </c>
      <c r="DL49" s="1">
        <v>0</v>
      </c>
      <c r="DM49" s="1">
        <v>4222.8580000000002</v>
      </c>
      <c r="DN49" s="1">
        <v>3589.527</v>
      </c>
      <c r="DO49" s="1">
        <v>2922.6790000000001</v>
      </c>
      <c r="DP49" s="1">
        <v>2830.19</v>
      </c>
      <c r="DQ49" s="1">
        <v>4222.8580000000002</v>
      </c>
      <c r="DR49" s="1">
        <v>3589.527</v>
      </c>
      <c r="DS49" s="1">
        <v>2922.6790000000001</v>
      </c>
      <c r="DT49" s="1">
        <v>2830.19</v>
      </c>
      <c r="DU49" s="1">
        <v>0</v>
      </c>
      <c r="DV49" s="1">
        <v>0</v>
      </c>
      <c r="DW49" s="1">
        <v>0</v>
      </c>
      <c r="DX49" s="1">
        <v>0</v>
      </c>
      <c r="DY49" s="1">
        <v>0</v>
      </c>
      <c r="DZ49" s="1">
        <v>0</v>
      </c>
      <c r="EA49" s="1">
        <v>0</v>
      </c>
      <c r="EB49" s="1">
        <v>0</v>
      </c>
      <c r="EC49" s="1">
        <v>0</v>
      </c>
      <c r="ED49" s="1">
        <v>0</v>
      </c>
      <c r="EE49" s="1">
        <v>0</v>
      </c>
      <c r="EF49" s="1">
        <v>0</v>
      </c>
      <c r="EG49" s="1">
        <v>0</v>
      </c>
      <c r="EH49" s="1">
        <v>0</v>
      </c>
      <c r="EI49" s="1">
        <v>0</v>
      </c>
      <c r="EJ49" s="1">
        <v>0</v>
      </c>
      <c r="EK49" s="1">
        <v>7547.7470000000003</v>
      </c>
      <c r="EL49" s="1">
        <v>5171.2430000000004</v>
      </c>
      <c r="EM49" s="1">
        <v>7508.9359999999997</v>
      </c>
      <c r="EN49" s="1">
        <v>12963.22</v>
      </c>
      <c r="EO49" s="1">
        <v>7547.7470000000003</v>
      </c>
      <c r="EP49" s="1">
        <v>5171.2430000000004</v>
      </c>
      <c r="EQ49" s="1">
        <v>7508.9359999999997</v>
      </c>
      <c r="ER49" s="1">
        <v>12963.22</v>
      </c>
      <c r="ES49" s="1">
        <v>0</v>
      </c>
      <c r="ET49" s="1">
        <v>0</v>
      </c>
      <c r="EU49" s="1">
        <v>0</v>
      </c>
      <c r="EV49" s="1">
        <v>0</v>
      </c>
      <c r="EW49" s="1">
        <v>0</v>
      </c>
      <c r="EX49" s="1">
        <v>0</v>
      </c>
      <c r="EY49" s="1">
        <v>0</v>
      </c>
      <c r="EZ49" s="1">
        <v>0</v>
      </c>
      <c r="FA49" s="1">
        <v>0</v>
      </c>
      <c r="FB49" s="1">
        <v>0</v>
      </c>
      <c r="FC49" s="1">
        <v>0</v>
      </c>
      <c r="FD49" s="1">
        <v>0</v>
      </c>
      <c r="FE49" s="1">
        <v>580.53200000000004</v>
      </c>
      <c r="FF49" s="1">
        <v>746.85400000000004</v>
      </c>
      <c r="FG49" s="1">
        <v>984.54599999999994</v>
      </c>
      <c r="FH49" s="1">
        <v>876.56999999999994</v>
      </c>
      <c r="FI49" s="1">
        <v>305.67</v>
      </c>
      <c r="FJ49" s="1">
        <v>435.12299999999999</v>
      </c>
      <c r="FK49" s="1">
        <v>547.6099999999999</v>
      </c>
      <c r="FL49" s="1">
        <v>562.91000000000008</v>
      </c>
      <c r="FM49" s="1">
        <v>274.86200000000002</v>
      </c>
      <c r="FN49" s="1">
        <v>311.73099999999999</v>
      </c>
      <c r="FO49" s="1">
        <v>436.93599999999998</v>
      </c>
      <c r="FP49" s="1">
        <v>313.66000000000003</v>
      </c>
      <c r="FQ49" s="1">
        <v>0</v>
      </c>
      <c r="FR49" s="1">
        <v>0</v>
      </c>
      <c r="FS49" s="1">
        <v>0</v>
      </c>
      <c r="FT49" s="1">
        <v>0</v>
      </c>
      <c r="FU49" s="1">
        <v>0</v>
      </c>
      <c r="FV49" s="1">
        <v>0</v>
      </c>
      <c r="FW49" s="1">
        <v>0</v>
      </c>
      <c r="FX49" s="1">
        <v>0</v>
      </c>
      <c r="FY49" s="1">
        <v>0</v>
      </c>
      <c r="FZ49" s="1">
        <v>0</v>
      </c>
      <c r="GA49" s="1">
        <v>0</v>
      </c>
      <c r="GB49" s="1">
        <v>0</v>
      </c>
      <c r="GC49" s="1">
        <v>774.67</v>
      </c>
      <c r="GD49" s="1">
        <v>1043.6400000000001</v>
      </c>
      <c r="GE49" s="1">
        <v>971.93000000000006</v>
      </c>
      <c r="GF49" s="1">
        <v>1840.08</v>
      </c>
      <c r="GG49" s="1">
        <v>774.67</v>
      </c>
      <c r="GH49" s="1">
        <v>1043.6400000000001</v>
      </c>
      <c r="GI49" s="1">
        <v>971.93000000000006</v>
      </c>
      <c r="GJ49" s="1">
        <v>0</v>
      </c>
      <c r="GK49" s="1">
        <v>0</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1180.441</v>
      </c>
      <c r="HF49" s="1">
        <v>1510.72</v>
      </c>
      <c r="HG49" s="1">
        <v>1197.96</v>
      </c>
      <c r="HH49" s="1">
        <v>1032.29</v>
      </c>
      <c r="HI49" s="1">
        <v>1135.99</v>
      </c>
      <c r="HJ49" s="1">
        <v>1373.39</v>
      </c>
      <c r="HK49" s="1">
        <v>1114.0899999999999</v>
      </c>
      <c r="HL49" s="1">
        <v>928.3</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44.451000000000001</v>
      </c>
      <c r="ID49" s="1">
        <v>137.33000000000001</v>
      </c>
      <c r="IE49" s="1">
        <v>83.87</v>
      </c>
      <c r="IF49" s="1">
        <v>103.99</v>
      </c>
      <c r="IG49" s="1">
        <v>0</v>
      </c>
      <c r="IH49" s="1">
        <v>0</v>
      </c>
      <c r="II49" s="1">
        <v>0</v>
      </c>
      <c r="IJ49" s="1">
        <v>0</v>
      </c>
      <c r="IK49" s="1">
        <v>0</v>
      </c>
      <c r="IL49" s="1">
        <v>0</v>
      </c>
      <c r="IM49" s="1">
        <v>0</v>
      </c>
      <c r="IN49" s="1">
        <v>0</v>
      </c>
      <c r="IO49" s="1">
        <v>93.04</v>
      </c>
      <c r="IP49" s="1">
        <v>0</v>
      </c>
      <c r="IQ49" s="1">
        <v>43.769000000000013</v>
      </c>
      <c r="IR49" s="1">
        <v>56.95</v>
      </c>
      <c r="IS49" s="1">
        <v>93.04</v>
      </c>
      <c r="IT49" s="1">
        <v>0</v>
      </c>
      <c r="IU49" s="1">
        <v>43.769000000000013</v>
      </c>
      <c r="IV49" s="1">
        <v>56.95</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0</v>
      </c>
      <c r="JO49" s="1">
        <v>0</v>
      </c>
      <c r="JP49" s="1">
        <v>0</v>
      </c>
      <c r="JQ49" s="9"/>
      <c r="JR49" s="1">
        <f t="shared" si="16"/>
        <v>716.52681000000007</v>
      </c>
      <c r="JS49" s="1">
        <f t="shared" si="17"/>
        <v>792.99350999999785</v>
      </c>
      <c r="JT49" s="1">
        <f t="shared" si="18"/>
        <v>734.32953000000043</v>
      </c>
      <c r="JU49" s="1">
        <f t="shared" si="19"/>
        <v>1814.5701000000013</v>
      </c>
      <c r="JV49" s="1">
        <f t="shared" si="20"/>
        <v>132.69014999999999</v>
      </c>
      <c r="JW49" s="1">
        <f t="shared" si="21"/>
        <v>146.8506499999996</v>
      </c>
      <c r="JX49" s="1">
        <f t="shared" si="22"/>
        <v>135.98695000000006</v>
      </c>
      <c r="JY49" s="1">
        <f t="shared" si="23"/>
        <v>336.03150000000028</v>
      </c>
    </row>
    <row r="50" spans="1:285" x14ac:dyDescent="0.35">
      <c r="A50" s="2" t="s">
        <v>57</v>
      </c>
      <c r="B50" s="1">
        <v>158435</v>
      </c>
      <c r="C50" s="1">
        <v>161830</v>
      </c>
      <c r="D50" s="1">
        <v>164356</v>
      </c>
      <c r="E50" s="1">
        <v>167480</v>
      </c>
      <c r="F50" s="1">
        <v>64733.77</v>
      </c>
      <c r="G50" s="1">
        <v>63871.43</v>
      </c>
      <c r="H50" s="1">
        <v>56194.239999999998</v>
      </c>
      <c r="I50" s="1">
        <v>57073.23</v>
      </c>
      <c r="J50" s="1">
        <f t="shared" si="8"/>
        <v>44945.399999999994</v>
      </c>
      <c r="K50" s="1">
        <f t="shared" si="9"/>
        <v>47668.97</v>
      </c>
      <c r="L50" s="1">
        <f t="shared" si="10"/>
        <v>40605.270000000004</v>
      </c>
      <c r="M50" s="1">
        <f t="shared" si="11"/>
        <v>40710.880000000005</v>
      </c>
      <c r="N50" s="1">
        <f t="shared" si="12"/>
        <v>19788.370000000003</v>
      </c>
      <c r="O50" s="1">
        <f t="shared" si="13"/>
        <v>16202.46</v>
      </c>
      <c r="P50" s="1">
        <f t="shared" si="14"/>
        <v>15588.969999999994</v>
      </c>
      <c r="Q50" s="1">
        <f t="shared" si="15"/>
        <v>16362.349999999999</v>
      </c>
      <c r="R50" s="1">
        <v>0</v>
      </c>
      <c r="S50" s="1">
        <v>0</v>
      </c>
      <c r="T50" s="1">
        <v>4767.22</v>
      </c>
      <c r="U50" s="1">
        <v>5335.64</v>
      </c>
      <c r="V50" s="1">
        <v>0</v>
      </c>
      <c r="W50" s="1">
        <v>0</v>
      </c>
      <c r="X50" s="1">
        <v>0</v>
      </c>
      <c r="Y50" s="1">
        <v>0</v>
      </c>
      <c r="Z50" s="1">
        <v>0</v>
      </c>
      <c r="AA50" s="1">
        <v>0</v>
      </c>
      <c r="AB50" s="1">
        <v>0</v>
      </c>
      <c r="AC50" s="1">
        <v>0</v>
      </c>
      <c r="AD50" s="1">
        <v>4767.22</v>
      </c>
      <c r="AE50" s="1">
        <v>0</v>
      </c>
      <c r="AF50" s="1">
        <v>0</v>
      </c>
      <c r="AG50" s="1">
        <v>5335.64</v>
      </c>
      <c r="AH50" s="1">
        <v>0</v>
      </c>
      <c r="AI50" s="1">
        <v>0</v>
      </c>
      <c r="AJ50" s="1">
        <v>0</v>
      </c>
      <c r="AK50" s="1">
        <v>0</v>
      </c>
      <c r="AL50" s="1">
        <v>0</v>
      </c>
      <c r="AM50" s="1">
        <v>0</v>
      </c>
      <c r="AN50" s="1">
        <v>0</v>
      </c>
      <c r="AO50" s="1">
        <v>0</v>
      </c>
      <c r="AP50" s="1">
        <v>18450.64</v>
      </c>
      <c r="AQ50" s="1">
        <v>21399.67</v>
      </c>
      <c r="AR50" s="1">
        <v>12112.54</v>
      </c>
      <c r="AS50" s="1">
        <v>12887.880000000001</v>
      </c>
      <c r="AT50" s="1">
        <v>0</v>
      </c>
      <c r="AU50" s="1">
        <v>18450.64</v>
      </c>
      <c r="AV50" s="1">
        <v>0</v>
      </c>
      <c r="AW50" s="1">
        <v>0</v>
      </c>
      <c r="AX50" s="1">
        <v>21399.67</v>
      </c>
      <c r="AY50" s="1">
        <v>0</v>
      </c>
      <c r="AZ50" s="1">
        <v>0</v>
      </c>
      <c r="BA50" s="1">
        <v>0</v>
      </c>
      <c r="BB50" s="1">
        <v>12112.54</v>
      </c>
      <c r="BC50" s="1">
        <v>0</v>
      </c>
      <c r="BD50" s="1">
        <v>0</v>
      </c>
      <c r="BE50" s="1">
        <v>12887.880000000001</v>
      </c>
      <c r="BF50" s="1">
        <v>0</v>
      </c>
      <c r="BG50" s="1">
        <v>0</v>
      </c>
      <c r="BH50" s="1">
        <v>0</v>
      </c>
      <c r="BI50" s="1">
        <v>0</v>
      </c>
      <c r="BJ50" s="1">
        <v>0</v>
      </c>
      <c r="BK50" s="1">
        <v>0</v>
      </c>
      <c r="BL50" s="1">
        <v>0</v>
      </c>
      <c r="BM50" s="1">
        <v>0</v>
      </c>
      <c r="BN50" s="1">
        <v>0</v>
      </c>
      <c r="BO50" s="1">
        <v>0</v>
      </c>
      <c r="BP50" s="1">
        <v>0</v>
      </c>
      <c r="BQ50" s="1">
        <v>0</v>
      </c>
      <c r="BR50" s="1">
        <v>0</v>
      </c>
      <c r="BS50" s="1">
        <v>0</v>
      </c>
      <c r="BT50" s="1">
        <v>0</v>
      </c>
      <c r="BU50" s="1">
        <v>8987.0999999999985</v>
      </c>
      <c r="BV50" s="1">
        <v>8563.59</v>
      </c>
      <c r="BW50" s="1">
        <v>6694.8799999999992</v>
      </c>
      <c r="BX50" s="1">
        <v>6505.85</v>
      </c>
      <c r="BY50" s="1">
        <v>8987.0999999999985</v>
      </c>
      <c r="BZ50" s="1">
        <v>8563.59</v>
      </c>
      <c r="CA50" s="1">
        <v>6694.8799999999992</v>
      </c>
      <c r="CB50" s="1">
        <v>6505.85</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1574.31</v>
      </c>
      <c r="CT50" s="1">
        <v>1742.51</v>
      </c>
      <c r="CU50" s="1">
        <v>1552.44</v>
      </c>
      <c r="CV50" s="1">
        <v>1453.05</v>
      </c>
      <c r="CW50" s="1">
        <v>1574.31</v>
      </c>
      <c r="CX50" s="1">
        <v>1742.51</v>
      </c>
      <c r="CY50" s="1">
        <v>1552.44</v>
      </c>
      <c r="CZ50" s="1">
        <v>1453.05</v>
      </c>
      <c r="DA50" s="1">
        <v>0</v>
      </c>
      <c r="DB50" s="1">
        <v>0</v>
      </c>
      <c r="DC50" s="1">
        <v>0</v>
      </c>
      <c r="DD50" s="1">
        <v>0</v>
      </c>
      <c r="DE50" s="1">
        <v>0</v>
      </c>
      <c r="DF50" s="1">
        <v>0</v>
      </c>
      <c r="DG50" s="1">
        <v>0</v>
      </c>
      <c r="DH50" s="1">
        <v>0</v>
      </c>
      <c r="DI50" s="1">
        <v>0</v>
      </c>
      <c r="DJ50" s="1">
        <v>0</v>
      </c>
      <c r="DK50" s="1">
        <v>0</v>
      </c>
      <c r="DL50" s="1">
        <v>0</v>
      </c>
      <c r="DM50" s="1">
        <v>14892.54</v>
      </c>
      <c r="DN50" s="1">
        <v>14941.01</v>
      </c>
      <c r="DO50" s="1">
        <v>14422.78</v>
      </c>
      <c r="DP50" s="1">
        <v>13579.04</v>
      </c>
      <c r="DQ50" s="1">
        <v>14892.54</v>
      </c>
      <c r="DR50" s="1">
        <v>14941.01</v>
      </c>
      <c r="DS50" s="1">
        <v>14422.78</v>
      </c>
      <c r="DT50" s="1">
        <v>13579.04</v>
      </c>
      <c r="DU50" s="1">
        <v>0</v>
      </c>
      <c r="DV50" s="1">
        <v>0</v>
      </c>
      <c r="DW50" s="1">
        <v>0</v>
      </c>
      <c r="DX50" s="1">
        <v>0</v>
      </c>
      <c r="DY50" s="1">
        <v>0</v>
      </c>
      <c r="DZ50" s="1">
        <v>0</v>
      </c>
      <c r="EA50" s="1">
        <v>0</v>
      </c>
      <c r="EB50" s="1">
        <v>0</v>
      </c>
      <c r="EC50" s="1">
        <v>0</v>
      </c>
      <c r="ED50" s="1">
        <v>0</v>
      </c>
      <c r="EE50" s="1">
        <v>0</v>
      </c>
      <c r="EF50" s="1">
        <v>0</v>
      </c>
      <c r="EG50" s="1">
        <v>0</v>
      </c>
      <c r="EH50" s="1">
        <v>0</v>
      </c>
      <c r="EI50" s="1">
        <v>0</v>
      </c>
      <c r="EJ50" s="1">
        <v>0</v>
      </c>
      <c r="EK50" s="1">
        <v>718.18</v>
      </c>
      <c r="EL50" s="1">
        <v>695.46</v>
      </c>
      <c r="EM50" s="1">
        <v>708.95</v>
      </c>
      <c r="EN50" s="1">
        <v>570.51</v>
      </c>
      <c r="EO50" s="1">
        <v>718.18</v>
      </c>
      <c r="EP50" s="1">
        <v>695.46</v>
      </c>
      <c r="EQ50" s="1">
        <v>708.95</v>
      </c>
      <c r="ER50" s="1">
        <v>570.51</v>
      </c>
      <c r="ES50" s="1">
        <v>0</v>
      </c>
      <c r="ET50" s="1">
        <v>0</v>
      </c>
      <c r="EU50" s="1">
        <v>0</v>
      </c>
      <c r="EV50" s="1">
        <v>0</v>
      </c>
      <c r="EW50" s="1">
        <v>0</v>
      </c>
      <c r="EX50" s="1">
        <v>0</v>
      </c>
      <c r="EY50" s="1">
        <v>0</v>
      </c>
      <c r="EZ50" s="1">
        <v>0</v>
      </c>
      <c r="FA50" s="1">
        <v>0</v>
      </c>
      <c r="FB50" s="1">
        <v>0</v>
      </c>
      <c r="FC50" s="1">
        <v>0</v>
      </c>
      <c r="FD50" s="1">
        <v>0</v>
      </c>
      <c r="FE50" s="1">
        <v>273.54000000000002</v>
      </c>
      <c r="FF50" s="1">
        <v>279.73</v>
      </c>
      <c r="FG50" s="1">
        <v>299.48</v>
      </c>
      <c r="FH50" s="1">
        <v>316.45</v>
      </c>
      <c r="FI50" s="1">
        <v>273.54000000000002</v>
      </c>
      <c r="FJ50" s="1">
        <v>279.73</v>
      </c>
      <c r="FK50" s="1">
        <v>299.48</v>
      </c>
      <c r="FL50" s="1">
        <v>316.45</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49.09</v>
      </c>
      <c r="GD50" s="1">
        <v>47</v>
      </c>
      <c r="GE50" s="1">
        <v>46.98</v>
      </c>
      <c r="GF50" s="1">
        <v>62.46</v>
      </c>
      <c r="GG50" s="1">
        <v>49.09</v>
      </c>
      <c r="GH50" s="1">
        <v>47</v>
      </c>
      <c r="GI50" s="1">
        <v>46.98</v>
      </c>
      <c r="GJ50" s="1">
        <v>1840.08</v>
      </c>
      <c r="GK50" s="1">
        <v>0</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0</v>
      </c>
      <c r="JO50" s="1">
        <v>0</v>
      </c>
      <c r="JP50" s="1">
        <v>0</v>
      </c>
      <c r="JQ50" s="9"/>
      <c r="JR50" s="1">
        <f t="shared" si="16"/>
        <v>5342.8599000000013</v>
      </c>
      <c r="JS50" s="1">
        <f t="shared" si="17"/>
        <v>4374.6642000000002</v>
      </c>
      <c r="JT50" s="1">
        <f t="shared" si="18"/>
        <v>4209.0218999999988</v>
      </c>
      <c r="JU50" s="1">
        <f t="shared" si="19"/>
        <v>4417.8344999999999</v>
      </c>
      <c r="JV50" s="1">
        <f t="shared" si="20"/>
        <v>989.41850000000022</v>
      </c>
      <c r="JW50" s="1">
        <f t="shared" si="21"/>
        <v>810.12300000000005</v>
      </c>
      <c r="JX50" s="1">
        <f t="shared" si="22"/>
        <v>779.44849999999974</v>
      </c>
      <c r="JY50" s="1">
        <f t="shared" si="23"/>
        <v>818.11749999999995</v>
      </c>
    </row>
    <row r="51" spans="1:285" x14ac:dyDescent="0.35">
      <c r="A51" s="2" t="s">
        <v>58</v>
      </c>
      <c r="B51" s="1">
        <v>393203</v>
      </c>
      <c r="C51" s="1">
        <v>400474</v>
      </c>
      <c r="D51" s="1">
        <v>407083</v>
      </c>
      <c r="E51" s="1">
        <v>414836</v>
      </c>
      <c r="F51" s="1">
        <v>383981.62</v>
      </c>
      <c r="G51" s="1">
        <v>384343.59</v>
      </c>
      <c r="H51" s="1">
        <v>354164.83</v>
      </c>
      <c r="I51" s="1">
        <v>351404.78</v>
      </c>
      <c r="J51" s="1">
        <f t="shared" si="8"/>
        <v>142464.91</v>
      </c>
      <c r="K51" s="1">
        <f t="shared" si="9"/>
        <v>150345.89999999997</v>
      </c>
      <c r="L51" s="1">
        <f t="shared" si="10"/>
        <v>126330.17999999998</v>
      </c>
      <c r="M51" s="1">
        <f t="shared" si="11"/>
        <v>119387.15000000001</v>
      </c>
      <c r="N51" s="1">
        <f t="shared" si="12"/>
        <v>241516.71</v>
      </c>
      <c r="O51" s="1">
        <f t="shared" si="13"/>
        <v>233997.69000000006</v>
      </c>
      <c r="P51" s="1">
        <f t="shared" si="14"/>
        <v>227834.65000000002</v>
      </c>
      <c r="Q51" s="1">
        <f t="shared" si="15"/>
        <v>232017.63</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49815.91</v>
      </c>
      <c r="AQ51" s="1">
        <v>56949.119999999995</v>
      </c>
      <c r="AR51" s="1">
        <v>49798.569999999992</v>
      </c>
      <c r="AS51" s="1">
        <v>52879.490000000005</v>
      </c>
      <c r="AT51" s="1">
        <v>44630.47</v>
      </c>
      <c r="AU51" s="1">
        <v>5185.4400000000023</v>
      </c>
      <c r="AV51" s="1">
        <v>0</v>
      </c>
      <c r="AW51" s="1">
        <v>0</v>
      </c>
      <c r="AX51" s="1">
        <v>51571.54</v>
      </c>
      <c r="AY51" s="1">
        <v>5377.5799999999945</v>
      </c>
      <c r="AZ51" s="1">
        <v>0</v>
      </c>
      <c r="BA51" s="1">
        <v>0</v>
      </c>
      <c r="BB51" s="1">
        <v>45387.66</v>
      </c>
      <c r="BC51" s="1">
        <v>4410.9099999999889</v>
      </c>
      <c r="BD51" s="1">
        <v>0</v>
      </c>
      <c r="BE51" s="1">
        <v>47663.149999999994</v>
      </c>
      <c r="BF51" s="1">
        <v>5216.3400000000111</v>
      </c>
      <c r="BG51" s="1">
        <v>0</v>
      </c>
      <c r="BH51" s="1">
        <v>0</v>
      </c>
      <c r="BI51" s="1">
        <v>0</v>
      </c>
      <c r="BJ51" s="1">
        <v>0</v>
      </c>
      <c r="BK51" s="1">
        <v>0</v>
      </c>
      <c r="BL51" s="1">
        <v>0</v>
      </c>
      <c r="BM51" s="1">
        <v>0</v>
      </c>
      <c r="BN51" s="1">
        <v>0</v>
      </c>
      <c r="BO51" s="1">
        <v>0</v>
      </c>
      <c r="BP51" s="1">
        <v>0</v>
      </c>
      <c r="BQ51" s="1">
        <v>0</v>
      </c>
      <c r="BR51" s="1">
        <v>0</v>
      </c>
      <c r="BS51" s="1">
        <v>0</v>
      </c>
      <c r="BT51" s="1">
        <v>0</v>
      </c>
      <c r="BU51" s="1">
        <v>35332.129999999997</v>
      </c>
      <c r="BV51" s="1">
        <v>40108.089999999997</v>
      </c>
      <c r="BW51" s="1">
        <v>31149.95</v>
      </c>
      <c r="BX51" s="1">
        <v>23300.92</v>
      </c>
      <c r="BY51" s="1">
        <v>35332.129999999997</v>
      </c>
      <c r="BZ51" s="1">
        <v>40108.089999999997</v>
      </c>
      <c r="CA51" s="1">
        <v>31149.95</v>
      </c>
      <c r="CB51" s="1">
        <v>23300.92</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10373.08</v>
      </c>
      <c r="CT51" s="1">
        <v>8356.8100000000013</v>
      </c>
      <c r="CU51" s="1">
        <v>11144.03</v>
      </c>
      <c r="CV51" s="1">
        <v>10261.73</v>
      </c>
      <c r="CW51" s="1">
        <v>10373.08</v>
      </c>
      <c r="CX51" s="1">
        <v>8356.8100000000013</v>
      </c>
      <c r="CY51" s="1">
        <v>11144.03</v>
      </c>
      <c r="CZ51" s="1">
        <v>10261.73</v>
      </c>
      <c r="DA51" s="1">
        <v>0</v>
      </c>
      <c r="DB51" s="1">
        <v>0</v>
      </c>
      <c r="DC51" s="1">
        <v>0</v>
      </c>
      <c r="DD51" s="1">
        <v>0</v>
      </c>
      <c r="DE51" s="1">
        <v>0</v>
      </c>
      <c r="DF51" s="1">
        <v>0</v>
      </c>
      <c r="DG51" s="1">
        <v>0</v>
      </c>
      <c r="DH51" s="1">
        <v>0</v>
      </c>
      <c r="DI51" s="1">
        <v>0</v>
      </c>
      <c r="DJ51" s="1">
        <v>0</v>
      </c>
      <c r="DK51" s="1">
        <v>0</v>
      </c>
      <c r="DL51" s="1">
        <v>0</v>
      </c>
      <c r="DM51" s="1">
        <v>14324.57</v>
      </c>
      <c r="DN51" s="1">
        <v>10579.52</v>
      </c>
      <c r="DO51" s="1">
        <v>9329.41</v>
      </c>
      <c r="DP51" s="1">
        <v>11482.15</v>
      </c>
      <c r="DQ51" s="1">
        <v>14324.57</v>
      </c>
      <c r="DR51" s="1">
        <v>10579.52</v>
      </c>
      <c r="DS51" s="1">
        <v>9329.41</v>
      </c>
      <c r="DT51" s="1">
        <v>11482.15</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16508.48</v>
      </c>
      <c r="EL51" s="1">
        <v>15677.7</v>
      </c>
      <c r="EM51" s="1">
        <v>11306.67</v>
      </c>
      <c r="EN51" s="1">
        <v>7213.22</v>
      </c>
      <c r="EO51" s="1">
        <v>16508.48</v>
      </c>
      <c r="EP51" s="1">
        <v>15677.7</v>
      </c>
      <c r="EQ51" s="1">
        <v>11306.67</v>
      </c>
      <c r="ER51" s="1">
        <v>7213.22</v>
      </c>
      <c r="ES51" s="1">
        <v>0</v>
      </c>
      <c r="ET51" s="1">
        <v>0</v>
      </c>
      <c r="EU51" s="1">
        <v>0</v>
      </c>
      <c r="EV51" s="1">
        <v>0</v>
      </c>
      <c r="EW51" s="1">
        <v>0</v>
      </c>
      <c r="EX51" s="1">
        <v>0</v>
      </c>
      <c r="EY51" s="1">
        <v>0</v>
      </c>
      <c r="EZ51" s="1">
        <v>0</v>
      </c>
      <c r="FA51" s="1">
        <v>0</v>
      </c>
      <c r="FB51" s="1">
        <v>0</v>
      </c>
      <c r="FC51" s="1">
        <v>0</v>
      </c>
      <c r="FD51" s="1">
        <v>0</v>
      </c>
      <c r="FE51" s="1">
        <v>721.65</v>
      </c>
      <c r="FF51" s="1">
        <v>723.3</v>
      </c>
      <c r="FG51" s="1">
        <v>788.79</v>
      </c>
      <c r="FH51" s="1">
        <v>659.99</v>
      </c>
      <c r="FI51" s="1">
        <v>721.65</v>
      </c>
      <c r="FJ51" s="1">
        <v>723.3</v>
      </c>
      <c r="FK51" s="1">
        <v>788.79</v>
      </c>
      <c r="FL51" s="1">
        <v>356.42</v>
      </c>
      <c r="FM51" s="1">
        <v>0</v>
      </c>
      <c r="FN51" s="1">
        <v>0</v>
      </c>
      <c r="FO51" s="1">
        <v>0</v>
      </c>
      <c r="FP51" s="1">
        <v>303.57</v>
      </c>
      <c r="FQ51" s="1">
        <v>0</v>
      </c>
      <c r="FR51" s="1">
        <v>0</v>
      </c>
      <c r="FS51" s="1">
        <v>0</v>
      </c>
      <c r="FT51" s="1">
        <v>0</v>
      </c>
      <c r="FU51" s="1">
        <v>0</v>
      </c>
      <c r="FV51" s="1">
        <v>0</v>
      </c>
      <c r="FW51" s="1">
        <v>0</v>
      </c>
      <c r="FX51" s="1">
        <v>0</v>
      </c>
      <c r="FY51" s="1">
        <v>0</v>
      </c>
      <c r="FZ51" s="1">
        <v>0</v>
      </c>
      <c r="GA51" s="1">
        <v>0</v>
      </c>
      <c r="GB51" s="1">
        <v>0</v>
      </c>
      <c r="GC51" s="1">
        <v>3090.63</v>
      </c>
      <c r="GD51" s="1">
        <v>3034.24</v>
      </c>
      <c r="GE51" s="1">
        <v>2539.81</v>
      </c>
      <c r="GF51" s="1">
        <v>2726.19</v>
      </c>
      <c r="GG51" s="1">
        <v>3090.63</v>
      </c>
      <c r="GH51" s="1">
        <v>3034.24</v>
      </c>
      <c r="GI51" s="1">
        <v>2539.81</v>
      </c>
      <c r="GJ51" s="1">
        <v>62.46</v>
      </c>
      <c r="GK51" s="1">
        <v>0</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11882.9</v>
      </c>
      <c r="HF51" s="1">
        <v>14147.18</v>
      </c>
      <c r="HG51" s="1">
        <v>9455.48</v>
      </c>
      <c r="HH51" s="1">
        <v>9981.4699999999993</v>
      </c>
      <c r="HI51" s="1">
        <v>11882.9</v>
      </c>
      <c r="HJ51" s="1">
        <v>14147.18</v>
      </c>
      <c r="HK51" s="1">
        <v>6106.8799999999992</v>
      </c>
      <c r="HL51" s="1">
        <v>6455.87</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3348.6</v>
      </c>
      <c r="IF51" s="1">
        <v>3525.6</v>
      </c>
      <c r="IG51" s="1">
        <v>0</v>
      </c>
      <c r="IH51" s="1">
        <v>0</v>
      </c>
      <c r="II51" s="1">
        <v>0</v>
      </c>
      <c r="IJ51" s="1">
        <v>0</v>
      </c>
      <c r="IK51" s="1">
        <v>0</v>
      </c>
      <c r="IL51" s="1">
        <v>0</v>
      </c>
      <c r="IM51" s="1">
        <v>0</v>
      </c>
      <c r="IN51" s="1">
        <v>0</v>
      </c>
      <c r="IO51" s="1">
        <v>415.56</v>
      </c>
      <c r="IP51" s="1">
        <v>769.94</v>
      </c>
      <c r="IQ51" s="1">
        <v>817.47</v>
      </c>
      <c r="IR51" s="1">
        <v>881.99</v>
      </c>
      <c r="IS51" s="1">
        <v>0</v>
      </c>
      <c r="IT51" s="1">
        <v>0</v>
      </c>
      <c r="IU51" s="1">
        <v>0</v>
      </c>
      <c r="IV51" s="1">
        <v>0</v>
      </c>
      <c r="IW51" s="1">
        <v>415.56</v>
      </c>
      <c r="IX51" s="1">
        <v>769.94</v>
      </c>
      <c r="IY51" s="1">
        <v>817.47</v>
      </c>
      <c r="IZ51" s="1">
        <v>881.99</v>
      </c>
      <c r="JA51" s="1">
        <v>0</v>
      </c>
      <c r="JB51" s="1">
        <v>0</v>
      </c>
      <c r="JC51" s="1">
        <v>0</v>
      </c>
      <c r="JD51" s="1">
        <v>0</v>
      </c>
      <c r="JE51" s="1">
        <v>0</v>
      </c>
      <c r="JF51" s="1">
        <v>0</v>
      </c>
      <c r="JG51" s="1">
        <v>0</v>
      </c>
      <c r="JH51" s="1">
        <v>0</v>
      </c>
      <c r="JI51" s="1">
        <v>0</v>
      </c>
      <c r="JJ51" s="1">
        <v>0</v>
      </c>
      <c r="JK51" s="1">
        <v>0</v>
      </c>
      <c r="JL51" s="1">
        <v>0</v>
      </c>
      <c r="JM51" s="1">
        <v>0</v>
      </c>
      <c r="JN51" s="1">
        <v>0</v>
      </c>
      <c r="JO51" s="1">
        <v>0</v>
      </c>
      <c r="JP51" s="1">
        <v>0</v>
      </c>
      <c r="JQ51" s="9"/>
      <c r="JR51" s="1">
        <f t="shared" si="16"/>
        <v>65209.511700000003</v>
      </c>
      <c r="JS51" s="1">
        <f t="shared" si="17"/>
        <v>63179.376300000018</v>
      </c>
      <c r="JT51" s="1">
        <f t="shared" si="18"/>
        <v>61515.355500000012</v>
      </c>
      <c r="JU51" s="1">
        <f t="shared" si="19"/>
        <v>62644.760100000007</v>
      </c>
      <c r="JV51" s="1">
        <f t="shared" si="20"/>
        <v>12075.835500000001</v>
      </c>
      <c r="JW51" s="1">
        <f t="shared" si="21"/>
        <v>11699.884500000004</v>
      </c>
      <c r="JX51" s="1">
        <f t="shared" si="22"/>
        <v>11391.732500000002</v>
      </c>
      <c r="JY51" s="1">
        <f t="shared" si="23"/>
        <v>11600.881500000001</v>
      </c>
    </row>
    <row r="52" spans="1:285" x14ac:dyDescent="0.35">
      <c r="A52" s="2" t="s">
        <v>59</v>
      </c>
      <c r="B52" s="1">
        <v>354738</v>
      </c>
      <c r="C52" s="1">
        <v>357730</v>
      </c>
      <c r="D52" s="1">
        <v>362076</v>
      </c>
      <c r="E52" s="1">
        <v>366665</v>
      </c>
      <c r="F52" s="1">
        <v>375969.761</v>
      </c>
      <c r="G52" s="1">
        <v>401097.76</v>
      </c>
      <c r="H52" s="1">
        <v>378739.69900000002</v>
      </c>
      <c r="I52" s="1">
        <v>370320.54300000001</v>
      </c>
      <c r="J52" s="1">
        <f t="shared" si="8"/>
        <v>131195.08199999999</v>
      </c>
      <c r="K52" s="1">
        <f t="shared" si="9"/>
        <v>134125.924</v>
      </c>
      <c r="L52" s="1">
        <f t="shared" si="10"/>
        <v>120492.15499999998</v>
      </c>
      <c r="M52" s="1">
        <f t="shared" si="11"/>
        <v>121344.09299999998</v>
      </c>
      <c r="N52" s="1">
        <f t="shared" si="12"/>
        <v>244774.679</v>
      </c>
      <c r="O52" s="1">
        <f t="shared" si="13"/>
        <v>266971.83600000001</v>
      </c>
      <c r="P52" s="1">
        <f t="shared" si="14"/>
        <v>258247.54400000005</v>
      </c>
      <c r="Q52" s="1">
        <f t="shared" si="15"/>
        <v>248976.45</v>
      </c>
      <c r="R52" s="1">
        <v>10939.77</v>
      </c>
      <c r="S52" s="1">
        <v>10798.87</v>
      </c>
      <c r="T52" s="1">
        <v>9815.3940000000002</v>
      </c>
      <c r="U52" s="1">
        <v>9182.84</v>
      </c>
      <c r="V52" s="1">
        <v>0</v>
      </c>
      <c r="W52" s="1">
        <v>0</v>
      </c>
      <c r="X52" s="1">
        <v>10939.77</v>
      </c>
      <c r="Y52" s="1">
        <v>0</v>
      </c>
      <c r="Z52" s="1">
        <v>0</v>
      </c>
      <c r="AA52" s="1">
        <v>10798.87</v>
      </c>
      <c r="AB52" s="1">
        <v>0</v>
      </c>
      <c r="AC52" s="1">
        <v>0</v>
      </c>
      <c r="AD52" s="1">
        <v>9815.3940000000002</v>
      </c>
      <c r="AE52" s="1">
        <v>0</v>
      </c>
      <c r="AF52" s="1">
        <v>0</v>
      </c>
      <c r="AG52" s="1">
        <v>9182.84</v>
      </c>
      <c r="AH52" s="1">
        <v>0</v>
      </c>
      <c r="AI52" s="1">
        <v>0</v>
      </c>
      <c r="AJ52" s="1">
        <v>0</v>
      </c>
      <c r="AK52" s="1">
        <v>0</v>
      </c>
      <c r="AL52" s="1">
        <v>0</v>
      </c>
      <c r="AM52" s="1">
        <v>0</v>
      </c>
      <c r="AN52" s="1">
        <v>0</v>
      </c>
      <c r="AO52" s="1">
        <v>0</v>
      </c>
      <c r="AP52" s="1">
        <v>36240.799999999996</v>
      </c>
      <c r="AQ52" s="1">
        <v>38469.64</v>
      </c>
      <c r="AR52" s="1">
        <v>29083.239999999994</v>
      </c>
      <c r="AS52" s="1">
        <v>34113.699999999997</v>
      </c>
      <c r="AT52" s="1">
        <v>0</v>
      </c>
      <c r="AU52" s="1">
        <v>36240.799999999996</v>
      </c>
      <c r="AV52" s="1">
        <v>0</v>
      </c>
      <c r="AW52" s="1">
        <v>0</v>
      </c>
      <c r="AX52" s="1">
        <v>0</v>
      </c>
      <c r="AY52" s="1">
        <v>38469.64</v>
      </c>
      <c r="AZ52" s="1">
        <v>0</v>
      </c>
      <c r="BA52" s="1">
        <v>0</v>
      </c>
      <c r="BB52" s="1">
        <v>0</v>
      </c>
      <c r="BC52" s="1">
        <v>29083.239999999994</v>
      </c>
      <c r="BD52" s="1">
        <v>0</v>
      </c>
      <c r="BE52" s="1">
        <v>0</v>
      </c>
      <c r="BF52" s="1">
        <v>34113.699999999997</v>
      </c>
      <c r="BG52" s="1">
        <v>0</v>
      </c>
      <c r="BH52" s="1">
        <v>0</v>
      </c>
      <c r="BI52" s="1">
        <v>0</v>
      </c>
      <c r="BJ52" s="1">
        <v>0</v>
      </c>
      <c r="BK52" s="1">
        <v>0</v>
      </c>
      <c r="BL52" s="1">
        <v>0</v>
      </c>
      <c r="BM52" s="1">
        <v>0</v>
      </c>
      <c r="BN52" s="1">
        <v>0</v>
      </c>
      <c r="BO52" s="1">
        <v>0</v>
      </c>
      <c r="BP52" s="1">
        <v>0</v>
      </c>
      <c r="BQ52" s="1">
        <v>0</v>
      </c>
      <c r="BR52" s="1">
        <v>0</v>
      </c>
      <c r="BS52" s="1">
        <v>0</v>
      </c>
      <c r="BT52" s="1">
        <v>0</v>
      </c>
      <c r="BU52" s="1">
        <v>24377.576000000001</v>
      </c>
      <c r="BV52" s="1">
        <v>26503.121999999999</v>
      </c>
      <c r="BW52" s="1">
        <v>24956.062999999998</v>
      </c>
      <c r="BX52" s="1">
        <v>22903.552</v>
      </c>
      <c r="BY52" s="1">
        <v>24377.576000000001</v>
      </c>
      <c r="BZ52" s="1">
        <v>26503.121999999999</v>
      </c>
      <c r="CA52" s="1">
        <v>24956.062999999998</v>
      </c>
      <c r="CB52" s="1">
        <v>22903.552</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8229.7139999999999</v>
      </c>
      <c r="CT52" s="1">
        <v>15415.575000000001</v>
      </c>
      <c r="CU52" s="1">
        <v>9668.6049999999996</v>
      </c>
      <c r="CV52" s="1">
        <v>7546.4160000000011</v>
      </c>
      <c r="CW52" s="1">
        <v>8229.7139999999999</v>
      </c>
      <c r="CX52" s="1">
        <v>15415.575000000001</v>
      </c>
      <c r="CY52" s="1">
        <v>9668.6049999999996</v>
      </c>
      <c r="CZ52" s="1">
        <v>7546.4160000000011</v>
      </c>
      <c r="DA52" s="1">
        <v>0</v>
      </c>
      <c r="DB52" s="1">
        <v>0</v>
      </c>
      <c r="DC52" s="1">
        <v>0</v>
      </c>
      <c r="DD52" s="1">
        <v>0</v>
      </c>
      <c r="DE52" s="1">
        <v>0</v>
      </c>
      <c r="DF52" s="1">
        <v>0</v>
      </c>
      <c r="DG52" s="1">
        <v>0</v>
      </c>
      <c r="DH52" s="1">
        <v>0</v>
      </c>
      <c r="DI52" s="1">
        <v>0</v>
      </c>
      <c r="DJ52" s="1">
        <v>0</v>
      </c>
      <c r="DK52" s="1">
        <v>0</v>
      </c>
      <c r="DL52" s="1">
        <v>0</v>
      </c>
      <c r="DM52" s="1">
        <v>16473.77</v>
      </c>
      <c r="DN52" s="1">
        <v>12887.24</v>
      </c>
      <c r="DO52" s="1">
        <v>11458.633</v>
      </c>
      <c r="DP52" s="1">
        <v>12022.571</v>
      </c>
      <c r="DQ52" s="1">
        <v>16473.77</v>
      </c>
      <c r="DR52" s="1">
        <v>12887.24</v>
      </c>
      <c r="DS52" s="1">
        <v>11458.633</v>
      </c>
      <c r="DT52" s="1">
        <v>12022.571</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19625.143</v>
      </c>
      <c r="EL52" s="1">
        <v>14880.787</v>
      </c>
      <c r="EM52" s="1">
        <v>18149.337</v>
      </c>
      <c r="EN52" s="1">
        <v>15590.177</v>
      </c>
      <c r="EO52" s="1">
        <v>19625.143</v>
      </c>
      <c r="EP52" s="1">
        <v>14880.787</v>
      </c>
      <c r="EQ52" s="1">
        <v>18149.337</v>
      </c>
      <c r="ER52" s="1">
        <v>15590.177</v>
      </c>
      <c r="ES52" s="1">
        <v>0</v>
      </c>
      <c r="ET52" s="1">
        <v>0</v>
      </c>
      <c r="EU52" s="1">
        <v>0</v>
      </c>
      <c r="EV52" s="1">
        <v>0</v>
      </c>
      <c r="EW52" s="1">
        <v>0</v>
      </c>
      <c r="EX52" s="1">
        <v>0</v>
      </c>
      <c r="EY52" s="1">
        <v>0</v>
      </c>
      <c r="EZ52" s="1">
        <v>0</v>
      </c>
      <c r="FA52" s="1">
        <v>0</v>
      </c>
      <c r="FB52" s="1">
        <v>0</v>
      </c>
      <c r="FC52" s="1">
        <v>0</v>
      </c>
      <c r="FD52" s="1">
        <v>0</v>
      </c>
      <c r="FE52" s="1">
        <v>507.28399999999988</v>
      </c>
      <c r="FF52" s="1">
        <v>475.18700000000001</v>
      </c>
      <c r="FG52" s="1">
        <v>570.24600000000009</v>
      </c>
      <c r="FH52" s="1">
        <v>576.01</v>
      </c>
      <c r="FI52" s="1">
        <v>507.28399999999988</v>
      </c>
      <c r="FJ52" s="1">
        <v>248.79499999999999</v>
      </c>
      <c r="FK52" s="1">
        <v>255.08600000000001</v>
      </c>
      <c r="FL52" s="1">
        <v>251.98</v>
      </c>
      <c r="FM52" s="1">
        <v>0</v>
      </c>
      <c r="FN52" s="1">
        <v>226.392</v>
      </c>
      <c r="FO52" s="1">
        <v>315.16000000000003</v>
      </c>
      <c r="FP52" s="1">
        <v>324.02999999999997</v>
      </c>
      <c r="FQ52" s="1">
        <v>0</v>
      </c>
      <c r="FR52" s="1">
        <v>0</v>
      </c>
      <c r="FS52" s="1">
        <v>0</v>
      </c>
      <c r="FT52" s="1">
        <v>0</v>
      </c>
      <c r="FU52" s="1">
        <v>0</v>
      </c>
      <c r="FV52" s="1">
        <v>0</v>
      </c>
      <c r="FW52" s="1">
        <v>0</v>
      </c>
      <c r="FX52" s="1">
        <v>0</v>
      </c>
      <c r="FY52" s="1">
        <v>0</v>
      </c>
      <c r="FZ52" s="1">
        <v>0</v>
      </c>
      <c r="GA52" s="1">
        <v>0</v>
      </c>
      <c r="GB52" s="1">
        <v>0</v>
      </c>
      <c r="GC52" s="1">
        <v>8101.0409999999993</v>
      </c>
      <c r="GD52" s="1">
        <v>8395.246000000001</v>
      </c>
      <c r="GE52" s="1">
        <v>8781.4030000000002</v>
      </c>
      <c r="GF52" s="1">
        <v>8220.0999999999985</v>
      </c>
      <c r="GG52" s="1">
        <v>8093.8649999999998</v>
      </c>
      <c r="GH52" s="1">
        <v>8395.246000000001</v>
      </c>
      <c r="GI52" s="1">
        <v>8781.4030000000002</v>
      </c>
      <c r="GJ52" s="1">
        <v>2726.19</v>
      </c>
      <c r="GK52" s="1">
        <v>7.1759999999999993</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2877.71</v>
      </c>
      <c r="HF52" s="1">
        <v>3213.99</v>
      </c>
      <c r="HG52" s="1">
        <v>3995.05</v>
      </c>
      <c r="HH52" s="1">
        <v>7883</v>
      </c>
      <c r="HI52" s="1">
        <v>2877.71</v>
      </c>
      <c r="HJ52" s="1">
        <v>3213.99</v>
      </c>
      <c r="HK52" s="1">
        <v>3995.05</v>
      </c>
      <c r="HL52" s="1">
        <v>7883</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3822.2739999999999</v>
      </c>
      <c r="IP52" s="1">
        <v>3086.2669999999998</v>
      </c>
      <c r="IQ52" s="1">
        <v>4014.1840000000002</v>
      </c>
      <c r="IR52" s="1">
        <v>3305.7269999999999</v>
      </c>
      <c r="IS52" s="1">
        <v>3687.9380000000001</v>
      </c>
      <c r="IT52" s="1">
        <v>2946.1120000000001</v>
      </c>
      <c r="IU52" s="1">
        <v>3850.364</v>
      </c>
      <c r="IV52" s="1">
        <v>2819.029</v>
      </c>
      <c r="IW52" s="1">
        <v>134.33600000000001</v>
      </c>
      <c r="IX52" s="1">
        <v>140.155</v>
      </c>
      <c r="IY52" s="1">
        <v>163.82</v>
      </c>
      <c r="IZ52" s="1">
        <v>486.69799999999998</v>
      </c>
      <c r="JA52" s="1">
        <v>0</v>
      </c>
      <c r="JB52" s="1">
        <v>0</v>
      </c>
      <c r="JC52" s="1">
        <v>0</v>
      </c>
      <c r="JD52" s="1">
        <v>0</v>
      </c>
      <c r="JE52" s="1">
        <v>0</v>
      </c>
      <c r="JF52" s="1">
        <v>0</v>
      </c>
      <c r="JG52" s="1">
        <v>0</v>
      </c>
      <c r="JH52" s="1">
        <v>0</v>
      </c>
      <c r="JI52" s="1">
        <v>0</v>
      </c>
      <c r="JJ52" s="1">
        <v>0</v>
      </c>
      <c r="JK52" s="1">
        <v>0</v>
      </c>
      <c r="JL52" s="1">
        <v>0</v>
      </c>
      <c r="JM52" s="1">
        <v>0</v>
      </c>
      <c r="JN52" s="1">
        <v>0</v>
      </c>
      <c r="JO52" s="1">
        <v>0</v>
      </c>
      <c r="JP52" s="1">
        <v>0</v>
      </c>
      <c r="JQ52" s="9"/>
      <c r="JR52" s="1">
        <f t="shared" si="16"/>
        <v>66089.16333000001</v>
      </c>
      <c r="JS52" s="1">
        <f t="shared" si="17"/>
        <v>72082.39572</v>
      </c>
      <c r="JT52" s="1">
        <f t="shared" si="18"/>
        <v>69726.836880000017</v>
      </c>
      <c r="JU52" s="1">
        <f t="shared" si="19"/>
        <v>67223.641500000012</v>
      </c>
      <c r="JV52" s="1">
        <f t="shared" si="20"/>
        <v>12238.733950000002</v>
      </c>
      <c r="JW52" s="1">
        <f t="shared" si="21"/>
        <v>13348.591800000002</v>
      </c>
      <c r="JX52" s="1">
        <f t="shared" si="22"/>
        <v>12912.377200000003</v>
      </c>
      <c r="JY52" s="1">
        <f t="shared" si="23"/>
        <v>12448.822500000002</v>
      </c>
    </row>
    <row r="53" spans="1:285" x14ac:dyDescent="0.35">
      <c r="A53" s="2" t="s">
        <v>60</v>
      </c>
      <c r="B53" s="1">
        <v>103761</v>
      </c>
      <c r="C53" s="1">
        <v>103673</v>
      </c>
      <c r="D53" s="1">
        <v>104175</v>
      </c>
      <c r="E53" s="1">
        <v>105325</v>
      </c>
      <c r="F53" s="1">
        <v>27790.48</v>
      </c>
      <c r="G53" s="1">
        <v>30651.9</v>
      </c>
      <c r="H53" s="1">
        <v>31782.246999999999</v>
      </c>
      <c r="I53" s="1">
        <v>31837.749</v>
      </c>
      <c r="J53" s="1">
        <f t="shared" si="8"/>
        <v>16946.774000000001</v>
      </c>
      <c r="K53" s="1">
        <f t="shared" si="9"/>
        <v>18554.120000000006</v>
      </c>
      <c r="L53" s="1">
        <f t="shared" si="10"/>
        <v>17051.496000000006</v>
      </c>
      <c r="M53" s="1">
        <f t="shared" si="11"/>
        <v>17450.249</v>
      </c>
      <c r="N53" s="1">
        <f t="shared" si="12"/>
        <v>10843.705999999998</v>
      </c>
      <c r="O53" s="1">
        <f t="shared" si="13"/>
        <v>12097.779999999995</v>
      </c>
      <c r="P53" s="1">
        <f t="shared" si="14"/>
        <v>14730.750999999993</v>
      </c>
      <c r="Q53" s="1">
        <f t="shared" si="15"/>
        <v>14387.5</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9202.7999999999993</v>
      </c>
      <c r="AQ53" s="1">
        <v>10050.820000000002</v>
      </c>
      <c r="AR53" s="1">
        <v>8824.5400000000009</v>
      </c>
      <c r="AS53" s="1">
        <v>9461.66</v>
      </c>
      <c r="AT53" s="1">
        <v>9039.42</v>
      </c>
      <c r="AU53" s="1">
        <v>163.3799999999992</v>
      </c>
      <c r="AV53" s="1">
        <v>0</v>
      </c>
      <c r="AW53" s="1">
        <v>0</v>
      </c>
      <c r="AX53" s="1">
        <v>9878.74</v>
      </c>
      <c r="AY53" s="1">
        <v>172.08000000000175</v>
      </c>
      <c r="AZ53" s="1">
        <v>0</v>
      </c>
      <c r="BA53" s="1">
        <v>0</v>
      </c>
      <c r="BB53" s="1">
        <v>8678.18</v>
      </c>
      <c r="BC53" s="1">
        <v>146.36000000000058</v>
      </c>
      <c r="BD53" s="1">
        <v>0</v>
      </c>
      <c r="BE53" s="1">
        <v>9461.66</v>
      </c>
      <c r="BF53" s="1">
        <v>0</v>
      </c>
      <c r="BG53" s="1">
        <v>0</v>
      </c>
      <c r="BH53" s="1">
        <v>0</v>
      </c>
      <c r="BI53" s="1">
        <v>0</v>
      </c>
      <c r="BJ53" s="1">
        <v>0</v>
      </c>
      <c r="BK53" s="1">
        <v>0</v>
      </c>
      <c r="BL53" s="1">
        <v>0</v>
      </c>
      <c r="BM53" s="1">
        <v>0</v>
      </c>
      <c r="BN53" s="1">
        <v>0</v>
      </c>
      <c r="BO53" s="1">
        <v>0</v>
      </c>
      <c r="BP53" s="1">
        <v>0</v>
      </c>
      <c r="BQ53" s="1">
        <v>0</v>
      </c>
      <c r="BR53" s="1">
        <v>0</v>
      </c>
      <c r="BS53" s="1">
        <v>0</v>
      </c>
      <c r="BT53" s="1">
        <v>0</v>
      </c>
      <c r="BU53" s="1">
        <v>3694.5230000000001</v>
      </c>
      <c r="BV53" s="1">
        <v>4690.6260000000002</v>
      </c>
      <c r="BW53" s="1">
        <v>3876.9319999999998</v>
      </c>
      <c r="BX53" s="1">
        <v>3746.7890000000002</v>
      </c>
      <c r="BY53" s="1">
        <v>3694.5230000000001</v>
      </c>
      <c r="BZ53" s="1">
        <v>4690.6260000000002</v>
      </c>
      <c r="CA53" s="1">
        <v>3876.9319999999998</v>
      </c>
      <c r="CB53" s="1">
        <v>3746.7890000000002</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717.31200000000001</v>
      </c>
      <c r="CT53" s="1">
        <v>1093.0119999999999</v>
      </c>
      <c r="CU53" s="1">
        <v>1176.008</v>
      </c>
      <c r="CV53" s="1">
        <v>1131.4559999999999</v>
      </c>
      <c r="CW53" s="1">
        <v>717.31200000000001</v>
      </c>
      <c r="CX53" s="1">
        <v>1093.0119999999999</v>
      </c>
      <c r="CY53" s="1">
        <v>1176.008</v>
      </c>
      <c r="CZ53" s="1">
        <v>1131.4559999999999</v>
      </c>
      <c r="DA53" s="1">
        <v>0</v>
      </c>
      <c r="DB53" s="1">
        <v>0</v>
      </c>
      <c r="DC53" s="1">
        <v>0</v>
      </c>
      <c r="DD53" s="1">
        <v>0</v>
      </c>
      <c r="DE53" s="1">
        <v>0</v>
      </c>
      <c r="DF53" s="1">
        <v>0</v>
      </c>
      <c r="DG53" s="1">
        <v>0</v>
      </c>
      <c r="DH53" s="1">
        <v>0</v>
      </c>
      <c r="DI53" s="1">
        <v>0</v>
      </c>
      <c r="DJ53" s="1">
        <v>0</v>
      </c>
      <c r="DK53" s="1">
        <v>0</v>
      </c>
      <c r="DL53" s="1">
        <v>0</v>
      </c>
      <c r="DM53" s="1">
        <v>2765.3240000000001</v>
      </c>
      <c r="DN53" s="1">
        <v>2078.56</v>
      </c>
      <c r="DO53" s="1">
        <v>1938.78</v>
      </c>
      <c r="DP53" s="1">
        <v>1771.23</v>
      </c>
      <c r="DQ53" s="1">
        <v>2765.3240000000001</v>
      </c>
      <c r="DR53" s="1">
        <v>2078.56</v>
      </c>
      <c r="DS53" s="1">
        <v>1938.78</v>
      </c>
      <c r="DT53" s="1">
        <v>1771.23</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375.85300000000001</v>
      </c>
      <c r="EL53" s="1">
        <v>421.18099999999998</v>
      </c>
      <c r="EM53" s="1">
        <v>757.19900000000007</v>
      </c>
      <c r="EN53" s="1">
        <v>418.79700000000003</v>
      </c>
      <c r="EO53" s="1">
        <v>375.85300000000001</v>
      </c>
      <c r="EP53" s="1">
        <v>421.18099999999998</v>
      </c>
      <c r="EQ53" s="1">
        <v>757.19900000000007</v>
      </c>
      <c r="ER53" s="1">
        <v>418.79700000000003</v>
      </c>
      <c r="ES53" s="1">
        <v>0</v>
      </c>
      <c r="ET53" s="1">
        <v>0</v>
      </c>
      <c r="EU53" s="1">
        <v>0</v>
      </c>
      <c r="EV53" s="1">
        <v>0</v>
      </c>
      <c r="EW53" s="1">
        <v>0</v>
      </c>
      <c r="EX53" s="1">
        <v>0</v>
      </c>
      <c r="EY53" s="1">
        <v>0</v>
      </c>
      <c r="EZ53" s="1">
        <v>0</v>
      </c>
      <c r="FA53" s="1">
        <v>0</v>
      </c>
      <c r="FB53" s="1">
        <v>0</v>
      </c>
      <c r="FC53" s="1">
        <v>0</v>
      </c>
      <c r="FD53" s="1">
        <v>0</v>
      </c>
      <c r="FE53" s="1">
        <v>123.44199999999999</v>
      </c>
      <c r="FF53" s="1">
        <v>120.717</v>
      </c>
      <c r="FG53" s="1">
        <v>103.99</v>
      </c>
      <c r="FH53" s="1">
        <v>99.029000000000011</v>
      </c>
      <c r="FI53" s="1">
        <v>17.233000000000001</v>
      </c>
      <c r="FJ53" s="1">
        <v>16.791</v>
      </c>
      <c r="FK53" s="1">
        <v>14.425000000000001</v>
      </c>
      <c r="FL53" s="1">
        <v>13.846</v>
      </c>
      <c r="FM53" s="1">
        <v>106.209</v>
      </c>
      <c r="FN53" s="1">
        <v>103.926</v>
      </c>
      <c r="FO53" s="1">
        <v>89.564999999999998</v>
      </c>
      <c r="FP53" s="1">
        <v>85.182999999999993</v>
      </c>
      <c r="FQ53" s="1">
        <v>0</v>
      </c>
      <c r="FR53" s="1">
        <v>0</v>
      </c>
      <c r="FS53" s="1">
        <v>0</v>
      </c>
      <c r="FT53" s="1">
        <v>0</v>
      </c>
      <c r="FU53" s="1">
        <v>0</v>
      </c>
      <c r="FV53" s="1">
        <v>0</v>
      </c>
      <c r="FW53" s="1">
        <v>0</v>
      </c>
      <c r="FX53" s="1">
        <v>0</v>
      </c>
      <c r="FY53" s="1">
        <v>0</v>
      </c>
      <c r="FZ53" s="1">
        <v>0</v>
      </c>
      <c r="GA53" s="1">
        <v>0</v>
      </c>
      <c r="GB53" s="1">
        <v>0</v>
      </c>
      <c r="GC53" s="1">
        <v>67.52</v>
      </c>
      <c r="GD53" s="1">
        <v>63.026000000000003</v>
      </c>
      <c r="GE53" s="1">
        <v>61.2</v>
      </c>
      <c r="GF53" s="1">
        <v>73.78</v>
      </c>
      <c r="GG53" s="1">
        <v>67.52</v>
      </c>
      <c r="GH53" s="1">
        <v>63.026000000000003</v>
      </c>
      <c r="GI53" s="1">
        <v>61.2</v>
      </c>
      <c r="GJ53" s="1">
        <v>8220.0999999999985</v>
      </c>
      <c r="GK53" s="1">
        <v>0</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36.177999999999997</v>
      </c>
      <c r="IQ53" s="1">
        <v>312.84699999999998</v>
      </c>
      <c r="IR53" s="1">
        <v>747.50800000000004</v>
      </c>
      <c r="IS53" s="1">
        <v>0</v>
      </c>
      <c r="IT53" s="1">
        <v>36.177999999999997</v>
      </c>
      <c r="IU53" s="1">
        <v>312.84699999999998</v>
      </c>
      <c r="IV53" s="1">
        <v>747.50800000000004</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0</v>
      </c>
      <c r="JO53" s="1">
        <v>0</v>
      </c>
      <c r="JP53" s="1">
        <v>0</v>
      </c>
      <c r="JQ53" s="9"/>
      <c r="JR53" s="1">
        <f t="shared" si="16"/>
        <v>2927.8006199999995</v>
      </c>
      <c r="JS53" s="1">
        <f t="shared" si="17"/>
        <v>3266.400599999999</v>
      </c>
      <c r="JT53" s="1">
        <f t="shared" si="18"/>
        <v>3977.3027699999984</v>
      </c>
      <c r="JU53" s="1">
        <f t="shared" si="19"/>
        <v>3884.6250000000005</v>
      </c>
      <c r="JV53" s="1">
        <f t="shared" si="20"/>
        <v>542.18529999999998</v>
      </c>
      <c r="JW53" s="1">
        <f t="shared" si="21"/>
        <v>604.88899999999978</v>
      </c>
      <c r="JX53" s="1">
        <f t="shared" si="22"/>
        <v>736.53754999999967</v>
      </c>
      <c r="JY53" s="1">
        <f t="shared" si="23"/>
        <v>719.375</v>
      </c>
    </row>
    <row r="54" spans="1:285" x14ac:dyDescent="0.35">
      <c r="A54" s="2" t="s">
        <v>61</v>
      </c>
      <c r="B54" s="1">
        <v>123032</v>
      </c>
      <c r="C54" s="1">
        <v>124517</v>
      </c>
      <c r="D54" s="1">
        <v>126177</v>
      </c>
      <c r="E54" s="1">
        <v>127540</v>
      </c>
      <c r="F54" s="1">
        <v>62139.42</v>
      </c>
      <c r="G54" s="1">
        <v>57023.45</v>
      </c>
      <c r="H54" s="1">
        <v>53212</v>
      </c>
      <c r="I54" s="1">
        <v>55471.51</v>
      </c>
      <c r="J54" s="1">
        <f t="shared" si="8"/>
        <v>45061.369999999995</v>
      </c>
      <c r="K54" s="1">
        <f t="shared" si="9"/>
        <v>39010.239999999998</v>
      </c>
      <c r="L54" s="1">
        <f t="shared" si="10"/>
        <v>35584.99</v>
      </c>
      <c r="M54" s="1">
        <f t="shared" si="11"/>
        <v>36507.12000000001</v>
      </c>
      <c r="N54" s="1">
        <f t="shared" si="12"/>
        <v>17078.050000000003</v>
      </c>
      <c r="O54" s="1">
        <f t="shared" si="13"/>
        <v>18013.21</v>
      </c>
      <c r="P54" s="1">
        <f t="shared" si="14"/>
        <v>17627.010000000002</v>
      </c>
      <c r="Q54" s="1">
        <f t="shared" si="15"/>
        <v>18964.389999999992</v>
      </c>
      <c r="R54" s="1">
        <v>2.89</v>
      </c>
      <c r="S54" s="1">
        <v>46.02</v>
      </c>
      <c r="T54" s="1">
        <v>147.21</v>
      </c>
      <c r="U54" s="1">
        <v>406.12</v>
      </c>
      <c r="V54" s="1">
        <v>0</v>
      </c>
      <c r="W54" s="1">
        <v>0</v>
      </c>
      <c r="X54" s="1">
        <v>2.66</v>
      </c>
      <c r="Y54" s="1">
        <v>0</v>
      </c>
      <c r="Z54" s="1">
        <v>0</v>
      </c>
      <c r="AA54" s="1">
        <v>46.02</v>
      </c>
      <c r="AB54" s="1">
        <v>0</v>
      </c>
      <c r="AC54" s="1">
        <v>0</v>
      </c>
      <c r="AD54" s="1">
        <v>3703.45</v>
      </c>
      <c r="AE54" s="1">
        <v>0</v>
      </c>
      <c r="AF54" s="1">
        <v>0</v>
      </c>
      <c r="AG54" s="1">
        <v>380.26</v>
      </c>
      <c r="AH54" s="1">
        <v>0</v>
      </c>
      <c r="AI54" s="1">
        <v>0</v>
      </c>
      <c r="AJ54" s="1">
        <v>0</v>
      </c>
      <c r="AK54" s="1">
        <v>0</v>
      </c>
      <c r="AL54" s="1">
        <v>0</v>
      </c>
      <c r="AM54" s="1">
        <v>0</v>
      </c>
      <c r="AN54" s="1">
        <v>0</v>
      </c>
      <c r="AO54" s="1">
        <v>25.860000000000003</v>
      </c>
      <c r="AP54" s="1">
        <v>7703.76</v>
      </c>
      <c r="AQ54" s="1">
        <v>8684.9500000000007</v>
      </c>
      <c r="AR54" s="1">
        <v>8126.82</v>
      </c>
      <c r="AS54" s="1">
        <v>8802.2999999999993</v>
      </c>
      <c r="AT54" s="1">
        <v>0</v>
      </c>
      <c r="AU54" s="1">
        <v>7703.76</v>
      </c>
      <c r="AV54" s="1">
        <v>0</v>
      </c>
      <c r="AW54" s="1">
        <v>0</v>
      </c>
      <c r="AX54" s="1">
        <v>0</v>
      </c>
      <c r="AY54" s="1">
        <v>8684.9500000000007</v>
      </c>
      <c r="AZ54" s="1">
        <v>0</v>
      </c>
      <c r="BA54" s="1">
        <v>0</v>
      </c>
      <c r="BB54" s="1">
        <v>0</v>
      </c>
      <c r="BC54" s="1">
        <v>8126.82</v>
      </c>
      <c r="BD54" s="1">
        <v>0</v>
      </c>
      <c r="BE54" s="1">
        <v>0</v>
      </c>
      <c r="BF54" s="1">
        <v>8802.2999999999993</v>
      </c>
      <c r="BG54" s="1">
        <v>0</v>
      </c>
      <c r="BH54" s="1">
        <v>0</v>
      </c>
      <c r="BI54" s="1">
        <v>0</v>
      </c>
      <c r="BJ54" s="1">
        <v>0</v>
      </c>
      <c r="BK54" s="1">
        <v>0</v>
      </c>
      <c r="BL54" s="1">
        <v>0</v>
      </c>
      <c r="BM54" s="1">
        <v>0</v>
      </c>
      <c r="BN54" s="1">
        <v>0</v>
      </c>
      <c r="BO54" s="1">
        <v>0</v>
      </c>
      <c r="BP54" s="1">
        <v>0</v>
      </c>
      <c r="BQ54" s="1">
        <v>0</v>
      </c>
      <c r="BR54" s="1">
        <v>0</v>
      </c>
      <c r="BS54" s="1">
        <v>0</v>
      </c>
      <c r="BT54" s="1">
        <v>0</v>
      </c>
      <c r="BU54" s="1">
        <v>19583.189999999999</v>
      </c>
      <c r="BV54" s="1">
        <v>15229.57</v>
      </c>
      <c r="BW54" s="1">
        <v>20182.77</v>
      </c>
      <c r="BX54" s="1">
        <v>19514.900000000001</v>
      </c>
      <c r="BY54" s="1">
        <v>19583.189999999999</v>
      </c>
      <c r="BZ54" s="1">
        <v>15229.57</v>
      </c>
      <c r="CA54" s="1">
        <v>20182.77</v>
      </c>
      <c r="CB54" s="1">
        <v>19514.900000000001</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8345.5299999999988</v>
      </c>
      <c r="CT54" s="1">
        <v>6886.6399999999994</v>
      </c>
      <c r="CU54" s="1">
        <v>1141.18</v>
      </c>
      <c r="CV54" s="1">
        <v>1281.6600000000001</v>
      </c>
      <c r="CW54" s="1">
        <v>8345.5299999999988</v>
      </c>
      <c r="CX54" s="1">
        <v>6883.5</v>
      </c>
      <c r="CY54" s="1">
        <v>1131.7</v>
      </c>
      <c r="CZ54" s="1">
        <v>1255.8</v>
      </c>
      <c r="DA54" s="1">
        <v>0</v>
      </c>
      <c r="DB54" s="1">
        <v>0</v>
      </c>
      <c r="DC54" s="1">
        <v>0</v>
      </c>
      <c r="DD54" s="1">
        <v>0</v>
      </c>
      <c r="DE54" s="1">
        <v>0</v>
      </c>
      <c r="DF54" s="1">
        <v>0</v>
      </c>
      <c r="DG54" s="1">
        <v>0</v>
      </c>
      <c r="DH54" s="1">
        <v>0</v>
      </c>
      <c r="DI54" s="1">
        <v>0</v>
      </c>
      <c r="DJ54" s="1">
        <v>3.14</v>
      </c>
      <c r="DK54" s="1">
        <v>9.48</v>
      </c>
      <c r="DL54" s="1">
        <v>25.86</v>
      </c>
      <c r="DM54" s="1">
        <v>4470.29</v>
      </c>
      <c r="DN54" s="1">
        <v>4503.25</v>
      </c>
      <c r="DO54" s="1">
        <v>4334.42</v>
      </c>
      <c r="DP54" s="1">
        <v>4141.21</v>
      </c>
      <c r="DQ54" s="1">
        <v>4470.29</v>
      </c>
      <c r="DR54" s="1">
        <v>4503.25</v>
      </c>
      <c r="DS54" s="1">
        <v>4334.42</v>
      </c>
      <c r="DT54" s="1">
        <v>4141.21</v>
      </c>
      <c r="DU54" s="1">
        <v>0</v>
      </c>
      <c r="DV54" s="1">
        <v>0</v>
      </c>
      <c r="DW54" s="1">
        <v>0</v>
      </c>
      <c r="DX54" s="1">
        <v>0</v>
      </c>
      <c r="DY54" s="1">
        <v>0</v>
      </c>
      <c r="DZ54" s="1">
        <v>0</v>
      </c>
      <c r="EA54" s="1">
        <v>0</v>
      </c>
      <c r="EB54" s="1">
        <v>0</v>
      </c>
      <c r="EC54" s="1">
        <v>0</v>
      </c>
      <c r="ED54" s="1">
        <v>0</v>
      </c>
      <c r="EE54" s="1">
        <v>0</v>
      </c>
      <c r="EF54" s="1">
        <v>0</v>
      </c>
      <c r="EG54" s="1">
        <v>0</v>
      </c>
      <c r="EH54" s="1">
        <v>0</v>
      </c>
      <c r="EI54" s="1">
        <v>0</v>
      </c>
      <c r="EJ54" s="1">
        <v>0</v>
      </c>
      <c r="EK54" s="1">
        <v>3823.72</v>
      </c>
      <c r="EL54" s="1">
        <v>2601.36</v>
      </c>
      <c r="EM54" s="1">
        <v>768.17</v>
      </c>
      <c r="EN54" s="1">
        <v>1124.33</v>
      </c>
      <c r="EO54" s="1">
        <v>3823.72</v>
      </c>
      <c r="EP54" s="1">
        <v>2601.36</v>
      </c>
      <c r="EQ54" s="1">
        <v>768.17</v>
      </c>
      <c r="ER54" s="1">
        <v>1124.33</v>
      </c>
      <c r="ES54" s="1">
        <v>0</v>
      </c>
      <c r="ET54" s="1">
        <v>0</v>
      </c>
      <c r="EU54" s="1">
        <v>0</v>
      </c>
      <c r="EV54" s="1">
        <v>0</v>
      </c>
      <c r="EW54" s="1">
        <v>0</v>
      </c>
      <c r="EX54" s="1">
        <v>0</v>
      </c>
      <c r="EY54" s="1">
        <v>0</v>
      </c>
      <c r="EZ54" s="1">
        <v>0</v>
      </c>
      <c r="FA54" s="1">
        <v>0</v>
      </c>
      <c r="FB54" s="1">
        <v>0</v>
      </c>
      <c r="FC54" s="1">
        <v>0</v>
      </c>
      <c r="FD54" s="1">
        <v>0</v>
      </c>
      <c r="FE54" s="1">
        <v>70.319999999999993</v>
      </c>
      <c r="FF54" s="1">
        <v>83.100000000000009</v>
      </c>
      <c r="FG54" s="1">
        <v>71.5</v>
      </c>
      <c r="FH54" s="1">
        <v>105.16</v>
      </c>
      <c r="FI54" s="1">
        <v>70.319999999999993</v>
      </c>
      <c r="FJ54" s="1">
        <v>83.100000000000009</v>
      </c>
      <c r="FK54" s="1">
        <v>71.5</v>
      </c>
      <c r="FL54" s="1">
        <v>105.16</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114.72</v>
      </c>
      <c r="GD54" s="1">
        <v>135.19999999999999</v>
      </c>
      <c r="GE54" s="1">
        <v>124.21</v>
      </c>
      <c r="GF54" s="1">
        <v>356.79</v>
      </c>
      <c r="GG54" s="1">
        <v>114.72</v>
      </c>
      <c r="GH54" s="1">
        <v>135.19999999999999</v>
      </c>
      <c r="GI54" s="1">
        <v>124.21</v>
      </c>
      <c r="GJ54" s="1">
        <v>73.78</v>
      </c>
      <c r="GK54" s="1">
        <v>0</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946.94999999999993</v>
      </c>
      <c r="IP54" s="1">
        <v>840.15000000000009</v>
      </c>
      <c r="IQ54" s="1">
        <v>688.71</v>
      </c>
      <c r="IR54" s="1">
        <v>774.65</v>
      </c>
      <c r="IS54" s="1">
        <v>946.94999999999993</v>
      </c>
      <c r="IT54" s="1">
        <v>840.15000000000009</v>
      </c>
      <c r="IU54" s="1">
        <v>688.71</v>
      </c>
      <c r="IV54" s="1">
        <v>774.65</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0</v>
      </c>
      <c r="JO54" s="1">
        <v>0</v>
      </c>
      <c r="JP54" s="1">
        <v>0</v>
      </c>
      <c r="JQ54" s="9"/>
      <c r="JR54" s="1">
        <f t="shared" si="16"/>
        <v>4611.0735000000013</v>
      </c>
      <c r="JS54" s="1">
        <f t="shared" si="17"/>
        <v>4863.5667000000003</v>
      </c>
      <c r="JT54" s="1">
        <f t="shared" si="18"/>
        <v>4759.2927000000009</v>
      </c>
      <c r="JU54" s="1">
        <f t="shared" si="19"/>
        <v>5120.3852999999981</v>
      </c>
      <c r="JV54" s="1">
        <f t="shared" si="20"/>
        <v>853.90250000000015</v>
      </c>
      <c r="JW54" s="1">
        <f t="shared" si="21"/>
        <v>900.66049999999996</v>
      </c>
      <c r="JX54" s="1">
        <f t="shared" si="22"/>
        <v>881.35050000000012</v>
      </c>
      <c r="JY54" s="1">
        <f t="shared" si="23"/>
        <v>948.2194999999997</v>
      </c>
    </row>
    <row r="55" spans="1:285" x14ac:dyDescent="0.35">
      <c r="A55" s="2" t="s">
        <v>62</v>
      </c>
      <c r="B55" s="1">
        <v>117178</v>
      </c>
      <c r="C55" s="1">
        <v>117908</v>
      </c>
      <c r="D55" s="1">
        <v>118677</v>
      </c>
      <c r="E55" s="1">
        <v>119823</v>
      </c>
      <c r="F55" s="1">
        <v>44258.29</v>
      </c>
      <c r="G55" s="1">
        <v>44516.71</v>
      </c>
      <c r="H55" s="1">
        <v>41431.230000000003</v>
      </c>
      <c r="I55" s="1">
        <v>41995.908000000003</v>
      </c>
      <c r="J55" s="1">
        <f t="shared" si="8"/>
        <v>24925.629999999994</v>
      </c>
      <c r="K55" s="1">
        <f t="shared" si="9"/>
        <v>20335.689999999999</v>
      </c>
      <c r="L55" s="1">
        <f t="shared" si="10"/>
        <v>18712.32</v>
      </c>
      <c r="M55" s="1">
        <f t="shared" si="11"/>
        <v>24623.257999999998</v>
      </c>
      <c r="N55" s="1">
        <f t="shared" si="12"/>
        <v>19332.660000000007</v>
      </c>
      <c r="O55" s="1">
        <f t="shared" si="13"/>
        <v>24181.02</v>
      </c>
      <c r="P55" s="1">
        <f t="shared" si="14"/>
        <v>22718.910000000003</v>
      </c>
      <c r="Q55" s="1">
        <f t="shared" si="15"/>
        <v>17372.650000000005</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12118.72</v>
      </c>
      <c r="AQ55" s="1">
        <v>7796.0400000000009</v>
      </c>
      <c r="AR55" s="1">
        <v>7076.22</v>
      </c>
      <c r="AS55" s="1">
        <v>13696.759999999998</v>
      </c>
      <c r="AT55" s="1">
        <v>5454.68</v>
      </c>
      <c r="AU55" s="1">
        <v>6664.0399999999991</v>
      </c>
      <c r="AV55" s="1">
        <v>0</v>
      </c>
      <c r="AW55" s="1">
        <v>0</v>
      </c>
      <c r="AX55" s="1">
        <v>0</v>
      </c>
      <c r="AY55" s="1">
        <v>5088.3600000000006</v>
      </c>
      <c r="AZ55" s="1">
        <v>0</v>
      </c>
      <c r="BA55" s="1">
        <v>0</v>
      </c>
      <c r="BB55" s="1">
        <v>7076.22</v>
      </c>
      <c r="BC55" s="1">
        <v>0</v>
      </c>
      <c r="BD55" s="1">
        <v>0</v>
      </c>
      <c r="BE55" s="1">
        <v>7346.92</v>
      </c>
      <c r="BF55" s="1">
        <v>6349.8399999999983</v>
      </c>
      <c r="BG55" s="1">
        <v>0</v>
      </c>
      <c r="BH55" s="1">
        <v>0</v>
      </c>
      <c r="BI55" s="1">
        <v>0</v>
      </c>
      <c r="BJ55" s="1">
        <v>0</v>
      </c>
      <c r="BK55" s="1">
        <v>0</v>
      </c>
      <c r="BL55" s="1">
        <v>0</v>
      </c>
      <c r="BM55" s="1">
        <v>2707.68</v>
      </c>
      <c r="BN55" s="1">
        <v>0</v>
      </c>
      <c r="BO55" s="1">
        <v>0</v>
      </c>
      <c r="BP55" s="1">
        <v>0</v>
      </c>
      <c r="BQ55" s="1">
        <v>0</v>
      </c>
      <c r="BR55" s="1">
        <v>0</v>
      </c>
      <c r="BS55" s="1">
        <v>0</v>
      </c>
      <c r="BT55" s="1">
        <v>0</v>
      </c>
      <c r="BU55" s="1">
        <v>4250.34</v>
      </c>
      <c r="BV55" s="1">
        <v>4293.28</v>
      </c>
      <c r="BW55" s="1">
        <v>3806</v>
      </c>
      <c r="BX55" s="1">
        <v>3673.62</v>
      </c>
      <c r="BY55" s="1">
        <v>4250.34</v>
      </c>
      <c r="BZ55" s="1">
        <v>4293.28</v>
      </c>
      <c r="CA55" s="1">
        <v>3806</v>
      </c>
      <c r="CB55" s="1">
        <v>3673.62</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1388.38</v>
      </c>
      <c r="CT55" s="1">
        <v>1825.52</v>
      </c>
      <c r="CU55" s="1">
        <v>1041.82</v>
      </c>
      <c r="CV55" s="1">
        <v>1022.22</v>
      </c>
      <c r="CW55" s="1">
        <v>1388.38</v>
      </c>
      <c r="CX55" s="1">
        <v>1825.52</v>
      </c>
      <c r="CY55" s="1">
        <v>1041.82</v>
      </c>
      <c r="CZ55" s="1">
        <v>1022.22</v>
      </c>
      <c r="DA55" s="1">
        <v>0</v>
      </c>
      <c r="DB55" s="1">
        <v>0</v>
      </c>
      <c r="DC55" s="1">
        <v>0</v>
      </c>
      <c r="DD55" s="1">
        <v>0</v>
      </c>
      <c r="DE55" s="1">
        <v>0</v>
      </c>
      <c r="DF55" s="1">
        <v>0</v>
      </c>
      <c r="DG55" s="1">
        <v>0</v>
      </c>
      <c r="DH55" s="1">
        <v>0</v>
      </c>
      <c r="DI55" s="1">
        <v>0</v>
      </c>
      <c r="DJ55" s="1">
        <v>0</v>
      </c>
      <c r="DK55" s="1">
        <v>0</v>
      </c>
      <c r="DL55" s="1">
        <v>0</v>
      </c>
      <c r="DM55" s="1">
        <v>4683.53</v>
      </c>
      <c r="DN55" s="1">
        <v>4516.05</v>
      </c>
      <c r="DO55" s="1">
        <v>4679.71</v>
      </c>
      <c r="DP55" s="1">
        <v>4443.34</v>
      </c>
      <c r="DQ55" s="1">
        <v>4683.53</v>
      </c>
      <c r="DR55" s="1">
        <v>4516.05</v>
      </c>
      <c r="DS55" s="1">
        <v>4679.71</v>
      </c>
      <c r="DT55" s="1">
        <v>4443.34</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1713.73</v>
      </c>
      <c r="EL55" s="1">
        <v>1577.7</v>
      </c>
      <c r="EM55" s="1">
        <v>1472.62</v>
      </c>
      <c r="EN55" s="1">
        <v>1165</v>
      </c>
      <c r="EO55" s="1">
        <v>1713.73</v>
      </c>
      <c r="EP55" s="1">
        <v>1577.7</v>
      </c>
      <c r="EQ55" s="1">
        <v>1472.62</v>
      </c>
      <c r="ER55" s="1">
        <v>1165</v>
      </c>
      <c r="ES55" s="1">
        <v>0</v>
      </c>
      <c r="ET55" s="1">
        <v>0</v>
      </c>
      <c r="EU55" s="1">
        <v>0</v>
      </c>
      <c r="EV55" s="1">
        <v>0</v>
      </c>
      <c r="EW55" s="1">
        <v>0</v>
      </c>
      <c r="EX55" s="1">
        <v>0</v>
      </c>
      <c r="EY55" s="1">
        <v>0</v>
      </c>
      <c r="EZ55" s="1">
        <v>0</v>
      </c>
      <c r="FA55" s="1">
        <v>0</v>
      </c>
      <c r="FB55" s="1">
        <v>0</v>
      </c>
      <c r="FC55" s="1">
        <v>0</v>
      </c>
      <c r="FD55" s="1">
        <v>0</v>
      </c>
      <c r="FE55" s="1">
        <v>26.46</v>
      </c>
      <c r="FF55" s="1">
        <v>20.3</v>
      </c>
      <c r="FG55" s="1">
        <v>18.399999999999999</v>
      </c>
      <c r="FH55" s="1">
        <v>12.028</v>
      </c>
      <c r="FI55" s="1">
        <v>0</v>
      </c>
      <c r="FJ55" s="1">
        <v>0</v>
      </c>
      <c r="FK55" s="1">
        <v>0</v>
      </c>
      <c r="FL55" s="1">
        <v>0</v>
      </c>
      <c r="FM55" s="1">
        <v>26.46</v>
      </c>
      <c r="FN55" s="1">
        <v>20.3</v>
      </c>
      <c r="FO55" s="1">
        <v>18.399999999999999</v>
      </c>
      <c r="FP55" s="1">
        <v>12.028</v>
      </c>
      <c r="FQ55" s="1">
        <v>0</v>
      </c>
      <c r="FR55" s="1">
        <v>0</v>
      </c>
      <c r="FS55" s="1">
        <v>0</v>
      </c>
      <c r="FT55" s="1">
        <v>0</v>
      </c>
      <c r="FU55" s="1">
        <v>0</v>
      </c>
      <c r="FV55" s="1">
        <v>0</v>
      </c>
      <c r="FW55" s="1">
        <v>0</v>
      </c>
      <c r="FX55" s="1">
        <v>0</v>
      </c>
      <c r="FY55" s="1">
        <v>0</v>
      </c>
      <c r="FZ55" s="1">
        <v>0</v>
      </c>
      <c r="GA55" s="1">
        <v>0</v>
      </c>
      <c r="GB55" s="1">
        <v>0</v>
      </c>
      <c r="GC55" s="1">
        <v>49.03</v>
      </c>
      <c r="GD55" s="1">
        <v>36.959999999999987</v>
      </c>
      <c r="GE55" s="1">
        <v>37.020000000000003</v>
      </c>
      <c r="GF55" s="1">
        <v>99.45</v>
      </c>
      <c r="GG55" s="1">
        <v>49.03</v>
      </c>
      <c r="GH55" s="1">
        <v>36.959999999999987</v>
      </c>
      <c r="GI55" s="1">
        <v>37.020000000000003</v>
      </c>
      <c r="GJ55" s="1">
        <v>356.79</v>
      </c>
      <c r="GK55" s="1">
        <v>0</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695.44</v>
      </c>
      <c r="IP55" s="1">
        <v>269.83999999999997</v>
      </c>
      <c r="IQ55" s="1">
        <v>580.53</v>
      </c>
      <c r="IR55" s="1">
        <v>510.84</v>
      </c>
      <c r="IS55" s="1">
        <v>695.44</v>
      </c>
      <c r="IT55" s="1">
        <v>269.83999999999997</v>
      </c>
      <c r="IU55" s="1">
        <v>580.53</v>
      </c>
      <c r="IV55" s="1">
        <v>510.84</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0</v>
      </c>
      <c r="JO55" s="1">
        <v>0</v>
      </c>
      <c r="JP55" s="1">
        <v>0</v>
      </c>
      <c r="JQ55" s="9"/>
      <c r="JR55" s="1">
        <f t="shared" si="16"/>
        <v>5219.8182000000024</v>
      </c>
      <c r="JS55" s="1">
        <f t="shared" si="17"/>
        <v>6528.8754000000008</v>
      </c>
      <c r="JT55" s="1">
        <f t="shared" si="18"/>
        <v>6134.105700000001</v>
      </c>
      <c r="JU55" s="1">
        <f t="shared" si="19"/>
        <v>4690.6155000000017</v>
      </c>
      <c r="JV55" s="1">
        <f t="shared" si="20"/>
        <v>966.63300000000038</v>
      </c>
      <c r="JW55" s="1">
        <f t="shared" si="21"/>
        <v>1209.0510000000002</v>
      </c>
      <c r="JX55" s="1">
        <f t="shared" si="22"/>
        <v>1135.9455000000003</v>
      </c>
      <c r="JY55" s="1">
        <f t="shared" si="23"/>
        <v>868.63250000000028</v>
      </c>
    </row>
    <row r="56" spans="1:285" x14ac:dyDescent="0.35">
      <c r="A56" s="2" t="s">
        <v>63</v>
      </c>
      <c r="B56" s="1">
        <v>8331</v>
      </c>
      <c r="C56" s="1">
        <v>8689</v>
      </c>
      <c r="D56" s="1">
        <v>11615</v>
      </c>
      <c r="E56" s="1">
        <v>13606</v>
      </c>
      <c r="F56" s="1">
        <v>8692.6</v>
      </c>
      <c r="G56" s="1">
        <v>9767.1660000000011</v>
      </c>
      <c r="H56" s="1">
        <v>10495.825000000001</v>
      </c>
      <c r="I56" s="1">
        <v>10370.588</v>
      </c>
      <c r="J56" s="1">
        <f t="shared" si="8"/>
        <v>1449.0000000000002</v>
      </c>
      <c r="K56" s="1">
        <f t="shared" si="9"/>
        <v>2158.4</v>
      </c>
      <c r="L56" s="1">
        <f t="shared" si="10"/>
        <v>2329.2350000000001</v>
      </c>
      <c r="M56" s="1">
        <f t="shared" si="11"/>
        <v>2117.127</v>
      </c>
      <c r="N56" s="1">
        <f t="shared" si="12"/>
        <v>7243.6</v>
      </c>
      <c r="O56" s="1">
        <f t="shared" si="13"/>
        <v>7608.7660000000014</v>
      </c>
      <c r="P56" s="1">
        <f t="shared" si="14"/>
        <v>8166.59</v>
      </c>
      <c r="Q56" s="1">
        <f t="shared" si="15"/>
        <v>8253.4609999999993</v>
      </c>
      <c r="R56" s="1">
        <v>90.66</v>
      </c>
      <c r="S56" s="1">
        <v>128.21</v>
      </c>
      <c r="T56" s="1">
        <v>143.22</v>
      </c>
      <c r="U56" s="1">
        <v>123.98</v>
      </c>
      <c r="V56" s="1">
        <v>90.66</v>
      </c>
      <c r="W56" s="1">
        <v>0</v>
      </c>
      <c r="X56" s="1">
        <v>0</v>
      </c>
      <c r="Y56" s="1">
        <v>128.21</v>
      </c>
      <c r="Z56" s="1">
        <v>0</v>
      </c>
      <c r="AA56" s="1">
        <v>0</v>
      </c>
      <c r="AB56" s="1">
        <v>143.22</v>
      </c>
      <c r="AC56" s="1">
        <v>0</v>
      </c>
      <c r="AD56" s="1">
        <v>0</v>
      </c>
      <c r="AE56" s="1">
        <v>106.31</v>
      </c>
      <c r="AF56" s="1">
        <v>2.29</v>
      </c>
      <c r="AG56" s="1">
        <v>15.379999999999999</v>
      </c>
      <c r="AH56" s="1">
        <v>0</v>
      </c>
      <c r="AI56" s="1">
        <v>0</v>
      </c>
      <c r="AJ56" s="1">
        <v>0</v>
      </c>
      <c r="AK56" s="1">
        <v>0</v>
      </c>
      <c r="AL56" s="1">
        <v>0</v>
      </c>
      <c r="AM56" s="1">
        <v>0</v>
      </c>
      <c r="AN56" s="1">
        <v>0</v>
      </c>
      <c r="AO56" s="1">
        <v>0</v>
      </c>
      <c r="AP56" s="1">
        <v>38.9</v>
      </c>
      <c r="AQ56" s="1">
        <v>68.100000000000009</v>
      </c>
      <c r="AR56" s="1">
        <v>75.760000000000005</v>
      </c>
      <c r="AS56" s="1">
        <v>76.529999999999987</v>
      </c>
      <c r="AT56" s="1">
        <v>38.9</v>
      </c>
      <c r="AU56" s="1">
        <v>0</v>
      </c>
      <c r="AV56" s="1">
        <v>0</v>
      </c>
      <c r="AW56" s="1">
        <v>0</v>
      </c>
      <c r="AX56" s="1">
        <v>68.100000000000009</v>
      </c>
      <c r="AY56" s="1">
        <v>0</v>
      </c>
      <c r="AZ56" s="1">
        <v>0</v>
      </c>
      <c r="BA56" s="1">
        <v>0</v>
      </c>
      <c r="BB56" s="1">
        <v>74.990000000000009</v>
      </c>
      <c r="BC56" s="1">
        <v>0.77</v>
      </c>
      <c r="BD56" s="1">
        <v>0</v>
      </c>
      <c r="BE56" s="1">
        <v>67.419999999999987</v>
      </c>
      <c r="BF56" s="1">
        <v>0</v>
      </c>
      <c r="BG56" s="1">
        <v>0</v>
      </c>
      <c r="BH56" s="1">
        <v>9.11</v>
      </c>
      <c r="BI56" s="1">
        <v>0</v>
      </c>
      <c r="BJ56" s="1">
        <v>0</v>
      </c>
      <c r="BK56" s="1">
        <v>0</v>
      </c>
      <c r="BL56" s="1">
        <v>0</v>
      </c>
      <c r="BM56" s="1">
        <v>0</v>
      </c>
      <c r="BN56" s="1">
        <v>0</v>
      </c>
      <c r="BO56" s="1">
        <v>0</v>
      </c>
      <c r="BP56" s="1">
        <v>0</v>
      </c>
      <c r="BQ56" s="1">
        <v>0</v>
      </c>
      <c r="BR56" s="1">
        <v>0</v>
      </c>
      <c r="BS56" s="1">
        <v>0</v>
      </c>
      <c r="BT56" s="1">
        <v>0</v>
      </c>
      <c r="BU56" s="1">
        <v>863.13</v>
      </c>
      <c r="BV56" s="1">
        <v>1485.91</v>
      </c>
      <c r="BW56" s="1">
        <v>1648.91</v>
      </c>
      <c r="BX56" s="1">
        <v>1428.04</v>
      </c>
      <c r="BY56" s="1">
        <v>863.13</v>
      </c>
      <c r="BZ56" s="1">
        <v>1485.91</v>
      </c>
      <c r="CA56" s="1">
        <v>1648.91</v>
      </c>
      <c r="CB56" s="1">
        <v>1428.04</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97.460000000000008</v>
      </c>
      <c r="CT56" s="1">
        <v>114.31</v>
      </c>
      <c r="CU56" s="1">
        <v>138.76</v>
      </c>
      <c r="CV56" s="1">
        <v>160.08000000000001</v>
      </c>
      <c r="CW56" s="1">
        <v>97.460000000000008</v>
      </c>
      <c r="CX56" s="1">
        <v>114.31</v>
      </c>
      <c r="CY56" s="1">
        <v>138.76</v>
      </c>
      <c r="CZ56" s="1">
        <v>160.08000000000001</v>
      </c>
      <c r="DA56" s="1">
        <v>0</v>
      </c>
      <c r="DB56" s="1">
        <v>0</v>
      </c>
      <c r="DC56" s="1">
        <v>0</v>
      </c>
      <c r="DD56" s="1">
        <v>0</v>
      </c>
      <c r="DE56" s="1">
        <v>0</v>
      </c>
      <c r="DF56" s="1">
        <v>0</v>
      </c>
      <c r="DG56" s="1">
        <v>0</v>
      </c>
      <c r="DH56" s="1">
        <v>0</v>
      </c>
      <c r="DI56" s="1">
        <v>0</v>
      </c>
      <c r="DJ56" s="1">
        <v>0</v>
      </c>
      <c r="DK56" s="1">
        <v>0</v>
      </c>
      <c r="DL56" s="1">
        <v>0</v>
      </c>
      <c r="DM56" s="1">
        <v>184.85</v>
      </c>
      <c r="DN56" s="1">
        <v>146.41999999999999</v>
      </c>
      <c r="DO56" s="1">
        <v>130.88999999999999</v>
      </c>
      <c r="DP56" s="1">
        <v>124.07</v>
      </c>
      <c r="DQ56" s="1">
        <v>184.85</v>
      </c>
      <c r="DR56" s="1">
        <v>146.41999999999999</v>
      </c>
      <c r="DS56" s="1">
        <v>130.88999999999999</v>
      </c>
      <c r="DT56" s="1">
        <v>124.07</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125.66</v>
      </c>
      <c r="EL56" s="1">
        <v>154.51</v>
      </c>
      <c r="EM56" s="1">
        <v>130.19499999999999</v>
      </c>
      <c r="EN56" s="1">
        <v>147.40899999999999</v>
      </c>
      <c r="EO56" s="1">
        <v>125.66</v>
      </c>
      <c r="EP56" s="1">
        <v>154.51</v>
      </c>
      <c r="EQ56" s="1">
        <v>130.19499999999999</v>
      </c>
      <c r="ER56" s="1">
        <v>147.40899999999999</v>
      </c>
      <c r="ES56" s="1">
        <v>0</v>
      </c>
      <c r="ET56" s="1">
        <v>0</v>
      </c>
      <c r="EU56" s="1">
        <v>0</v>
      </c>
      <c r="EV56" s="1">
        <v>0</v>
      </c>
      <c r="EW56" s="1">
        <v>0</v>
      </c>
      <c r="EX56" s="1">
        <v>0</v>
      </c>
      <c r="EY56" s="1">
        <v>0</v>
      </c>
      <c r="EZ56" s="1">
        <v>0</v>
      </c>
      <c r="FA56" s="1">
        <v>0</v>
      </c>
      <c r="FB56" s="1">
        <v>0</v>
      </c>
      <c r="FC56" s="1">
        <v>0</v>
      </c>
      <c r="FD56" s="1">
        <v>0</v>
      </c>
      <c r="FE56" s="1">
        <v>18.7</v>
      </c>
      <c r="FF56" s="1">
        <v>24.9</v>
      </c>
      <c r="FG56" s="1">
        <v>25.56</v>
      </c>
      <c r="FH56" s="1">
        <v>21.33</v>
      </c>
      <c r="FI56" s="1">
        <v>18.7</v>
      </c>
      <c r="FJ56" s="1">
        <v>24.9</v>
      </c>
      <c r="FK56" s="1">
        <v>25.56</v>
      </c>
      <c r="FL56" s="1">
        <v>21.33</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29.64</v>
      </c>
      <c r="GD56" s="1">
        <v>36.04</v>
      </c>
      <c r="GE56" s="1">
        <v>35.94</v>
      </c>
      <c r="GF56" s="1">
        <v>35.688000000000002</v>
      </c>
      <c r="GG56" s="1">
        <v>29.64</v>
      </c>
      <c r="GH56" s="1">
        <v>36.04</v>
      </c>
      <c r="GI56" s="1">
        <v>35.94</v>
      </c>
      <c r="GJ56" s="1">
        <v>99.45</v>
      </c>
      <c r="GK56" s="1">
        <v>0</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0</v>
      </c>
      <c r="JO56" s="1">
        <v>0</v>
      </c>
      <c r="JP56" s="1">
        <v>0</v>
      </c>
      <c r="JQ56" s="9"/>
      <c r="JR56" s="1">
        <f t="shared" si="16"/>
        <v>1955.7720000000002</v>
      </c>
      <c r="JS56" s="1">
        <f t="shared" si="17"/>
        <v>2054.3668200000006</v>
      </c>
      <c r="JT56" s="1">
        <f t="shared" si="18"/>
        <v>2204.9793</v>
      </c>
      <c r="JU56" s="1">
        <f t="shared" si="19"/>
        <v>2228.4344700000001</v>
      </c>
      <c r="JV56" s="1">
        <f t="shared" si="20"/>
        <v>362.18000000000006</v>
      </c>
      <c r="JW56" s="1">
        <f t="shared" si="21"/>
        <v>380.43830000000008</v>
      </c>
      <c r="JX56" s="1">
        <f t="shared" si="22"/>
        <v>408.32950000000005</v>
      </c>
      <c r="JY56" s="1">
        <f t="shared" si="23"/>
        <v>412.67304999999999</v>
      </c>
    </row>
    <row r="57" spans="1:285" x14ac:dyDescent="0.35">
      <c r="A57" s="2" t="s">
        <v>64</v>
      </c>
      <c r="B57" s="1">
        <v>191979</v>
      </c>
      <c r="C57" s="1">
        <v>192658</v>
      </c>
      <c r="D57" s="1">
        <v>194475</v>
      </c>
      <c r="E57" s="1">
        <v>198497</v>
      </c>
      <c r="F57" s="1">
        <v>33819.207999999999</v>
      </c>
      <c r="G57" s="1">
        <v>37839.483</v>
      </c>
      <c r="H57" s="1">
        <v>32738.008000000002</v>
      </c>
      <c r="I57" s="1">
        <v>32821.722000000002</v>
      </c>
      <c r="J57" s="1">
        <f t="shared" si="8"/>
        <v>33361.011000000006</v>
      </c>
      <c r="K57" s="1">
        <f t="shared" si="9"/>
        <v>35716.645000000004</v>
      </c>
      <c r="L57" s="1">
        <f t="shared" si="10"/>
        <v>31601.601000000002</v>
      </c>
      <c r="M57" s="1">
        <f t="shared" si="11"/>
        <v>32058.396999999997</v>
      </c>
      <c r="N57" s="1">
        <f t="shared" si="12"/>
        <v>458.19699999999284</v>
      </c>
      <c r="O57" s="1">
        <f t="shared" si="13"/>
        <v>2122.8379999999961</v>
      </c>
      <c r="P57" s="1">
        <f t="shared" si="14"/>
        <v>1136.4069999999992</v>
      </c>
      <c r="Q57" s="1">
        <f t="shared" si="15"/>
        <v>763.32500000000437</v>
      </c>
      <c r="R57" s="1">
        <v>6592.1</v>
      </c>
      <c r="S57" s="1">
        <v>6614.76</v>
      </c>
      <c r="T57" s="1">
        <v>6131.48</v>
      </c>
      <c r="U57" s="1">
        <v>6059</v>
      </c>
      <c r="V57" s="1">
        <v>0</v>
      </c>
      <c r="W57" s="1">
        <v>0</v>
      </c>
      <c r="X57" s="1">
        <v>6592.1</v>
      </c>
      <c r="Y57" s="1">
        <v>0</v>
      </c>
      <c r="Z57" s="1">
        <v>0</v>
      </c>
      <c r="AA57" s="1">
        <v>6614.76</v>
      </c>
      <c r="AB57" s="1">
        <v>0</v>
      </c>
      <c r="AC57" s="1">
        <v>0</v>
      </c>
      <c r="AD57" s="1">
        <v>6131.48</v>
      </c>
      <c r="AE57" s="1">
        <v>0</v>
      </c>
      <c r="AF57" s="1">
        <v>0</v>
      </c>
      <c r="AG57" s="1">
        <v>6059</v>
      </c>
      <c r="AH57" s="1">
        <v>0</v>
      </c>
      <c r="AI57" s="1">
        <v>0</v>
      </c>
      <c r="AJ57" s="1">
        <v>0</v>
      </c>
      <c r="AK57" s="1">
        <v>0</v>
      </c>
      <c r="AL57" s="1">
        <v>0</v>
      </c>
      <c r="AM57" s="1">
        <v>0</v>
      </c>
      <c r="AN57" s="1">
        <v>0</v>
      </c>
      <c r="AO57" s="1">
        <v>0</v>
      </c>
      <c r="AP57" s="1">
        <v>9133.9860000000008</v>
      </c>
      <c r="AQ57" s="1">
        <v>11652.7</v>
      </c>
      <c r="AR57" s="1">
        <v>9097.36</v>
      </c>
      <c r="AS57" s="1">
        <v>10913.74</v>
      </c>
      <c r="AT57" s="1">
        <v>0</v>
      </c>
      <c r="AU57" s="1">
        <v>9133.9860000000008</v>
      </c>
      <c r="AV57" s="1">
        <v>0</v>
      </c>
      <c r="AW57" s="1">
        <v>0</v>
      </c>
      <c r="AX57" s="1">
        <v>0</v>
      </c>
      <c r="AY57" s="1">
        <v>11652.7</v>
      </c>
      <c r="AZ57" s="1">
        <v>0</v>
      </c>
      <c r="BA57" s="1">
        <v>0</v>
      </c>
      <c r="BB57" s="1">
        <v>0</v>
      </c>
      <c r="BC57" s="1">
        <v>9097.36</v>
      </c>
      <c r="BD57" s="1">
        <v>0</v>
      </c>
      <c r="BE57" s="1">
        <v>0</v>
      </c>
      <c r="BF57" s="1">
        <v>10913.74</v>
      </c>
      <c r="BG57" s="1">
        <v>0</v>
      </c>
      <c r="BH57" s="1">
        <v>0</v>
      </c>
      <c r="BI57" s="1">
        <v>0</v>
      </c>
      <c r="BJ57" s="1">
        <v>0</v>
      </c>
      <c r="BK57" s="1">
        <v>0</v>
      </c>
      <c r="BL57" s="1">
        <v>0</v>
      </c>
      <c r="BM57" s="1">
        <v>0</v>
      </c>
      <c r="BN57" s="1">
        <v>0</v>
      </c>
      <c r="BO57" s="1">
        <v>0</v>
      </c>
      <c r="BP57" s="1">
        <v>0</v>
      </c>
      <c r="BQ57" s="1">
        <v>0</v>
      </c>
      <c r="BR57" s="1">
        <v>0</v>
      </c>
      <c r="BS57" s="1">
        <v>0</v>
      </c>
      <c r="BT57" s="1">
        <v>0</v>
      </c>
      <c r="BU57" s="1">
        <v>7191.4339999999993</v>
      </c>
      <c r="BV57" s="1">
        <v>7743.0379999999996</v>
      </c>
      <c r="BW57" s="1">
        <v>7379.3979999999992</v>
      </c>
      <c r="BX57" s="1">
        <v>6578.4259999999986</v>
      </c>
      <c r="BY57" s="1">
        <v>7191.4339999999993</v>
      </c>
      <c r="BZ57" s="1">
        <v>7743.0379999999996</v>
      </c>
      <c r="CA57" s="1">
        <v>7379.3979999999992</v>
      </c>
      <c r="CB57" s="1">
        <v>6578.4259999999986</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2639.63</v>
      </c>
      <c r="CT57" s="1">
        <v>2684.0360000000001</v>
      </c>
      <c r="CU57" s="1">
        <v>2683.1660000000002</v>
      </c>
      <c r="CV57" s="1">
        <v>2438.424</v>
      </c>
      <c r="CW57" s="1">
        <v>2639.63</v>
      </c>
      <c r="CX57" s="1">
        <v>2684.0360000000001</v>
      </c>
      <c r="CY57" s="1">
        <v>2683.1660000000002</v>
      </c>
      <c r="CZ57" s="1">
        <v>2438.424</v>
      </c>
      <c r="DA57" s="1">
        <v>0</v>
      </c>
      <c r="DB57" s="1">
        <v>0</v>
      </c>
      <c r="DC57" s="1">
        <v>0</v>
      </c>
      <c r="DD57" s="1">
        <v>0</v>
      </c>
      <c r="DE57" s="1">
        <v>0</v>
      </c>
      <c r="DF57" s="1">
        <v>0</v>
      </c>
      <c r="DG57" s="1">
        <v>0</v>
      </c>
      <c r="DH57" s="1">
        <v>0</v>
      </c>
      <c r="DI57" s="1">
        <v>0</v>
      </c>
      <c r="DJ57" s="1">
        <v>0</v>
      </c>
      <c r="DK57" s="1">
        <v>0</v>
      </c>
      <c r="DL57" s="1">
        <v>0</v>
      </c>
      <c r="DM57" s="1">
        <v>5598.32</v>
      </c>
      <c r="DN57" s="1">
        <v>5672.7209999999995</v>
      </c>
      <c r="DO57" s="1">
        <v>4992.0640000000003</v>
      </c>
      <c r="DP57" s="1">
        <v>4789.1930000000002</v>
      </c>
      <c r="DQ57" s="1">
        <v>5598.32</v>
      </c>
      <c r="DR57" s="1">
        <v>5672.7209999999995</v>
      </c>
      <c r="DS57" s="1">
        <v>4992.0640000000003</v>
      </c>
      <c r="DT57" s="1">
        <v>4789.1930000000002</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1158.7</v>
      </c>
      <c r="EL57" s="1">
        <v>1061.569</v>
      </c>
      <c r="EM57" s="1">
        <v>975.26099999999997</v>
      </c>
      <c r="EN57" s="1">
        <v>955.524</v>
      </c>
      <c r="EO57" s="1">
        <v>1158.7</v>
      </c>
      <c r="EP57" s="1">
        <v>1061.569</v>
      </c>
      <c r="EQ57" s="1">
        <v>975.26099999999997</v>
      </c>
      <c r="ER57" s="1">
        <v>955.524</v>
      </c>
      <c r="ES57" s="1">
        <v>0</v>
      </c>
      <c r="ET57" s="1">
        <v>0</v>
      </c>
      <c r="EU57" s="1">
        <v>0</v>
      </c>
      <c r="EV57" s="1">
        <v>0</v>
      </c>
      <c r="EW57" s="1">
        <v>0</v>
      </c>
      <c r="EX57" s="1">
        <v>0</v>
      </c>
      <c r="EY57" s="1">
        <v>0</v>
      </c>
      <c r="EZ57" s="1">
        <v>0</v>
      </c>
      <c r="FA57" s="1">
        <v>0</v>
      </c>
      <c r="FB57" s="1">
        <v>0</v>
      </c>
      <c r="FC57" s="1">
        <v>0</v>
      </c>
      <c r="FD57" s="1">
        <v>0</v>
      </c>
      <c r="FE57" s="1">
        <v>154.06299999999999</v>
      </c>
      <c r="FF57" s="1">
        <v>186.59299999999999</v>
      </c>
      <c r="FG57" s="1">
        <v>290.57900000000001</v>
      </c>
      <c r="FH57" s="1">
        <v>258.10399999999998</v>
      </c>
      <c r="FI57" s="1">
        <v>154.06299999999999</v>
      </c>
      <c r="FJ57" s="1">
        <v>186.59299999999999</v>
      </c>
      <c r="FK57" s="1">
        <v>290.57900000000001</v>
      </c>
      <c r="FL57" s="1">
        <v>258.10399999999998</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718.37400000000002</v>
      </c>
      <c r="GD57" s="1">
        <v>101.22799999999999</v>
      </c>
      <c r="GE57" s="1">
        <v>52.292999999999999</v>
      </c>
      <c r="GF57" s="1">
        <v>65.986000000000004</v>
      </c>
      <c r="GG57" s="1">
        <v>718.37400000000002</v>
      </c>
      <c r="GH57" s="1">
        <v>101.22799999999999</v>
      </c>
      <c r="GI57" s="1">
        <v>52.292999999999999</v>
      </c>
      <c r="GJ57" s="1">
        <v>35.688000000000002</v>
      </c>
      <c r="GK57" s="1">
        <v>0</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174.404</v>
      </c>
      <c r="IP57" s="1">
        <v>0</v>
      </c>
      <c r="IQ57" s="1">
        <v>0</v>
      </c>
      <c r="IR57" s="1">
        <v>0</v>
      </c>
      <c r="IS57" s="1">
        <v>174.404</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0</v>
      </c>
      <c r="JO57" s="1">
        <v>0</v>
      </c>
      <c r="JP57" s="1">
        <v>0</v>
      </c>
      <c r="JQ57" s="9"/>
      <c r="JR57" s="1">
        <f t="shared" si="16"/>
        <v>123.71318999999808</v>
      </c>
      <c r="JS57" s="1">
        <f t="shared" si="17"/>
        <v>573.16625999999894</v>
      </c>
      <c r="JT57" s="1">
        <f t="shared" si="18"/>
        <v>306.82988999999981</v>
      </c>
      <c r="JU57" s="1">
        <f t="shared" si="19"/>
        <v>206.09775000000118</v>
      </c>
      <c r="JV57" s="1">
        <f t="shared" si="20"/>
        <v>22.909849999999643</v>
      </c>
      <c r="JW57" s="1">
        <f t="shared" si="21"/>
        <v>106.14189999999981</v>
      </c>
      <c r="JX57" s="1">
        <f t="shared" si="22"/>
        <v>56.820349999999962</v>
      </c>
      <c r="JY57" s="1">
        <f t="shared" si="23"/>
        <v>38.166250000000218</v>
      </c>
    </row>
    <row r="58" spans="1:285" x14ac:dyDescent="0.35">
      <c r="A58" s="2" t="s">
        <v>65</v>
      </c>
      <c r="B58" s="1">
        <v>565045</v>
      </c>
      <c r="C58" s="1">
        <v>571948</v>
      </c>
      <c r="D58" s="1">
        <v>575591</v>
      </c>
      <c r="E58" s="1">
        <v>579381</v>
      </c>
      <c r="F58" s="1">
        <v>687844.52899999998</v>
      </c>
      <c r="G58" s="1">
        <v>727254.12199999997</v>
      </c>
      <c r="H58" s="1">
        <v>719865.92099999997</v>
      </c>
      <c r="I58" s="1">
        <v>708745.65300000005</v>
      </c>
      <c r="J58" s="1">
        <f t="shared" si="8"/>
        <v>270916.50700000004</v>
      </c>
      <c r="K58" s="1">
        <f t="shared" si="9"/>
        <v>280497.64199999999</v>
      </c>
      <c r="L58" s="1">
        <f t="shared" si="10"/>
        <v>304154.93099999998</v>
      </c>
      <c r="M58" s="1">
        <f t="shared" si="11"/>
        <v>305802.75599999999</v>
      </c>
      <c r="N58" s="1">
        <f t="shared" si="12"/>
        <v>416928.02199999994</v>
      </c>
      <c r="O58" s="1">
        <f t="shared" si="13"/>
        <v>446756.48</v>
      </c>
      <c r="P58" s="1">
        <f t="shared" si="14"/>
        <v>415710.99</v>
      </c>
      <c r="Q58" s="1">
        <f t="shared" si="15"/>
        <v>402942.89700000006</v>
      </c>
      <c r="R58" s="1">
        <v>0</v>
      </c>
      <c r="S58" s="1">
        <v>0</v>
      </c>
      <c r="T58" s="1">
        <v>0</v>
      </c>
      <c r="U58" s="1">
        <v>0</v>
      </c>
      <c r="V58" s="1">
        <v>0</v>
      </c>
      <c r="W58" s="1">
        <v>0</v>
      </c>
      <c r="X58" s="1">
        <v>0</v>
      </c>
      <c r="Y58" s="1">
        <v>0</v>
      </c>
      <c r="Z58" s="1">
        <v>0</v>
      </c>
      <c r="AA58" s="1">
        <v>0</v>
      </c>
      <c r="AB58" s="1">
        <v>0</v>
      </c>
      <c r="AC58" s="1">
        <v>0</v>
      </c>
      <c r="AD58" s="1">
        <v>0</v>
      </c>
      <c r="AE58" s="1">
        <v>0</v>
      </c>
      <c r="AF58" s="1">
        <v>0</v>
      </c>
      <c r="AG58" s="1">
        <v>0</v>
      </c>
      <c r="AH58" s="1">
        <v>0</v>
      </c>
      <c r="AI58" s="1">
        <v>0</v>
      </c>
      <c r="AJ58" s="1">
        <v>0</v>
      </c>
      <c r="AK58" s="1">
        <v>0</v>
      </c>
      <c r="AL58" s="1">
        <v>0</v>
      </c>
      <c r="AM58" s="1">
        <v>0</v>
      </c>
      <c r="AN58" s="1">
        <v>0</v>
      </c>
      <c r="AO58" s="1">
        <v>0</v>
      </c>
      <c r="AP58" s="1">
        <v>31568.839999999997</v>
      </c>
      <c r="AQ58" s="1">
        <v>35353.552000000003</v>
      </c>
      <c r="AR58" s="1">
        <v>33730.501000000004</v>
      </c>
      <c r="AS58" s="1">
        <v>37333.810000000005</v>
      </c>
      <c r="AT58" s="1">
        <v>0</v>
      </c>
      <c r="AU58" s="1">
        <v>31568.839999999997</v>
      </c>
      <c r="AV58" s="1">
        <v>0</v>
      </c>
      <c r="AW58" s="1">
        <v>0</v>
      </c>
      <c r="AX58" s="1">
        <v>0</v>
      </c>
      <c r="AY58" s="1">
        <v>35353.552000000003</v>
      </c>
      <c r="AZ58" s="1">
        <v>0</v>
      </c>
      <c r="BA58" s="1">
        <v>0</v>
      </c>
      <c r="BB58" s="1">
        <v>0</v>
      </c>
      <c r="BC58" s="1">
        <v>33730.501000000004</v>
      </c>
      <c r="BD58" s="1">
        <v>0</v>
      </c>
      <c r="BE58" s="1">
        <v>0</v>
      </c>
      <c r="BF58" s="1">
        <v>37333.810000000005</v>
      </c>
      <c r="BG58" s="1">
        <v>0</v>
      </c>
      <c r="BH58" s="1">
        <v>0</v>
      </c>
      <c r="BI58" s="1">
        <v>0</v>
      </c>
      <c r="BJ58" s="1">
        <v>0</v>
      </c>
      <c r="BK58" s="1">
        <v>0</v>
      </c>
      <c r="BL58" s="1">
        <v>0</v>
      </c>
      <c r="BM58" s="1">
        <v>0</v>
      </c>
      <c r="BN58" s="1">
        <v>0</v>
      </c>
      <c r="BO58" s="1">
        <v>0</v>
      </c>
      <c r="BP58" s="1">
        <v>0</v>
      </c>
      <c r="BQ58" s="1">
        <v>0</v>
      </c>
      <c r="BR58" s="1">
        <v>0</v>
      </c>
      <c r="BS58" s="1">
        <v>0</v>
      </c>
      <c r="BT58" s="1">
        <v>0</v>
      </c>
      <c r="BU58" s="1">
        <v>45553.595000000001</v>
      </c>
      <c r="BV58" s="1">
        <v>46821.52</v>
      </c>
      <c r="BW58" s="1">
        <v>46991.6</v>
      </c>
      <c r="BX58" s="1">
        <v>47076.76</v>
      </c>
      <c r="BY58" s="1">
        <v>45553.595000000001</v>
      </c>
      <c r="BZ58" s="1">
        <v>46821.52</v>
      </c>
      <c r="CA58" s="1">
        <v>46991.6</v>
      </c>
      <c r="CB58" s="1">
        <v>47076.76</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44893.504999999997</v>
      </c>
      <c r="CT58" s="1">
        <v>41734.800000000003</v>
      </c>
      <c r="CU58" s="1">
        <v>43612.01</v>
      </c>
      <c r="CV58" s="1">
        <v>47034.38</v>
      </c>
      <c r="CW58" s="1">
        <v>44893.504999999997</v>
      </c>
      <c r="CX58" s="1">
        <v>41734.800000000003</v>
      </c>
      <c r="CY58" s="1">
        <v>43612.01</v>
      </c>
      <c r="CZ58" s="1">
        <v>47034.38</v>
      </c>
      <c r="DA58" s="1">
        <v>0</v>
      </c>
      <c r="DB58" s="1">
        <v>0</v>
      </c>
      <c r="DC58" s="1">
        <v>0</v>
      </c>
      <c r="DD58" s="1">
        <v>0</v>
      </c>
      <c r="DE58" s="1">
        <v>0</v>
      </c>
      <c r="DF58" s="1">
        <v>0</v>
      </c>
      <c r="DG58" s="1">
        <v>0</v>
      </c>
      <c r="DH58" s="1">
        <v>0</v>
      </c>
      <c r="DI58" s="1">
        <v>0</v>
      </c>
      <c r="DJ58" s="1">
        <v>0</v>
      </c>
      <c r="DK58" s="1">
        <v>0</v>
      </c>
      <c r="DL58" s="1">
        <v>0</v>
      </c>
      <c r="DM58" s="1">
        <v>45532.365000000013</v>
      </c>
      <c r="DN58" s="1">
        <v>46829.38</v>
      </c>
      <c r="DO58" s="1">
        <v>42793.47</v>
      </c>
      <c r="DP58" s="1">
        <v>41423.56</v>
      </c>
      <c r="DQ58" s="1">
        <v>45532.365000000013</v>
      </c>
      <c r="DR58" s="1">
        <v>46829.38</v>
      </c>
      <c r="DS58" s="1">
        <v>42793.47</v>
      </c>
      <c r="DT58" s="1">
        <v>41423.56</v>
      </c>
      <c r="DU58" s="1">
        <v>0</v>
      </c>
      <c r="DV58" s="1">
        <v>0</v>
      </c>
      <c r="DW58" s="1">
        <v>0</v>
      </c>
      <c r="DX58" s="1">
        <v>0</v>
      </c>
      <c r="DY58" s="1">
        <v>0</v>
      </c>
      <c r="DZ58" s="1">
        <v>0</v>
      </c>
      <c r="EA58" s="1">
        <v>0</v>
      </c>
      <c r="EB58" s="1">
        <v>0</v>
      </c>
      <c r="EC58" s="1">
        <v>0</v>
      </c>
      <c r="ED58" s="1">
        <v>0</v>
      </c>
      <c r="EE58" s="1">
        <v>0</v>
      </c>
      <c r="EF58" s="1">
        <v>0</v>
      </c>
      <c r="EG58" s="1">
        <v>0</v>
      </c>
      <c r="EH58" s="1">
        <v>0</v>
      </c>
      <c r="EI58" s="1">
        <v>0</v>
      </c>
      <c r="EJ58" s="1">
        <v>0</v>
      </c>
      <c r="EK58" s="1">
        <v>54395.040999999997</v>
      </c>
      <c r="EL58" s="1">
        <v>56526.28</v>
      </c>
      <c r="EM58" s="1">
        <v>87749.47</v>
      </c>
      <c r="EN58" s="1">
        <v>83499.404999999999</v>
      </c>
      <c r="EO58" s="1">
        <v>54395.040999999997</v>
      </c>
      <c r="EP58" s="1">
        <v>56526.28</v>
      </c>
      <c r="EQ58" s="1">
        <v>87749.47</v>
      </c>
      <c r="ER58" s="1">
        <v>83499.404999999999</v>
      </c>
      <c r="ES58" s="1">
        <v>0</v>
      </c>
      <c r="ET58" s="1">
        <v>0</v>
      </c>
      <c r="EU58" s="1">
        <v>0</v>
      </c>
      <c r="EV58" s="1">
        <v>0</v>
      </c>
      <c r="EW58" s="1">
        <v>0</v>
      </c>
      <c r="EX58" s="1">
        <v>0</v>
      </c>
      <c r="EY58" s="1">
        <v>0</v>
      </c>
      <c r="EZ58" s="1">
        <v>0</v>
      </c>
      <c r="FA58" s="1">
        <v>0</v>
      </c>
      <c r="FB58" s="1">
        <v>0</v>
      </c>
      <c r="FC58" s="1">
        <v>0</v>
      </c>
      <c r="FD58" s="1">
        <v>0</v>
      </c>
      <c r="FE58" s="1">
        <v>40456.735000000001</v>
      </c>
      <c r="FF58" s="1">
        <v>41828.9</v>
      </c>
      <c r="FG58" s="1">
        <v>37823.33</v>
      </c>
      <c r="FH58" s="1">
        <v>36125.29</v>
      </c>
      <c r="FI58" s="1">
        <v>40456.735000000001</v>
      </c>
      <c r="FJ58" s="1">
        <v>41828.9</v>
      </c>
      <c r="FK58" s="1">
        <v>37823.33</v>
      </c>
      <c r="FL58" s="1">
        <v>36125.29</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8241.2330000000002</v>
      </c>
      <c r="GD58" s="1">
        <v>11209.41</v>
      </c>
      <c r="GE58" s="1">
        <v>11326.44</v>
      </c>
      <c r="GF58" s="1">
        <v>11333.174999999999</v>
      </c>
      <c r="GG58" s="1">
        <v>8241.2330000000002</v>
      </c>
      <c r="GH58" s="1">
        <v>11209.41</v>
      </c>
      <c r="GI58" s="1">
        <v>11326.44</v>
      </c>
      <c r="GJ58" s="1">
        <v>11333.174999999999</v>
      </c>
      <c r="GK58" s="1">
        <v>0</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275.19299999999998</v>
      </c>
      <c r="IP58" s="1">
        <v>193.8</v>
      </c>
      <c r="IQ58" s="1">
        <v>128.11000000000001</v>
      </c>
      <c r="IR58" s="1">
        <v>1976.376</v>
      </c>
      <c r="IS58" s="1">
        <v>275.19299999999998</v>
      </c>
      <c r="IT58" s="1">
        <v>193.8</v>
      </c>
      <c r="IU58" s="1">
        <v>5.17</v>
      </c>
      <c r="IV58" s="1">
        <v>1814.596</v>
      </c>
      <c r="IW58" s="1">
        <v>0</v>
      </c>
      <c r="IX58" s="1">
        <v>0</v>
      </c>
      <c r="IY58" s="1">
        <v>122.94</v>
      </c>
      <c r="IZ58" s="1">
        <v>161.78</v>
      </c>
      <c r="JA58" s="1">
        <v>0</v>
      </c>
      <c r="JB58" s="1">
        <v>0</v>
      </c>
      <c r="JC58" s="1">
        <v>0</v>
      </c>
      <c r="JD58" s="1">
        <v>0</v>
      </c>
      <c r="JE58" s="1">
        <v>0</v>
      </c>
      <c r="JF58" s="1">
        <v>0</v>
      </c>
      <c r="JG58" s="1">
        <v>0</v>
      </c>
      <c r="JH58" s="1">
        <v>0</v>
      </c>
      <c r="JI58" s="1">
        <v>0</v>
      </c>
      <c r="JJ58" s="1">
        <v>0</v>
      </c>
      <c r="JK58" s="1">
        <v>0</v>
      </c>
      <c r="JL58" s="1">
        <v>0</v>
      </c>
      <c r="JM58" s="1">
        <v>0</v>
      </c>
      <c r="JN58" s="1">
        <v>0</v>
      </c>
      <c r="JO58" s="1">
        <v>0</v>
      </c>
      <c r="JP58" s="1">
        <v>0</v>
      </c>
      <c r="JQ58" s="9"/>
      <c r="JR58" s="1">
        <f t="shared" si="16"/>
        <v>112570.56593999999</v>
      </c>
      <c r="JS58" s="1">
        <f t="shared" si="17"/>
        <v>120624.24960000001</v>
      </c>
      <c r="JT58" s="1">
        <f t="shared" si="18"/>
        <v>112241.9673</v>
      </c>
      <c r="JU58" s="1">
        <f t="shared" si="19"/>
        <v>108794.58219000002</v>
      </c>
      <c r="JV58" s="1">
        <f t="shared" si="20"/>
        <v>20846.401099999999</v>
      </c>
      <c r="JW58" s="1">
        <f t="shared" si="21"/>
        <v>22337.824000000001</v>
      </c>
      <c r="JX58" s="1">
        <f t="shared" si="22"/>
        <v>20785.549500000001</v>
      </c>
      <c r="JY58" s="1">
        <f t="shared" si="23"/>
        <v>20147.144850000004</v>
      </c>
    </row>
    <row r="59" spans="1:285" x14ac:dyDescent="0.35">
      <c r="A59" s="2" t="s">
        <v>66</v>
      </c>
      <c r="B59" s="1">
        <v>89824</v>
      </c>
      <c r="C59" s="1">
        <v>91076</v>
      </c>
      <c r="D59" s="1">
        <v>91368</v>
      </c>
      <c r="E59" s="1">
        <v>91511</v>
      </c>
      <c r="F59" s="1">
        <v>27259.547999999999</v>
      </c>
      <c r="G59" s="1">
        <v>28648.128000000001</v>
      </c>
      <c r="H59" s="1">
        <v>24975.069</v>
      </c>
      <c r="I59" s="1">
        <v>25437.632000000001</v>
      </c>
      <c r="J59" s="1">
        <f t="shared" si="8"/>
        <v>27125.351000000002</v>
      </c>
      <c r="K59" s="1">
        <f t="shared" si="9"/>
        <v>28382.141999999996</v>
      </c>
      <c r="L59" s="1">
        <f t="shared" si="10"/>
        <v>24755.957999999999</v>
      </c>
      <c r="M59" s="1">
        <f t="shared" si="11"/>
        <v>25251.753000000001</v>
      </c>
      <c r="N59" s="1">
        <f t="shared" si="12"/>
        <v>134.19699999999648</v>
      </c>
      <c r="O59" s="1">
        <f t="shared" si="13"/>
        <v>265.98600000000442</v>
      </c>
      <c r="P59" s="1">
        <f t="shared" si="14"/>
        <v>219.11100000000079</v>
      </c>
      <c r="Q59" s="1">
        <f t="shared" si="15"/>
        <v>185.87900000000081</v>
      </c>
      <c r="R59" s="1">
        <v>2900.66</v>
      </c>
      <c r="S59" s="1">
        <v>1817.22</v>
      </c>
      <c r="T59" s="1">
        <v>3184.87</v>
      </c>
      <c r="U59" s="1">
        <v>2966.98</v>
      </c>
      <c r="V59" s="1">
        <v>0</v>
      </c>
      <c r="W59" s="1">
        <v>0</v>
      </c>
      <c r="X59" s="1">
        <v>2900.66</v>
      </c>
      <c r="Y59" s="1">
        <v>0</v>
      </c>
      <c r="Z59" s="1">
        <v>0</v>
      </c>
      <c r="AA59" s="1">
        <v>1817.22</v>
      </c>
      <c r="AB59" s="1">
        <v>0</v>
      </c>
      <c r="AC59" s="1">
        <v>0</v>
      </c>
      <c r="AD59" s="1">
        <v>3184.87</v>
      </c>
      <c r="AE59" s="1">
        <v>0</v>
      </c>
      <c r="AF59" s="1">
        <v>0</v>
      </c>
      <c r="AG59" s="1">
        <v>2966.98</v>
      </c>
      <c r="AH59" s="1">
        <v>0</v>
      </c>
      <c r="AI59" s="1">
        <v>0</v>
      </c>
      <c r="AJ59" s="1">
        <v>0</v>
      </c>
      <c r="AK59" s="1">
        <v>0</v>
      </c>
      <c r="AL59" s="1">
        <v>0</v>
      </c>
      <c r="AM59" s="1">
        <v>0</v>
      </c>
      <c r="AN59" s="1">
        <v>0</v>
      </c>
      <c r="AO59" s="1">
        <v>0</v>
      </c>
      <c r="AP59" s="1">
        <v>10036.33</v>
      </c>
      <c r="AQ59" s="1">
        <v>12119.75</v>
      </c>
      <c r="AR59" s="1">
        <v>8840.4599999999991</v>
      </c>
      <c r="AS59" s="1">
        <v>10093.380000000001</v>
      </c>
      <c r="AT59" s="1">
        <v>1907.41</v>
      </c>
      <c r="AU59" s="1">
        <v>8128.9199999999992</v>
      </c>
      <c r="AV59" s="1">
        <v>0</v>
      </c>
      <c r="AW59" s="1">
        <v>0</v>
      </c>
      <c r="AX59" s="1">
        <v>0</v>
      </c>
      <c r="AY59" s="1">
        <v>10387.030000000001</v>
      </c>
      <c r="AZ59" s="1">
        <v>0</v>
      </c>
      <c r="BA59" s="1">
        <v>1732.72</v>
      </c>
      <c r="BB59" s="1">
        <v>0</v>
      </c>
      <c r="BC59" s="1">
        <v>8840.4599999999991</v>
      </c>
      <c r="BD59" s="1">
        <v>0</v>
      </c>
      <c r="BE59" s="1">
        <v>0</v>
      </c>
      <c r="BF59" s="1">
        <v>10093.380000000001</v>
      </c>
      <c r="BG59" s="1">
        <v>0</v>
      </c>
      <c r="BH59" s="1">
        <v>0</v>
      </c>
      <c r="BI59" s="1">
        <v>0</v>
      </c>
      <c r="BJ59" s="1">
        <v>0</v>
      </c>
      <c r="BK59" s="1">
        <v>0</v>
      </c>
      <c r="BL59" s="1">
        <v>0</v>
      </c>
      <c r="BM59" s="1">
        <v>0</v>
      </c>
      <c r="BN59" s="1">
        <v>0</v>
      </c>
      <c r="BO59" s="1">
        <v>0</v>
      </c>
      <c r="BP59" s="1">
        <v>0</v>
      </c>
      <c r="BQ59" s="1">
        <v>0</v>
      </c>
      <c r="BR59" s="1">
        <v>0</v>
      </c>
      <c r="BS59" s="1">
        <v>0</v>
      </c>
      <c r="BT59" s="1">
        <v>0</v>
      </c>
      <c r="BU59" s="1">
        <v>7932.1110000000008</v>
      </c>
      <c r="BV59" s="1">
        <v>7956.4309999999996</v>
      </c>
      <c r="BW59" s="1">
        <v>6810.0739999999996</v>
      </c>
      <c r="BX59" s="1">
        <v>6709.8280000000004</v>
      </c>
      <c r="BY59" s="1">
        <v>7931.0010000000002</v>
      </c>
      <c r="BZ59" s="1">
        <v>7949.3209999999999</v>
      </c>
      <c r="CA59" s="1">
        <v>6765.8140000000003</v>
      </c>
      <c r="CB59" s="1">
        <v>6704.3539999999994</v>
      </c>
      <c r="CC59" s="1">
        <v>1.1100000000000001</v>
      </c>
      <c r="CD59" s="1">
        <v>7.1099999999999994</v>
      </c>
      <c r="CE59" s="1">
        <v>44.26</v>
      </c>
      <c r="CF59" s="1">
        <v>5.4740000000000002</v>
      </c>
      <c r="CG59" s="1">
        <v>0</v>
      </c>
      <c r="CH59" s="1">
        <v>0</v>
      </c>
      <c r="CI59" s="1">
        <v>0</v>
      </c>
      <c r="CJ59" s="1">
        <v>0</v>
      </c>
      <c r="CK59" s="1">
        <v>0</v>
      </c>
      <c r="CL59" s="1">
        <v>0</v>
      </c>
      <c r="CM59" s="1">
        <v>0</v>
      </c>
      <c r="CN59" s="1">
        <v>0</v>
      </c>
      <c r="CO59" s="1">
        <v>0</v>
      </c>
      <c r="CP59" s="1">
        <v>0</v>
      </c>
      <c r="CQ59" s="1">
        <v>0</v>
      </c>
      <c r="CR59" s="1">
        <v>0</v>
      </c>
      <c r="CS59" s="1">
        <v>923.69900000000007</v>
      </c>
      <c r="CT59" s="1">
        <v>1009.138</v>
      </c>
      <c r="CU59" s="1">
        <v>920.77700000000004</v>
      </c>
      <c r="CV59" s="1">
        <v>873.05600000000004</v>
      </c>
      <c r="CW59" s="1">
        <v>923.69900000000007</v>
      </c>
      <c r="CX59" s="1">
        <v>1009.138</v>
      </c>
      <c r="CY59" s="1">
        <v>920.77700000000004</v>
      </c>
      <c r="CZ59" s="1">
        <v>873.05600000000004</v>
      </c>
      <c r="DA59" s="1">
        <v>0</v>
      </c>
      <c r="DB59" s="1">
        <v>0</v>
      </c>
      <c r="DC59" s="1">
        <v>0</v>
      </c>
      <c r="DD59" s="1">
        <v>0</v>
      </c>
      <c r="DE59" s="1">
        <v>0</v>
      </c>
      <c r="DF59" s="1">
        <v>0</v>
      </c>
      <c r="DG59" s="1">
        <v>0</v>
      </c>
      <c r="DH59" s="1">
        <v>0</v>
      </c>
      <c r="DI59" s="1">
        <v>0</v>
      </c>
      <c r="DJ59" s="1">
        <v>0</v>
      </c>
      <c r="DK59" s="1">
        <v>0</v>
      </c>
      <c r="DL59" s="1">
        <v>0</v>
      </c>
      <c r="DM59" s="1">
        <v>4095.36</v>
      </c>
      <c r="DN59" s="1">
        <v>4003.54</v>
      </c>
      <c r="DO59" s="1">
        <v>3579.55</v>
      </c>
      <c r="DP59" s="1">
        <v>3385.06</v>
      </c>
      <c r="DQ59" s="1">
        <v>4095.36</v>
      </c>
      <c r="DR59" s="1">
        <v>4003.54</v>
      </c>
      <c r="DS59" s="1">
        <v>3579.55</v>
      </c>
      <c r="DT59" s="1">
        <v>3385.06</v>
      </c>
      <c r="DU59" s="1">
        <v>0</v>
      </c>
      <c r="DV59" s="1">
        <v>0</v>
      </c>
      <c r="DW59" s="1">
        <v>0</v>
      </c>
      <c r="DX59" s="1">
        <v>0</v>
      </c>
      <c r="DY59" s="1">
        <v>0</v>
      </c>
      <c r="DZ59" s="1">
        <v>0</v>
      </c>
      <c r="EA59" s="1">
        <v>0</v>
      </c>
      <c r="EB59" s="1">
        <v>0</v>
      </c>
      <c r="EC59" s="1">
        <v>0</v>
      </c>
      <c r="ED59" s="1">
        <v>0</v>
      </c>
      <c r="EE59" s="1">
        <v>0</v>
      </c>
      <c r="EF59" s="1">
        <v>0</v>
      </c>
      <c r="EG59" s="1">
        <v>0</v>
      </c>
      <c r="EH59" s="1">
        <v>0</v>
      </c>
      <c r="EI59" s="1">
        <v>0</v>
      </c>
      <c r="EJ59" s="1">
        <v>0</v>
      </c>
      <c r="EK59" s="1">
        <v>882.63499999999999</v>
      </c>
      <c r="EL59" s="1">
        <v>989.07299999999987</v>
      </c>
      <c r="EM59" s="1">
        <v>884.08</v>
      </c>
      <c r="EN59" s="1">
        <v>837.78</v>
      </c>
      <c r="EO59" s="1">
        <v>882.63499999999999</v>
      </c>
      <c r="EP59" s="1">
        <v>989.07299999999987</v>
      </c>
      <c r="EQ59" s="1">
        <v>884.08</v>
      </c>
      <c r="ER59" s="1">
        <v>837.78</v>
      </c>
      <c r="ES59" s="1">
        <v>0</v>
      </c>
      <c r="ET59" s="1">
        <v>0</v>
      </c>
      <c r="EU59" s="1">
        <v>0</v>
      </c>
      <c r="EV59" s="1">
        <v>0</v>
      </c>
      <c r="EW59" s="1">
        <v>0</v>
      </c>
      <c r="EX59" s="1">
        <v>0</v>
      </c>
      <c r="EY59" s="1">
        <v>0</v>
      </c>
      <c r="EZ59" s="1">
        <v>0</v>
      </c>
      <c r="FA59" s="1">
        <v>0</v>
      </c>
      <c r="FB59" s="1">
        <v>0</v>
      </c>
      <c r="FC59" s="1">
        <v>0</v>
      </c>
      <c r="FD59" s="1">
        <v>0</v>
      </c>
      <c r="FE59" s="1">
        <v>248.31700000000001</v>
      </c>
      <c r="FF59" s="1">
        <v>254.166</v>
      </c>
      <c r="FG59" s="1">
        <v>395.83800000000002</v>
      </c>
      <c r="FH59" s="1">
        <v>249.78800000000001</v>
      </c>
      <c r="FI59" s="1">
        <v>138.49199999999999</v>
      </c>
      <c r="FJ59" s="1">
        <v>91.322000000000003</v>
      </c>
      <c r="FK59" s="1">
        <v>152.97999999999999</v>
      </c>
      <c r="FL59" s="1">
        <v>57.188000000000002</v>
      </c>
      <c r="FM59" s="1">
        <v>109.825</v>
      </c>
      <c r="FN59" s="1">
        <v>162.84399999999999</v>
      </c>
      <c r="FO59" s="1">
        <v>242.858</v>
      </c>
      <c r="FP59" s="1">
        <v>192.6</v>
      </c>
      <c r="FQ59" s="1">
        <v>0</v>
      </c>
      <c r="FR59" s="1">
        <v>0</v>
      </c>
      <c r="FS59" s="1">
        <v>0</v>
      </c>
      <c r="FT59" s="1">
        <v>0</v>
      </c>
      <c r="FU59" s="1">
        <v>0</v>
      </c>
      <c r="FV59" s="1">
        <v>0</v>
      </c>
      <c r="FW59" s="1">
        <v>0</v>
      </c>
      <c r="FX59" s="1">
        <v>0</v>
      </c>
      <c r="FY59" s="1">
        <v>0</v>
      </c>
      <c r="FZ59" s="1">
        <v>0</v>
      </c>
      <c r="GA59" s="1">
        <v>0</v>
      </c>
      <c r="GB59" s="1">
        <v>0</v>
      </c>
      <c r="GC59" s="1">
        <v>106.239</v>
      </c>
      <c r="GD59" s="1">
        <v>214.34899999999999</v>
      </c>
      <c r="GE59" s="1">
        <v>107.16</v>
      </c>
      <c r="GF59" s="1">
        <v>64.210000000000008</v>
      </c>
      <c r="GG59" s="1">
        <v>106.239</v>
      </c>
      <c r="GH59" s="1">
        <v>214.34899999999999</v>
      </c>
      <c r="GI59" s="1">
        <v>107.16</v>
      </c>
      <c r="GJ59" s="1">
        <v>64.210000000000008</v>
      </c>
      <c r="GK59" s="1">
        <v>0</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18.475000000000001</v>
      </c>
      <c r="HG59" s="1">
        <v>0</v>
      </c>
      <c r="HH59" s="1">
        <v>0</v>
      </c>
      <c r="HI59" s="1">
        <v>0</v>
      </c>
      <c r="HJ59" s="1">
        <v>18.475000000000001</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33.149000000000001</v>
      </c>
      <c r="IR59" s="1">
        <v>71.670999999999992</v>
      </c>
      <c r="IS59" s="1">
        <v>0</v>
      </c>
      <c r="IT59" s="1">
        <v>0</v>
      </c>
      <c r="IU59" s="1">
        <v>33.149000000000001</v>
      </c>
      <c r="IV59" s="1">
        <v>71.670999999999992</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0</v>
      </c>
      <c r="JO59" s="1">
        <v>0</v>
      </c>
      <c r="JP59" s="1">
        <v>0</v>
      </c>
      <c r="JQ59" s="9"/>
      <c r="JR59" s="1">
        <f t="shared" si="16"/>
        <v>36.233189999999048</v>
      </c>
      <c r="JS59" s="1">
        <f t="shared" si="17"/>
        <v>71.816220000001195</v>
      </c>
      <c r="JT59" s="1">
        <f t="shared" si="18"/>
        <v>59.159970000000214</v>
      </c>
      <c r="JU59" s="1">
        <f t="shared" si="19"/>
        <v>50.187330000000223</v>
      </c>
      <c r="JV59" s="1">
        <f t="shared" si="20"/>
        <v>6.7098499999998245</v>
      </c>
      <c r="JW59" s="1">
        <f t="shared" si="21"/>
        <v>13.299300000000223</v>
      </c>
      <c r="JX59" s="1">
        <f t="shared" si="22"/>
        <v>10.95555000000004</v>
      </c>
      <c r="JY59" s="1">
        <f t="shared" si="23"/>
        <v>9.2939500000000415</v>
      </c>
    </row>
    <row r="60" spans="1:285" x14ac:dyDescent="0.35">
      <c r="A60" s="2" t="s">
        <v>67</v>
      </c>
      <c r="B60" s="1">
        <v>519204</v>
      </c>
      <c r="C60" s="1">
        <v>521447</v>
      </c>
      <c r="D60" s="1">
        <v>527755</v>
      </c>
      <c r="E60" s="1">
        <v>533997</v>
      </c>
      <c r="F60" s="1">
        <v>489447.69400000002</v>
      </c>
      <c r="G60" s="1">
        <v>488087.467</v>
      </c>
      <c r="H60" s="1">
        <v>451508.69500000001</v>
      </c>
      <c r="I60" s="1">
        <v>477002.22399999999</v>
      </c>
      <c r="J60" s="1">
        <f t="shared" si="8"/>
        <v>104958.60399999999</v>
      </c>
      <c r="K60" s="1">
        <f t="shared" si="9"/>
        <v>113179.31099999999</v>
      </c>
      <c r="L60" s="1">
        <f t="shared" si="10"/>
        <v>106386.909</v>
      </c>
      <c r="M60" s="1">
        <f t="shared" si="11"/>
        <v>107253.70700000001</v>
      </c>
      <c r="N60" s="1">
        <f t="shared" si="12"/>
        <v>384489.09</v>
      </c>
      <c r="O60" s="1">
        <f t="shared" si="13"/>
        <v>374908.15600000002</v>
      </c>
      <c r="P60" s="1">
        <f t="shared" si="14"/>
        <v>345121.78600000002</v>
      </c>
      <c r="Q60" s="1">
        <f t="shared" si="15"/>
        <v>369748.51699999999</v>
      </c>
      <c r="R60" s="1">
        <v>0</v>
      </c>
      <c r="S60" s="1">
        <v>0</v>
      </c>
      <c r="T60" s="1">
        <v>0</v>
      </c>
      <c r="U60" s="1">
        <v>0</v>
      </c>
      <c r="V60" s="1">
        <v>0</v>
      </c>
      <c r="W60" s="1">
        <v>0</v>
      </c>
      <c r="X60" s="1">
        <v>0</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26728.869999999995</v>
      </c>
      <c r="AQ60" s="1">
        <v>29039.089999999997</v>
      </c>
      <c r="AR60" s="1">
        <v>25907.250000000004</v>
      </c>
      <c r="AS60" s="1">
        <v>26143.249999999996</v>
      </c>
      <c r="AT60" s="1">
        <v>0</v>
      </c>
      <c r="AU60" s="1">
        <v>26728.869999999995</v>
      </c>
      <c r="AV60" s="1">
        <v>0</v>
      </c>
      <c r="AW60" s="1">
        <v>0</v>
      </c>
      <c r="AX60" s="1">
        <v>0</v>
      </c>
      <c r="AY60" s="1">
        <v>29039.089999999997</v>
      </c>
      <c r="AZ60" s="1">
        <v>0</v>
      </c>
      <c r="BA60" s="1">
        <v>0</v>
      </c>
      <c r="BB60" s="1">
        <v>0</v>
      </c>
      <c r="BC60" s="1">
        <v>25907.250000000004</v>
      </c>
      <c r="BD60" s="1">
        <v>0</v>
      </c>
      <c r="BE60" s="1">
        <v>0</v>
      </c>
      <c r="BF60" s="1">
        <v>26143.249999999996</v>
      </c>
      <c r="BG60" s="1">
        <v>0</v>
      </c>
      <c r="BH60" s="1">
        <v>0</v>
      </c>
      <c r="BI60" s="1">
        <v>0</v>
      </c>
      <c r="BJ60" s="1">
        <v>0</v>
      </c>
      <c r="BK60" s="1">
        <v>0</v>
      </c>
      <c r="BL60" s="1">
        <v>0</v>
      </c>
      <c r="BM60" s="1">
        <v>0</v>
      </c>
      <c r="BN60" s="1">
        <v>0</v>
      </c>
      <c r="BO60" s="1">
        <v>0</v>
      </c>
      <c r="BP60" s="1">
        <v>0</v>
      </c>
      <c r="BQ60" s="1">
        <v>0</v>
      </c>
      <c r="BR60" s="1">
        <v>0</v>
      </c>
      <c r="BS60" s="1">
        <v>0</v>
      </c>
      <c r="BT60" s="1">
        <v>0</v>
      </c>
      <c r="BU60" s="1">
        <v>21846.42</v>
      </c>
      <c r="BV60" s="1">
        <v>25337.24</v>
      </c>
      <c r="BW60" s="1">
        <v>20588.96</v>
      </c>
      <c r="BX60" s="1">
        <v>18346.97</v>
      </c>
      <c r="BY60" s="1">
        <v>21663.23</v>
      </c>
      <c r="BZ60" s="1">
        <v>25302.400000000001</v>
      </c>
      <c r="CA60" s="1">
        <v>20560.009999999998</v>
      </c>
      <c r="CB60" s="1">
        <v>18303.490000000002</v>
      </c>
      <c r="CC60" s="1">
        <v>182.97</v>
      </c>
      <c r="CD60" s="1">
        <v>34.840000000000003</v>
      </c>
      <c r="CE60" s="1">
        <v>28.95</v>
      </c>
      <c r="CF60" s="1">
        <v>43.48</v>
      </c>
      <c r="CG60" s="1">
        <v>0</v>
      </c>
      <c r="CH60" s="1">
        <v>0</v>
      </c>
      <c r="CI60" s="1">
        <v>0</v>
      </c>
      <c r="CJ60" s="1">
        <v>0</v>
      </c>
      <c r="CK60" s="1">
        <v>0</v>
      </c>
      <c r="CL60" s="1">
        <v>0</v>
      </c>
      <c r="CM60" s="1">
        <v>0</v>
      </c>
      <c r="CN60" s="1">
        <v>0</v>
      </c>
      <c r="CO60" s="1">
        <v>0</v>
      </c>
      <c r="CP60" s="1">
        <v>0</v>
      </c>
      <c r="CQ60" s="1">
        <v>0</v>
      </c>
      <c r="CR60" s="1">
        <v>0</v>
      </c>
      <c r="CS60" s="1">
        <v>7309.61</v>
      </c>
      <c r="CT60" s="1">
        <v>6999.77</v>
      </c>
      <c r="CU60" s="1">
        <v>6313.3799999999992</v>
      </c>
      <c r="CV60" s="1">
        <v>6803.7599999999993</v>
      </c>
      <c r="CW60" s="1">
        <v>7309.61</v>
      </c>
      <c r="CX60" s="1">
        <v>6999.77</v>
      </c>
      <c r="CY60" s="1">
        <v>6313.3799999999992</v>
      </c>
      <c r="CZ60" s="1">
        <v>6803.7599999999993</v>
      </c>
      <c r="DA60" s="1">
        <v>0</v>
      </c>
      <c r="DB60" s="1">
        <v>0</v>
      </c>
      <c r="DC60" s="1">
        <v>0</v>
      </c>
      <c r="DD60" s="1">
        <v>0</v>
      </c>
      <c r="DE60" s="1">
        <v>0</v>
      </c>
      <c r="DF60" s="1">
        <v>0</v>
      </c>
      <c r="DG60" s="1">
        <v>0</v>
      </c>
      <c r="DH60" s="1">
        <v>0</v>
      </c>
      <c r="DI60" s="1">
        <v>0</v>
      </c>
      <c r="DJ60" s="1">
        <v>0</v>
      </c>
      <c r="DK60" s="1">
        <v>0</v>
      </c>
      <c r="DL60" s="1">
        <v>0</v>
      </c>
      <c r="DM60" s="1">
        <v>15082.67</v>
      </c>
      <c r="DN60" s="1">
        <v>13721.302</v>
      </c>
      <c r="DO60" s="1">
        <v>17183.613000000001</v>
      </c>
      <c r="DP60" s="1">
        <v>14292.228999999999</v>
      </c>
      <c r="DQ60" s="1">
        <v>14915.7</v>
      </c>
      <c r="DR60" s="1">
        <v>13721.302</v>
      </c>
      <c r="DS60" s="1">
        <v>17183.613000000001</v>
      </c>
      <c r="DT60" s="1">
        <v>14292.228999999999</v>
      </c>
      <c r="DU60" s="1">
        <v>166.97</v>
      </c>
      <c r="DV60" s="1">
        <v>0</v>
      </c>
      <c r="DW60" s="1">
        <v>0</v>
      </c>
      <c r="DX60" s="1">
        <v>0</v>
      </c>
      <c r="DY60" s="1">
        <v>0</v>
      </c>
      <c r="DZ60" s="1">
        <v>0</v>
      </c>
      <c r="EA60" s="1">
        <v>0</v>
      </c>
      <c r="EB60" s="1">
        <v>0</v>
      </c>
      <c r="EC60" s="1">
        <v>0</v>
      </c>
      <c r="ED60" s="1">
        <v>0</v>
      </c>
      <c r="EE60" s="1">
        <v>0</v>
      </c>
      <c r="EF60" s="1">
        <v>0</v>
      </c>
      <c r="EG60" s="1">
        <v>0</v>
      </c>
      <c r="EH60" s="1">
        <v>0</v>
      </c>
      <c r="EI60" s="1">
        <v>0</v>
      </c>
      <c r="EJ60" s="1">
        <v>0</v>
      </c>
      <c r="EK60" s="1">
        <v>6492.65</v>
      </c>
      <c r="EL60" s="1">
        <v>8665.14</v>
      </c>
      <c r="EM60" s="1">
        <v>6625.8700000000008</v>
      </c>
      <c r="EN60" s="1">
        <v>8962.56</v>
      </c>
      <c r="EO60" s="1">
        <v>6107</v>
      </c>
      <c r="EP60" s="1">
        <v>8616.85</v>
      </c>
      <c r="EQ60" s="1">
        <v>6583.5999999999995</v>
      </c>
      <c r="ER60" s="1">
        <v>8895.99</v>
      </c>
      <c r="ES60" s="1">
        <v>385.65</v>
      </c>
      <c r="ET60" s="1">
        <v>48.290000000000013</v>
      </c>
      <c r="EU60" s="1">
        <v>42.27</v>
      </c>
      <c r="EV60" s="1">
        <v>66.569999999999993</v>
      </c>
      <c r="EW60" s="1">
        <v>0</v>
      </c>
      <c r="EX60" s="1">
        <v>0</v>
      </c>
      <c r="EY60" s="1">
        <v>0</v>
      </c>
      <c r="EZ60" s="1">
        <v>0</v>
      </c>
      <c r="FA60" s="1">
        <v>0</v>
      </c>
      <c r="FB60" s="1">
        <v>0</v>
      </c>
      <c r="FC60" s="1">
        <v>0</v>
      </c>
      <c r="FD60" s="1">
        <v>0</v>
      </c>
      <c r="FE60" s="1">
        <v>1953.0640000000001</v>
      </c>
      <c r="FF60" s="1">
        <v>1379.9490000000001</v>
      </c>
      <c r="FG60" s="1">
        <v>1443.346</v>
      </c>
      <c r="FH60" s="1">
        <v>1228.1179999999999</v>
      </c>
      <c r="FI60" s="1">
        <v>1154.92</v>
      </c>
      <c r="FJ60" s="1">
        <v>108.96</v>
      </c>
      <c r="FK60" s="1">
        <v>0</v>
      </c>
      <c r="FL60" s="1">
        <v>0</v>
      </c>
      <c r="FM60" s="1">
        <v>798.14400000000001</v>
      </c>
      <c r="FN60" s="1">
        <v>1270.989</v>
      </c>
      <c r="FO60" s="1">
        <v>1443.346</v>
      </c>
      <c r="FP60" s="1">
        <v>1228.1179999999999</v>
      </c>
      <c r="FQ60" s="1">
        <v>0</v>
      </c>
      <c r="FR60" s="1">
        <v>0</v>
      </c>
      <c r="FS60" s="1">
        <v>0</v>
      </c>
      <c r="FT60" s="1">
        <v>0</v>
      </c>
      <c r="FU60" s="1">
        <v>0</v>
      </c>
      <c r="FV60" s="1">
        <v>0</v>
      </c>
      <c r="FW60" s="1">
        <v>0</v>
      </c>
      <c r="FX60" s="1">
        <v>0</v>
      </c>
      <c r="FY60" s="1">
        <v>0</v>
      </c>
      <c r="FZ60" s="1">
        <v>0</v>
      </c>
      <c r="GA60" s="1">
        <v>0</v>
      </c>
      <c r="GB60" s="1">
        <v>0</v>
      </c>
      <c r="GC60" s="1">
        <v>7701.37</v>
      </c>
      <c r="GD60" s="1">
        <v>11043.89</v>
      </c>
      <c r="GE60" s="1">
        <v>12297.15</v>
      </c>
      <c r="GF60" s="1">
        <v>15238.84</v>
      </c>
      <c r="GG60" s="1">
        <v>7368.37</v>
      </c>
      <c r="GH60" s="1">
        <v>11043.89</v>
      </c>
      <c r="GI60" s="1">
        <v>12297.15</v>
      </c>
      <c r="GJ60" s="1">
        <v>15238.84</v>
      </c>
      <c r="GK60" s="1">
        <v>333</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11510.32</v>
      </c>
      <c r="HF60" s="1">
        <v>10889.61</v>
      </c>
      <c r="HG60" s="1">
        <v>10237.969999999999</v>
      </c>
      <c r="HH60" s="1">
        <v>11585.71</v>
      </c>
      <c r="HI60" s="1">
        <v>11510.32</v>
      </c>
      <c r="HJ60" s="1">
        <v>10699.3</v>
      </c>
      <c r="HK60" s="1">
        <v>10215.02</v>
      </c>
      <c r="HL60" s="1">
        <v>10328.57</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190.31</v>
      </c>
      <c r="IE60" s="1">
        <v>22.95</v>
      </c>
      <c r="IF60" s="1">
        <v>1257.1400000000001</v>
      </c>
      <c r="IG60" s="1">
        <v>0</v>
      </c>
      <c r="IH60" s="1">
        <v>0</v>
      </c>
      <c r="II60" s="1">
        <v>0</v>
      </c>
      <c r="IJ60" s="1">
        <v>0</v>
      </c>
      <c r="IK60" s="1">
        <v>0</v>
      </c>
      <c r="IL60" s="1">
        <v>0</v>
      </c>
      <c r="IM60" s="1">
        <v>0</v>
      </c>
      <c r="IN60" s="1">
        <v>0</v>
      </c>
      <c r="IO60" s="1">
        <v>6333.63</v>
      </c>
      <c r="IP60" s="1">
        <v>6103.32</v>
      </c>
      <c r="IQ60" s="1">
        <v>5789.3700000000008</v>
      </c>
      <c r="IR60" s="1">
        <v>4652.2700000000004</v>
      </c>
      <c r="IS60" s="1">
        <v>6157.8000000000011</v>
      </c>
      <c r="IT60" s="1">
        <v>5981.39</v>
      </c>
      <c r="IU60" s="1">
        <v>5348.16</v>
      </c>
      <c r="IV60" s="1">
        <v>4375.9799999999996</v>
      </c>
      <c r="IW60" s="1">
        <v>175.83</v>
      </c>
      <c r="IX60" s="1">
        <v>121.93</v>
      </c>
      <c r="IY60" s="1">
        <v>318.61</v>
      </c>
      <c r="IZ60" s="1">
        <v>276.29000000000002</v>
      </c>
      <c r="JA60" s="1">
        <v>0</v>
      </c>
      <c r="JB60" s="1">
        <v>0</v>
      </c>
      <c r="JC60" s="1">
        <v>0</v>
      </c>
      <c r="JD60" s="1">
        <v>0</v>
      </c>
      <c r="JE60" s="1">
        <v>0</v>
      </c>
      <c r="JF60" s="1">
        <v>0</v>
      </c>
      <c r="JG60" s="1">
        <v>122.6</v>
      </c>
      <c r="JH60" s="1">
        <v>0</v>
      </c>
      <c r="JI60" s="1">
        <v>0</v>
      </c>
      <c r="JJ60" s="1">
        <v>0</v>
      </c>
      <c r="JK60" s="1">
        <v>0</v>
      </c>
      <c r="JL60" s="1">
        <v>0</v>
      </c>
      <c r="JM60" s="1">
        <v>0</v>
      </c>
      <c r="JN60" s="1">
        <v>0</v>
      </c>
      <c r="JO60" s="1">
        <v>0</v>
      </c>
      <c r="JP60" s="1">
        <v>0</v>
      </c>
      <c r="JQ60" s="9"/>
      <c r="JR60" s="1">
        <f t="shared" si="16"/>
        <v>103812.05430000002</v>
      </c>
      <c r="JS60" s="1">
        <f t="shared" si="17"/>
        <v>101225.20212000002</v>
      </c>
      <c r="JT60" s="1">
        <f t="shared" si="18"/>
        <v>93182.882220000014</v>
      </c>
      <c r="JU60" s="1">
        <f t="shared" si="19"/>
        <v>99832.099589999998</v>
      </c>
      <c r="JV60" s="1">
        <f t="shared" si="20"/>
        <v>19224.454500000003</v>
      </c>
      <c r="JW60" s="1">
        <f t="shared" si="21"/>
        <v>18745.407800000001</v>
      </c>
      <c r="JX60" s="1">
        <f t="shared" si="22"/>
        <v>17256.089300000003</v>
      </c>
      <c r="JY60" s="1">
        <f t="shared" si="23"/>
        <v>18487.42585</v>
      </c>
    </row>
    <row r="61" spans="1:285" x14ac:dyDescent="0.35">
      <c r="A61" s="2" t="s">
        <v>68</v>
      </c>
      <c r="B61" s="1">
        <v>344702</v>
      </c>
      <c r="C61" s="1">
        <v>344151</v>
      </c>
      <c r="D61" s="1">
        <v>351434</v>
      </c>
      <c r="E61" s="1">
        <v>359243</v>
      </c>
      <c r="F61" s="1">
        <v>314314.3</v>
      </c>
      <c r="G61" s="1">
        <v>307311.24</v>
      </c>
      <c r="H61" s="1">
        <v>269867.609</v>
      </c>
      <c r="I61" s="1">
        <v>282539.97100000002</v>
      </c>
      <c r="J61" s="1">
        <f t="shared" si="8"/>
        <v>53952.380000000005</v>
      </c>
      <c r="K61" s="1">
        <f t="shared" si="9"/>
        <v>55128.380000000005</v>
      </c>
      <c r="L61" s="1">
        <f t="shared" si="10"/>
        <v>39695.73000000001</v>
      </c>
      <c r="M61" s="1">
        <f t="shared" si="11"/>
        <v>56477.260999999999</v>
      </c>
      <c r="N61" s="1">
        <f t="shared" si="12"/>
        <v>260361.91999999998</v>
      </c>
      <c r="O61" s="1">
        <f t="shared" si="13"/>
        <v>252182.86</v>
      </c>
      <c r="P61" s="1">
        <f t="shared" si="14"/>
        <v>230171.87899999999</v>
      </c>
      <c r="Q61" s="1">
        <f t="shared" si="15"/>
        <v>226062.71000000002</v>
      </c>
      <c r="R61" s="1">
        <v>0</v>
      </c>
      <c r="S61" s="1">
        <v>0</v>
      </c>
      <c r="T61" s="1">
        <v>0</v>
      </c>
      <c r="U61" s="1">
        <v>0</v>
      </c>
      <c r="V61" s="1">
        <v>0</v>
      </c>
      <c r="W61" s="1">
        <v>0</v>
      </c>
      <c r="X61" s="1">
        <v>0</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20537.420000000002</v>
      </c>
      <c r="AQ61" s="1">
        <v>18995.939999999999</v>
      </c>
      <c r="AR61" s="1">
        <v>14106.420000000002</v>
      </c>
      <c r="AS61" s="1">
        <v>18232.800000000003</v>
      </c>
      <c r="AT61" s="1">
        <v>19340.86</v>
      </c>
      <c r="AU61" s="1">
        <v>712.99999999999989</v>
      </c>
      <c r="AV61" s="1">
        <v>0</v>
      </c>
      <c r="AW61" s="1">
        <v>0</v>
      </c>
      <c r="AX61" s="1">
        <v>17816.739999999998</v>
      </c>
      <c r="AY61" s="1">
        <v>675.6000000000007</v>
      </c>
      <c r="AZ61" s="1">
        <v>0</v>
      </c>
      <c r="BA61" s="1">
        <v>0</v>
      </c>
      <c r="BB61" s="1">
        <v>13040.51</v>
      </c>
      <c r="BC61" s="1">
        <v>371.40000000000168</v>
      </c>
      <c r="BD61" s="1">
        <v>0</v>
      </c>
      <c r="BE61" s="1">
        <v>17212.98</v>
      </c>
      <c r="BF61" s="1">
        <v>1019.8200000000033</v>
      </c>
      <c r="BG61" s="1">
        <v>0</v>
      </c>
      <c r="BH61" s="1">
        <v>0</v>
      </c>
      <c r="BI61" s="1">
        <v>0</v>
      </c>
      <c r="BJ61" s="1">
        <v>0</v>
      </c>
      <c r="BK61" s="1">
        <v>483.56000000000006</v>
      </c>
      <c r="BL61" s="1">
        <v>0</v>
      </c>
      <c r="BM61" s="1">
        <v>0</v>
      </c>
      <c r="BN61" s="1">
        <v>503.6</v>
      </c>
      <c r="BO61" s="1">
        <v>0</v>
      </c>
      <c r="BP61" s="1">
        <v>0</v>
      </c>
      <c r="BQ61" s="1">
        <v>694.51</v>
      </c>
      <c r="BR61" s="1">
        <v>0</v>
      </c>
      <c r="BS61" s="1">
        <v>0</v>
      </c>
      <c r="BT61" s="1">
        <v>0</v>
      </c>
      <c r="BU61" s="1">
        <v>16867.12</v>
      </c>
      <c r="BV61" s="1">
        <v>16340.57</v>
      </c>
      <c r="BW61" s="1">
        <v>10416.620000000001</v>
      </c>
      <c r="BX61" s="1">
        <v>17023.95</v>
      </c>
      <c r="BY61" s="1">
        <v>16867.12</v>
      </c>
      <c r="BZ61" s="1">
        <v>16340.57</v>
      </c>
      <c r="CA61" s="1">
        <v>10416.620000000001</v>
      </c>
      <c r="CB61" s="1">
        <v>17023.95</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3762.62</v>
      </c>
      <c r="CT61" s="1">
        <v>4704.3999999999996</v>
      </c>
      <c r="CU61" s="1">
        <v>3552.88</v>
      </c>
      <c r="CV61" s="1">
        <v>6220.23</v>
      </c>
      <c r="CW61" s="1">
        <v>3762.62</v>
      </c>
      <c r="CX61" s="1">
        <v>4704.3999999999996</v>
      </c>
      <c r="CY61" s="1">
        <v>3552.88</v>
      </c>
      <c r="CZ61" s="1">
        <v>6220.23</v>
      </c>
      <c r="DA61" s="1">
        <v>0</v>
      </c>
      <c r="DB61" s="1">
        <v>0</v>
      </c>
      <c r="DC61" s="1">
        <v>0</v>
      </c>
      <c r="DD61" s="1">
        <v>0</v>
      </c>
      <c r="DE61" s="1">
        <v>0</v>
      </c>
      <c r="DF61" s="1">
        <v>0</v>
      </c>
      <c r="DG61" s="1">
        <v>0</v>
      </c>
      <c r="DH61" s="1">
        <v>0</v>
      </c>
      <c r="DI61" s="1">
        <v>0</v>
      </c>
      <c r="DJ61" s="1">
        <v>0</v>
      </c>
      <c r="DK61" s="1">
        <v>0</v>
      </c>
      <c r="DL61" s="1">
        <v>0</v>
      </c>
      <c r="DM61" s="1">
        <v>4215.16</v>
      </c>
      <c r="DN61" s="1">
        <v>4253.34</v>
      </c>
      <c r="DO61" s="1">
        <v>1554.92</v>
      </c>
      <c r="DP61" s="1">
        <v>3268.97</v>
      </c>
      <c r="DQ61" s="1">
        <v>4215.16</v>
      </c>
      <c r="DR61" s="1">
        <v>4253.34</v>
      </c>
      <c r="DS61" s="1">
        <v>1554.92</v>
      </c>
      <c r="DT61" s="1">
        <v>3268.97</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4596.54</v>
      </c>
      <c r="EL61" s="1">
        <v>4616.0499999999993</v>
      </c>
      <c r="EM61" s="1">
        <v>4167.26</v>
      </c>
      <c r="EN61" s="1">
        <v>5265.36</v>
      </c>
      <c r="EO61" s="1">
        <v>4596.54</v>
      </c>
      <c r="EP61" s="1">
        <v>4616.0499999999993</v>
      </c>
      <c r="EQ61" s="1">
        <v>4167.26</v>
      </c>
      <c r="ER61" s="1">
        <v>5265.36</v>
      </c>
      <c r="ES61" s="1">
        <v>0</v>
      </c>
      <c r="ET61" s="1">
        <v>0</v>
      </c>
      <c r="EU61" s="1">
        <v>0</v>
      </c>
      <c r="EV61" s="1">
        <v>0</v>
      </c>
      <c r="EW61" s="1">
        <v>0</v>
      </c>
      <c r="EX61" s="1">
        <v>0</v>
      </c>
      <c r="EY61" s="1">
        <v>0</v>
      </c>
      <c r="EZ61" s="1">
        <v>0</v>
      </c>
      <c r="FA61" s="1">
        <v>0</v>
      </c>
      <c r="FB61" s="1">
        <v>0</v>
      </c>
      <c r="FC61" s="1">
        <v>0</v>
      </c>
      <c r="FD61" s="1">
        <v>0</v>
      </c>
      <c r="FE61" s="1">
        <v>496.38</v>
      </c>
      <c r="FF61" s="1">
        <v>498.97</v>
      </c>
      <c r="FG61" s="1">
        <v>308.16000000000003</v>
      </c>
      <c r="FH61" s="1">
        <v>415.65100000000001</v>
      </c>
      <c r="FI61" s="1">
        <v>496.38</v>
      </c>
      <c r="FJ61" s="1">
        <v>498.97</v>
      </c>
      <c r="FK61" s="1">
        <v>308.16000000000003</v>
      </c>
      <c r="FL61" s="1">
        <v>415.65100000000001</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651.47</v>
      </c>
      <c r="GD61" s="1">
        <v>667.14</v>
      </c>
      <c r="GE61" s="1">
        <v>650.58000000000004</v>
      </c>
      <c r="GF61" s="1">
        <v>707.11999999999989</v>
      </c>
      <c r="GG61" s="1">
        <v>651.47</v>
      </c>
      <c r="GH61" s="1">
        <v>667.14</v>
      </c>
      <c r="GI61" s="1">
        <v>650.58000000000004</v>
      </c>
      <c r="GJ61" s="1">
        <v>707.11999999999989</v>
      </c>
      <c r="GK61" s="1">
        <v>0</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2180.9699999999998</v>
      </c>
      <c r="HF61" s="1">
        <v>4383.12</v>
      </c>
      <c r="HG61" s="1">
        <v>4276.74</v>
      </c>
      <c r="HH61" s="1">
        <v>4557.3500000000004</v>
      </c>
      <c r="HI61" s="1">
        <v>2180.9699999999998</v>
      </c>
      <c r="HJ61" s="1">
        <v>3252.58</v>
      </c>
      <c r="HK61" s="1">
        <v>2892.94</v>
      </c>
      <c r="HL61" s="1">
        <v>3077.19</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1130.54</v>
      </c>
      <c r="IE61" s="1">
        <v>1383.8</v>
      </c>
      <c r="IF61" s="1">
        <v>1480.16</v>
      </c>
      <c r="IG61" s="1">
        <v>0</v>
      </c>
      <c r="IH61" s="1">
        <v>0</v>
      </c>
      <c r="II61" s="1">
        <v>0</v>
      </c>
      <c r="IJ61" s="1">
        <v>0</v>
      </c>
      <c r="IK61" s="1">
        <v>0</v>
      </c>
      <c r="IL61" s="1">
        <v>0</v>
      </c>
      <c r="IM61" s="1">
        <v>0</v>
      </c>
      <c r="IN61" s="1">
        <v>0</v>
      </c>
      <c r="IO61" s="1">
        <v>644.70000000000005</v>
      </c>
      <c r="IP61" s="1">
        <v>668.84999999999991</v>
      </c>
      <c r="IQ61" s="1">
        <v>662.15</v>
      </c>
      <c r="IR61" s="1">
        <v>785.83</v>
      </c>
      <c r="IS61" s="1">
        <v>644.70000000000005</v>
      </c>
      <c r="IT61" s="1">
        <v>668.84999999999991</v>
      </c>
      <c r="IU61" s="1">
        <v>662.15</v>
      </c>
      <c r="IV61" s="1">
        <v>721.71</v>
      </c>
      <c r="IW61" s="1">
        <v>0</v>
      </c>
      <c r="IX61" s="1">
        <v>0</v>
      </c>
      <c r="IY61" s="1">
        <v>0</v>
      </c>
      <c r="IZ61" s="1">
        <v>0</v>
      </c>
      <c r="JA61" s="1">
        <v>0</v>
      </c>
      <c r="JB61" s="1">
        <v>0</v>
      </c>
      <c r="JC61" s="1">
        <v>0</v>
      </c>
      <c r="JD61" s="1">
        <v>64.12</v>
      </c>
      <c r="JE61" s="1">
        <v>0</v>
      </c>
      <c r="JF61" s="1">
        <v>0</v>
      </c>
      <c r="JG61" s="1">
        <v>0</v>
      </c>
      <c r="JH61" s="1">
        <v>0</v>
      </c>
      <c r="JI61" s="1">
        <v>0</v>
      </c>
      <c r="JJ61" s="1">
        <v>0</v>
      </c>
      <c r="JK61" s="1">
        <v>0</v>
      </c>
      <c r="JL61" s="1">
        <v>0</v>
      </c>
      <c r="JM61" s="1">
        <v>0</v>
      </c>
      <c r="JN61" s="1">
        <v>0</v>
      </c>
      <c r="JO61" s="1">
        <v>0</v>
      </c>
      <c r="JP61" s="1">
        <v>0</v>
      </c>
      <c r="JQ61" s="9"/>
      <c r="JR61" s="1">
        <f t="shared" si="16"/>
        <v>70297.718399999998</v>
      </c>
      <c r="JS61" s="1">
        <f t="shared" si="17"/>
        <v>68089.372199999998</v>
      </c>
      <c r="JT61" s="1">
        <f t="shared" si="18"/>
        <v>62146.407330000002</v>
      </c>
      <c r="JU61" s="1">
        <f t="shared" si="19"/>
        <v>61036.931700000008</v>
      </c>
      <c r="JV61" s="1">
        <f t="shared" si="20"/>
        <v>13018.096</v>
      </c>
      <c r="JW61" s="1">
        <f t="shared" si="21"/>
        <v>12609.143</v>
      </c>
      <c r="JX61" s="1">
        <f t="shared" si="22"/>
        <v>11508.59395</v>
      </c>
      <c r="JY61" s="1">
        <f t="shared" si="23"/>
        <v>11303.135500000002</v>
      </c>
    </row>
    <row r="62" spans="1:285" x14ac:dyDescent="0.35">
      <c r="A62" s="2" t="s">
        <v>69</v>
      </c>
      <c r="B62" s="1">
        <v>117793</v>
      </c>
      <c r="C62" s="1">
        <v>118607</v>
      </c>
      <c r="D62" s="1">
        <v>119959</v>
      </c>
      <c r="E62" s="1">
        <v>122655</v>
      </c>
      <c r="F62" s="1">
        <v>37189.571000000004</v>
      </c>
      <c r="G62" s="1">
        <v>31904.51</v>
      </c>
      <c r="H62" s="1">
        <v>29754.16</v>
      </c>
      <c r="I62" s="1">
        <v>29916.41</v>
      </c>
      <c r="J62" s="1">
        <f t="shared" si="8"/>
        <v>26351.310999999994</v>
      </c>
      <c r="K62" s="1">
        <f t="shared" si="9"/>
        <v>21052.18</v>
      </c>
      <c r="L62" s="1">
        <f t="shared" si="10"/>
        <v>19057.940000000002</v>
      </c>
      <c r="M62" s="1">
        <f t="shared" si="11"/>
        <v>18877.04</v>
      </c>
      <c r="N62" s="1">
        <f t="shared" ref="N62:Q64" si="24">F62-J62</f>
        <v>10838.260000000009</v>
      </c>
      <c r="O62" s="1">
        <f t="shared" si="24"/>
        <v>10852.329999999998</v>
      </c>
      <c r="P62" s="1">
        <f t="shared" si="24"/>
        <v>10696.219999999998</v>
      </c>
      <c r="Q62" s="1">
        <f t="shared" si="24"/>
        <v>11039.369999999999</v>
      </c>
      <c r="R62" s="1">
        <v>0</v>
      </c>
      <c r="S62" s="1">
        <v>0</v>
      </c>
      <c r="T62" s="1">
        <v>0</v>
      </c>
      <c r="U62" s="1">
        <v>0</v>
      </c>
      <c r="V62" s="1">
        <v>0</v>
      </c>
      <c r="W62" s="1">
        <v>0</v>
      </c>
      <c r="X62" s="1">
        <v>0</v>
      </c>
      <c r="Y62" s="1">
        <v>0</v>
      </c>
      <c r="Z62" s="1">
        <v>0</v>
      </c>
      <c r="AA62" s="1">
        <v>0</v>
      </c>
      <c r="AB62" s="1">
        <v>0</v>
      </c>
      <c r="AC62" s="1">
        <v>0</v>
      </c>
      <c r="AD62" s="1">
        <v>0</v>
      </c>
      <c r="AE62" s="1">
        <v>0</v>
      </c>
      <c r="AF62" s="1">
        <v>0</v>
      </c>
      <c r="AG62" s="1">
        <v>0</v>
      </c>
      <c r="AH62" s="1">
        <v>0</v>
      </c>
      <c r="AI62" s="1">
        <v>0</v>
      </c>
      <c r="AJ62" s="1">
        <v>0</v>
      </c>
      <c r="AK62" s="1">
        <v>0</v>
      </c>
      <c r="AL62" s="1">
        <v>0</v>
      </c>
      <c r="AM62" s="1">
        <v>0</v>
      </c>
      <c r="AN62" s="1">
        <v>0</v>
      </c>
      <c r="AO62" s="1">
        <v>0</v>
      </c>
      <c r="AP62" s="1">
        <v>2479.04</v>
      </c>
      <c r="AQ62" s="1">
        <v>2871.24</v>
      </c>
      <c r="AR62" s="1">
        <v>2663.87</v>
      </c>
      <c r="AS62" s="1">
        <v>2838.85</v>
      </c>
      <c r="AT62" s="1">
        <v>0</v>
      </c>
      <c r="AU62" s="1">
        <v>2479.04</v>
      </c>
      <c r="AV62" s="1">
        <v>0</v>
      </c>
      <c r="AW62" s="1">
        <v>0</v>
      </c>
      <c r="AX62" s="1">
        <v>0</v>
      </c>
      <c r="AY62" s="1">
        <v>2871.24</v>
      </c>
      <c r="AZ62" s="1">
        <v>0</v>
      </c>
      <c r="BA62" s="1">
        <v>0</v>
      </c>
      <c r="BB62" s="1">
        <v>0</v>
      </c>
      <c r="BC62" s="1">
        <v>2663.87</v>
      </c>
      <c r="BD62" s="1">
        <v>0</v>
      </c>
      <c r="BE62" s="1">
        <v>0</v>
      </c>
      <c r="BF62" s="1">
        <v>2838.85</v>
      </c>
      <c r="BG62" s="1">
        <v>0</v>
      </c>
      <c r="BH62" s="1">
        <v>0</v>
      </c>
      <c r="BI62" s="1">
        <v>0</v>
      </c>
      <c r="BJ62" s="1">
        <v>0</v>
      </c>
      <c r="BK62" s="1">
        <v>0</v>
      </c>
      <c r="BL62" s="1">
        <v>0</v>
      </c>
      <c r="BM62" s="1">
        <v>0</v>
      </c>
      <c r="BN62" s="1">
        <v>0</v>
      </c>
      <c r="BO62" s="1">
        <v>0</v>
      </c>
      <c r="BP62" s="1">
        <v>0</v>
      </c>
      <c r="BQ62" s="1">
        <v>0</v>
      </c>
      <c r="BR62" s="1">
        <v>0</v>
      </c>
      <c r="BS62" s="1">
        <v>0</v>
      </c>
      <c r="BT62" s="1">
        <v>0</v>
      </c>
      <c r="BU62" s="1">
        <v>12112</v>
      </c>
      <c r="BV62" s="1">
        <v>8832.39</v>
      </c>
      <c r="BW62" s="1">
        <v>11705.85</v>
      </c>
      <c r="BX62" s="1">
        <v>11073.2</v>
      </c>
      <c r="BY62" s="1">
        <v>12112</v>
      </c>
      <c r="BZ62" s="1">
        <v>8832.39</v>
      </c>
      <c r="CA62" s="1">
        <v>11705.85</v>
      </c>
      <c r="CB62" s="1">
        <v>11073.2</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5503.05</v>
      </c>
      <c r="CT62" s="1">
        <v>4145.67</v>
      </c>
      <c r="CU62" s="1">
        <v>666.78</v>
      </c>
      <c r="CV62" s="1">
        <v>731.6</v>
      </c>
      <c r="CW62" s="1">
        <v>5503.05</v>
      </c>
      <c r="CX62" s="1">
        <v>4145.67</v>
      </c>
      <c r="CY62" s="1">
        <v>666.78</v>
      </c>
      <c r="CZ62" s="1">
        <v>731.6</v>
      </c>
      <c r="DA62" s="1">
        <v>0</v>
      </c>
      <c r="DB62" s="1">
        <v>0</v>
      </c>
      <c r="DC62" s="1">
        <v>0</v>
      </c>
      <c r="DD62" s="1">
        <v>0</v>
      </c>
      <c r="DE62" s="1">
        <v>0</v>
      </c>
      <c r="DF62" s="1">
        <v>0</v>
      </c>
      <c r="DG62" s="1">
        <v>0</v>
      </c>
      <c r="DH62" s="1">
        <v>0</v>
      </c>
      <c r="DI62" s="1">
        <v>0</v>
      </c>
      <c r="DJ62" s="1">
        <v>0</v>
      </c>
      <c r="DK62" s="1">
        <v>0</v>
      </c>
      <c r="DL62" s="1">
        <v>0</v>
      </c>
      <c r="DM62" s="1">
        <v>2803.85</v>
      </c>
      <c r="DN62" s="1">
        <v>2697.55</v>
      </c>
      <c r="DO62" s="1">
        <v>2569.11</v>
      </c>
      <c r="DP62" s="1">
        <v>2392.8200000000002</v>
      </c>
      <c r="DQ62" s="1">
        <v>2803.85</v>
      </c>
      <c r="DR62" s="1">
        <v>2697.55</v>
      </c>
      <c r="DS62" s="1">
        <v>2569.11</v>
      </c>
      <c r="DT62" s="1">
        <v>2392.8200000000002</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2468.2800000000002</v>
      </c>
      <c r="EL62" s="1">
        <v>1531.75</v>
      </c>
      <c r="EM62" s="1">
        <v>450.95</v>
      </c>
      <c r="EN62" s="1">
        <v>648.75</v>
      </c>
      <c r="EO62" s="1">
        <v>2468.2800000000002</v>
      </c>
      <c r="EP62" s="1">
        <v>1531.75</v>
      </c>
      <c r="EQ62" s="1">
        <v>450.95</v>
      </c>
      <c r="ER62" s="1">
        <v>648.75</v>
      </c>
      <c r="ES62" s="1">
        <v>0</v>
      </c>
      <c r="ET62" s="1">
        <v>0</v>
      </c>
      <c r="EU62" s="1">
        <v>0</v>
      </c>
      <c r="EV62" s="1">
        <v>0</v>
      </c>
      <c r="EW62" s="1">
        <v>0</v>
      </c>
      <c r="EX62" s="1">
        <v>0</v>
      </c>
      <c r="EY62" s="1">
        <v>0</v>
      </c>
      <c r="EZ62" s="1">
        <v>0</v>
      </c>
      <c r="FA62" s="1">
        <v>0</v>
      </c>
      <c r="FB62" s="1">
        <v>0</v>
      </c>
      <c r="FC62" s="1">
        <v>0</v>
      </c>
      <c r="FD62" s="1">
        <v>0</v>
      </c>
      <c r="FE62" s="1">
        <v>171.80099999999999</v>
      </c>
      <c r="FF62" s="1">
        <v>171.31</v>
      </c>
      <c r="FG62" s="1">
        <v>219.31</v>
      </c>
      <c r="FH62" s="1">
        <v>275.27</v>
      </c>
      <c r="FI62" s="1">
        <v>67.355999999999995</v>
      </c>
      <c r="FJ62" s="1">
        <v>68.429999999999993</v>
      </c>
      <c r="FK62" s="1">
        <v>90.830000000000013</v>
      </c>
      <c r="FL62" s="1">
        <v>111.61</v>
      </c>
      <c r="FM62" s="1">
        <v>104.44499999999999</v>
      </c>
      <c r="FN62" s="1">
        <v>102.88</v>
      </c>
      <c r="FO62" s="1">
        <v>128.47999999999999</v>
      </c>
      <c r="FP62" s="1">
        <v>163.66</v>
      </c>
      <c r="FQ62" s="1">
        <v>0</v>
      </c>
      <c r="FR62" s="1">
        <v>0</v>
      </c>
      <c r="FS62" s="1">
        <v>0</v>
      </c>
      <c r="FT62" s="1">
        <v>0</v>
      </c>
      <c r="FU62" s="1">
        <v>0</v>
      </c>
      <c r="FV62" s="1">
        <v>0</v>
      </c>
      <c r="FW62" s="1">
        <v>0</v>
      </c>
      <c r="FX62" s="1">
        <v>0</v>
      </c>
      <c r="FY62" s="1">
        <v>0</v>
      </c>
      <c r="FZ62" s="1">
        <v>0</v>
      </c>
      <c r="GA62" s="1">
        <v>0</v>
      </c>
      <c r="GB62" s="1">
        <v>0</v>
      </c>
      <c r="GC62" s="1">
        <v>215.85</v>
      </c>
      <c r="GD62" s="1">
        <v>220.7</v>
      </c>
      <c r="GE62" s="1">
        <v>236.73</v>
      </c>
      <c r="GF62" s="1">
        <v>368.76</v>
      </c>
      <c r="GG62" s="1">
        <v>215.85</v>
      </c>
      <c r="GH62" s="1">
        <v>220.7</v>
      </c>
      <c r="GI62" s="1">
        <v>236.73</v>
      </c>
      <c r="GJ62" s="1">
        <v>368.76</v>
      </c>
      <c r="GK62" s="1">
        <v>0</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0</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597.44000000000005</v>
      </c>
      <c r="IP62" s="1">
        <v>581.56999999999994</v>
      </c>
      <c r="IQ62" s="1">
        <v>545.33999999999992</v>
      </c>
      <c r="IR62" s="1">
        <v>547.79</v>
      </c>
      <c r="IS62" s="1">
        <v>597.44000000000005</v>
      </c>
      <c r="IT62" s="1">
        <v>581.56999999999994</v>
      </c>
      <c r="IU62" s="1">
        <v>545.33999999999992</v>
      </c>
      <c r="IV62" s="1">
        <v>547.79</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0</v>
      </c>
      <c r="JO62" s="1">
        <v>0</v>
      </c>
      <c r="JP62" s="1">
        <v>0</v>
      </c>
      <c r="JQ62" s="9"/>
      <c r="JR62" s="1">
        <f t="shared" si="16"/>
        <v>2926.3302000000026</v>
      </c>
      <c r="JS62" s="1">
        <f t="shared" si="17"/>
        <v>2930.1290999999997</v>
      </c>
      <c r="JT62" s="1">
        <f t="shared" si="18"/>
        <v>2887.9793999999997</v>
      </c>
      <c r="JU62" s="1">
        <f t="shared" si="19"/>
        <v>2980.6298999999999</v>
      </c>
      <c r="JV62" s="1">
        <f t="shared" si="20"/>
        <v>541.91300000000047</v>
      </c>
      <c r="JW62" s="1">
        <f t="shared" si="21"/>
        <v>542.61649999999997</v>
      </c>
      <c r="JX62" s="1">
        <f t="shared" si="22"/>
        <v>534.81099999999992</v>
      </c>
      <c r="JY62" s="1">
        <f t="shared" si="23"/>
        <v>551.96849999999995</v>
      </c>
    </row>
    <row r="63" spans="1:285" x14ac:dyDescent="0.35">
      <c r="A63" s="2" t="s">
        <v>70</v>
      </c>
      <c r="B63" s="1">
        <v>392101</v>
      </c>
      <c r="C63" s="1">
        <v>390691</v>
      </c>
      <c r="D63" s="1">
        <v>393547</v>
      </c>
      <c r="E63" s="1">
        <v>402217</v>
      </c>
      <c r="F63" s="1">
        <v>331426.701</v>
      </c>
      <c r="G63" s="1">
        <v>393331.36899999989</v>
      </c>
      <c r="H63" s="1">
        <v>368403.49300000002</v>
      </c>
      <c r="I63" s="1">
        <v>380247.60600000003</v>
      </c>
      <c r="J63" s="1">
        <f t="shared" si="8"/>
        <v>100017.71500000001</v>
      </c>
      <c r="K63" s="1">
        <f t="shared" si="9"/>
        <v>70909.59599999999</v>
      </c>
      <c r="L63" s="1">
        <f t="shared" si="10"/>
        <v>65571.375000000015</v>
      </c>
      <c r="M63" s="1">
        <f t="shared" si="11"/>
        <v>77856.37</v>
      </c>
      <c r="N63" s="1">
        <f t="shared" si="24"/>
        <v>231408.98599999998</v>
      </c>
      <c r="O63" s="1">
        <f t="shared" si="24"/>
        <v>322421.77299999993</v>
      </c>
      <c r="P63" s="1">
        <f t="shared" si="24"/>
        <v>302832.11800000002</v>
      </c>
      <c r="Q63" s="1">
        <f t="shared" si="24"/>
        <v>302391.23600000003</v>
      </c>
      <c r="R63" s="1">
        <v>11009.77</v>
      </c>
      <c r="S63" s="1">
        <v>10601.3</v>
      </c>
      <c r="T63" s="1">
        <v>9111.34</v>
      </c>
      <c r="U63" s="1">
        <v>8876.59</v>
      </c>
      <c r="V63" s="1">
        <v>0</v>
      </c>
      <c r="W63" s="1">
        <v>0</v>
      </c>
      <c r="X63" s="1">
        <v>11009.77</v>
      </c>
      <c r="Y63" s="1">
        <v>0</v>
      </c>
      <c r="Z63" s="1">
        <v>0</v>
      </c>
      <c r="AA63" s="1">
        <v>10601.3</v>
      </c>
      <c r="AB63" s="1">
        <v>0</v>
      </c>
      <c r="AC63" s="1">
        <v>0</v>
      </c>
      <c r="AD63" s="1">
        <v>9111.34</v>
      </c>
      <c r="AE63" s="1">
        <v>0</v>
      </c>
      <c r="AF63" s="1">
        <v>0</v>
      </c>
      <c r="AG63" s="1">
        <v>8876.59</v>
      </c>
      <c r="AH63" s="1">
        <v>0</v>
      </c>
      <c r="AI63" s="1">
        <v>0</v>
      </c>
      <c r="AJ63" s="1">
        <v>0</v>
      </c>
      <c r="AK63" s="1">
        <v>0</v>
      </c>
      <c r="AL63" s="1">
        <v>0</v>
      </c>
      <c r="AM63" s="1">
        <v>0</v>
      </c>
      <c r="AN63" s="1">
        <v>0</v>
      </c>
      <c r="AO63" s="1">
        <v>0</v>
      </c>
      <c r="AP63" s="1">
        <v>11367.3</v>
      </c>
      <c r="AQ63" s="1">
        <v>12199.699999999999</v>
      </c>
      <c r="AR63" s="1">
        <v>10804.78</v>
      </c>
      <c r="AS63" s="1">
        <v>12058.99</v>
      </c>
      <c r="AT63" s="1">
        <v>0</v>
      </c>
      <c r="AU63" s="1">
        <v>0</v>
      </c>
      <c r="AV63" s="1">
        <v>0</v>
      </c>
      <c r="AW63" s="1">
        <v>0</v>
      </c>
      <c r="AX63" s="1">
        <v>0</v>
      </c>
      <c r="AY63" s="1">
        <v>12199.699999999999</v>
      </c>
      <c r="AZ63" s="1">
        <v>0</v>
      </c>
      <c r="BA63" s="1">
        <v>0</v>
      </c>
      <c r="BB63" s="1">
        <v>0</v>
      </c>
      <c r="BC63" s="1">
        <v>10804.78</v>
      </c>
      <c r="BD63" s="1">
        <v>0</v>
      </c>
      <c r="BE63" s="1">
        <v>0</v>
      </c>
      <c r="BF63" s="1">
        <v>12058.99</v>
      </c>
      <c r="BG63" s="1">
        <v>0</v>
      </c>
      <c r="BH63" s="1">
        <v>0</v>
      </c>
      <c r="BI63" s="1">
        <v>0</v>
      </c>
      <c r="BJ63" s="1">
        <v>0</v>
      </c>
      <c r="BK63" s="1">
        <v>0</v>
      </c>
      <c r="BL63" s="1">
        <v>0</v>
      </c>
      <c r="BM63" s="1">
        <v>0</v>
      </c>
      <c r="BN63" s="1">
        <v>0</v>
      </c>
      <c r="BO63" s="1">
        <v>0</v>
      </c>
      <c r="BP63" s="1">
        <v>0</v>
      </c>
      <c r="BQ63" s="1">
        <v>0</v>
      </c>
      <c r="BR63" s="1">
        <v>0</v>
      </c>
      <c r="BS63" s="1">
        <v>0</v>
      </c>
      <c r="BT63" s="1">
        <v>0</v>
      </c>
      <c r="BU63" s="1">
        <v>23622.59</v>
      </c>
      <c r="BV63" s="1">
        <v>20446.191999999999</v>
      </c>
      <c r="BW63" s="1">
        <v>16728.327000000001</v>
      </c>
      <c r="BX63" s="1">
        <v>25541.936000000002</v>
      </c>
      <c r="BY63" s="1">
        <v>23622.240000000002</v>
      </c>
      <c r="BZ63" s="1">
        <v>20319.034</v>
      </c>
      <c r="CA63" s="1">
        <v>16657.651999999998</v>
      </c>
      <c r="CB63" s="1">
        <v>25475.014999999999</v>
      </c>
      <c r="CC63" s="1">
        <v>0.35</v>
      </c>
      <c r="CD63" s="1">
        <v>127.158</v>
      </c>
      <c r="CE63" s="1">
        <v>70.674999999999997</v>
      </c>
      <c r="CF63" s="1">
        <v>66.920999999999992</v>
      </c>
      <c r="CG63" s="1">
        <v>0</v>
      </c>
      <c r="CH63" s="1">
        <v>0</v>
      </c>
      <c r="CI63" s="1">
        <v>0</v>
      </c>
      <c r="CJ63" s="1">
        <v>0</v>
      </c>
      <c r="CK63" s="1">
        <v>0</v>
      </c>
      <c r="CL63" s="1">
        <v>0</v>
      </c>
      <c r="CM63" s="1">
        <v>0</v>
      </c>
      <c r="CN63" s="1">
        <v>0</v>
      </c>
      <c r="CO63" s="1">
        <v>0</v>
      </c>
      <c r="CP63" s="1">
        <v>0</v>
      </c>
      <c r="CQ63" s="1">
        <v>0</v>
      </c>
      <c r="CR63" s="1">
        <v>0</v>
      </c>
      <c r="CS63" s="1">
        <v>3548.2809999999999</v>
      </c>
      <c r="CT63" s="1">
        <v>2887.0740000000001</v>
      </c>
      <c r="CU63" s="1">
        <v>2403.41</v>
      </c>
      <c r="CV63" s="1">
        <v>2358.5100000000002</v>
      </c>
      <c r="CW63" s="1">
        <v>3548.2809999999999</v>
      </c>
      <c r="CX63" s="1">
        <v>2887.0740000000001</v>
      </c>
      <c r="CY63" s="1">
        <v>2403.41</v>
      </c>
      <c r="CZ63" s="1">
        <v>2358.5100000000002</v>
      </c>
      <c r="DA63" s="1">
        <v>0</v>
      </c>
      <c r="DB63" s="1">
        <v>0</v>
      </c>
      <c r="DC63" s="1">
        <v>0</v>
      </c>
      <c r="DD63" s="1">
        <v>0</v>
      </c>
      <c r="DE63" s="1">
        <v>0</v>
      </c>
      <c r="DF63" s="1">
        <v>0</v>
      </c>
      <c r="DG63" s="1">
        <v>0</v>
      </c>
      <c r="DH63" s="1">
        <v>0</v>
      </c>
      <c r="DI63" s="1">
        <v>0</v>
      </c>
      <c r="DJ63" s="1">
        <v>0</v>
      </c>
      <c r="DK63" s="1">
        <v>0</v>
      </c>
      <c r="DL63" s="1">
        <v>0</v>
      </c>
      <c r="DM63" s="1">
        <v>16681.371999999999</v>
      </c>
      <c r="DN63" s="1">
        <v>11190.183999999999</v>
      </c>
      <c r="DO63" s="1">
        <v>11327.421</v>
      </c>
      <c r="DP63" s="1">
        <v>15487.127</v>
      </c>
      <c r="DQ63" s="1">
        <v>16681.371999999999</v>
      </c>
      <c r="DR63" s="1">
        <v>11190.183999999999</v>
      </c>
      <c r="DS63" s="1">
        <v>11327.421</v>
      </c>
      <c r="DT63" s="1">
        <v>15487.127</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23051.948</v>
      </c>
      <c r="EL63" s="1">
        <v>3306.9569999999999</v>
      </c>
      <c r="EM63" s="1">
        <v>2601.5500000000002</v>
      </c>
      <c r="EN63" s="1">
        <v>2616.5549999999998</v>
      </c>
      <c r="EO63" s="1">
        <v>23051.948</v>
      </c>
      <c r="EP63" s="1">
        <v>3306.9569999999999</v>
      </c>
      <c r="EQ63" s="1">
        <v>2601.5500000000002</v>
      </c>
      <c r="ER63" s="1">
        <v>2616.5549999999998</v>
      </c>
      <c r="ES63" s="1">
        <v>0</v>
      </c>
      <c r="ET63" s="1">
        <v>0</v>
      </c>
      <c r="EU63" s="1">
        <v>0</v>
      </c>
      <c r="EV63" s="1">
        <v>0</v>
      </c>
      <c r="EW63" s="1">
        <v>0</v>
      </c>
      <c r="EX63" s="1">
        <v>0</v>
      </c>
      <c r="EY63" s="1">
        <v>0</v>
      </c>
      <c r="EZ63" s="1">
        <v>0</v>
      </c>
      <c r="FA63" s="1">
        <v>0</v>
      </c>
      <c r="FB63" s="1">
        <v>0</v>
      </c>
      <c r="FC63" s="1">
        <v>0</v>
      </c>
      <c r="FD63" s="1">
        <v>0</v>
      </c>
      <c r="FE63" s="1">
        <v>608.577</v>
      </c>
      <c r="FF63" s="1">
        <v>668.76900000000001</v>
      </c>
      <c r="FG63" s="1">
        <v>537.65300000000002</v>
      </c>
      <c r="FH63" s="1">
        <v>442.28</v>
      </c>
      <c r="FI63" s="1">
        <v>608.577</v>
      </c>
      <c r="FJ63" s="1">
        <v>668.76900000000001</v>
      </c>
      <c r="FK63" s="1">
        <v>537.65300000000002</v>
      </c>
      <c r="FL63" s="1">
        <v>442.28</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1815.4110000000001</v>
      </c>
      <c r="GD63" s="1">
        <v>1696.8710000000001</v>
      </c>
      <c r="GE63" s="1">
        <v>1526.1510000000001</v>
      </c>
      <c r="GF63" s="1">
        <v>1553.252</v>
      </c>
      <c r="GG63" s="1">
        <v>1815.4110000000001</v>
      </c>
      <c r="GH63" s="1">
        <v>1696.8710000000001</v>
      </c>
      <c r="GI63" s="1">
        <v>1526.1510000000001</v>
      </c>
      <c r="GJ63" s="1">
        <v>1553.252</v>
      </c>
      <c r="GK63" s="1">
        <v>0</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4506.55</v>
      </c>
      <c r="HF63" s="1">
        <v>7070.61</v>
      </c>
      <c r="HG63" s="1">
        <v>8651.8820000000014</v>
      </c>
      <c r="HH63" s="1">
        <v>8294.9700000000012</v>
      </c>
      <c r="HI63" s="1">
        <v>4506.55</v>
      </c>
      <c r="HJ63" s="1">
        <v>6568.77</v>
      </c>
      <c r="HK63" s="1">
        <v>7291.1319999999996</v>
      </c>
      <c r="HL63" s="1">
        <v>8161.54</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501.84</v>
      </c>
      <c r="IE63" s="1">
        <v>1360.75</v>
      </c>
      <c r="IF63" s="1">
        <v>133.43</v>
      </c>
      <c r="IG63" s="1">
        <v>0</v>
      </c>
      <c r="IH63" s="1">
        <v>0</v>
      </c>
      <c r="II63" s="1">
        <v>0</v>
      </c>
      <c r="IJ63" s="1">
        <v>0</v>
      </c>
      <c r="IK63" s="1">
        <v>0</v>
      </c>
      <c r="IL63" s="1">
        <v>0</v>
      </c>
      <c r="IM63" s="1">
        <v>0</v>
      </c>
      <c r="IN63" s="1">
        <v>0</v>
      </c>
      <c r="IO63" s="1">
        <v>3805.9160000000002</v>
      </c>
      <c r="IP63" s="1">
        <v>841.93899999999996</v>
      </c>
      <c r="IQ63" s="1">
        <v>1878.8610000000001</v>
      </c>
      <c r="IR63" s="1">
        <v>626.16</v>
      </c>
      <c r="IS63" s="1">
        <v>3648.89</v>
      </c>
      <c r="IT63" s="1">
        <v>755.7</v>
      </c>
      <c r="IU63" s="1">
        <v>1738.3440000000001</v>
      </c>
      <c r="IV63" s="1">
        <v>489.74400000000003</v>
      </c>
      <c r="IW63" s="1">
        <v>156.626</v>
      </c>
      <c r="IX63" s="1">
        <v>86.239000000000004</v>
      </c>
      <c r="IY63" s="1">
        <v>140.517</v>
      </c>
      <c r="IZ63" s="1">
        <v>136.416</v>
      </c>
      <c r="JA63" s="1">
        <v>0</v>
      </c>
      <c r="JB63" s="1">
        <v>0</v>
      </c>
      <c r="JC63" s="1">
        <v>0</v>
      </c>
      <c r="JD63" s="1">
        <v>0</v>
      </c>
      <c r="JE63" s="1">
        <v>0</v>
      </c>
      <c r="JF63" s="1">
        <v>0</v>
      </c>
      <c r="JG63" s="1">
        <v>0</v>
      </c>
      <c r="JH63" s="1">
        <v>0</v>
      </c>
      <c r="JI63" s="1">
        <v>0</v>
      </c>
      <c r="JJ63" s="1">
        <v>0</v>
      </c>
      <c r="JK63" s="1">
        <v>0</v>
      </c>
      <c r="JL63" s="1">
        <v>0</v>
      </c>
      <c r="JM63" s="1">
        <v>0.4</v>
      </c>
      <c r="JN63" s="1">
        <v>0</v>
      </c>
      <c r="JO63" s="1">
        <v>0</v>
      </c>
      <c r="JP63" s="1">
        <v>0</v>
      </c>
      <c r="JQ63" s="9"/>
      <c r="JR63" s="1">
        <f t="shared" si="16"/>
        <v>62480.426219999994</v>
      </c>
      <c r="JS63" s="1">
        <f t="shared" si="17"/>
        <v>87053.87870999999</v>
      </c>
      <c r="JT63" s="1">
        <f t="shared" si="18"/>
        <v>81764.671860000017</v>
      </c>
      <c r="JU63" s="1">
        <f t="shared" si="19"/>
        <v>81645.633720000013</v>
      </c>
      <c r="JV63" s="1">
        <f t="shared" si="20"/>
        <v>11570.4493</v>
      </c>
      <c r="JW63" s="1">
        <f t="shared" si="21"/>
        <v>16121.088649999998</v>
      </c>
      <c r="JX63" s="1">
        <f t="shared" si="22"/>
        <v>15141.605900000002</v>
      </c>
      <c r="JY63" s="1">
        <f t="shared" si="23"/>
        <v>15119.561800000003</v>
      </c>
    </row>
    <row r="64" spans="1:285" s="5" customFormat="1" x14ac:dyDescent="0.35">
      <c r="A64" s="3" t="s">
        <v>71</v>
      </c>
      <c r="B64" s="4">
        <v>272444</v>
      </c>
      <c r="C64" s="4">
        <v>273788</v>
      </c>
      <c r="D64" s="4">
        <v>275445</v>
      </c>
      <c r="E64" s="4">
        <v>278070</v>
      </c>
      <c r="F64" s="4">
        <v>518108.424</v>
      </c>
      <c r="G64" s="4">
        <v>529993.08299999998</v>
      </c>
      <c r="H64" s="4">
        <v>502620.50200000004</v>
      </c>
      <c r="I64" s="4">
        <v>352208.04000000004</v>
      </c>
      <c r="J64" s="4">
        <f t="shared" si="8"/>
        <v>93462.917999999976</v>
      </c>
      <c r="K64" s="4">
        <f t="shared" si="9"/>
        <v>103022.16100000001</v>
      </c>
      <c r="L64" s="4">
        <f t="shared" si="10"/>
        <v>95874.062000000005</v>
      </c>
      <c r="M64" s="4">
        <f t="shared" si="11"/>
        <v>80097.308000000005</v>
      </c>
      <c r="N64" s="4">
        <f t="shared" si="24"/>
        <v>424645.50600000005</v>
      </c>
      <c r="O64" s="4">
        <f t="shared" si="24"/>
        <v>426970.92199999996</v>
      </c>
      <c r="P64" s="4">
        <f t="shared" si="24"/>
        <v>406746.44000000006</v>
      </c>
      <c r="Q64" s="4">
        <f t="shared" si="24"/>
        <v>272110.73200000002</v>
      </c>
      <c r="R64" s="4">
        <v>0</v>
      </c>
      <c r="S64" s="4">
        <v>0</v>
      </c>
      <c r="T64" s="4">
        <v>0</v>
      </c>
      <c r="U64" s="4">
        <v>0</v>
      </c>
      <c r="V64" s="4">
        <v>0</v>
      </c>
      <c r="W64" s="4">
        <v>0</v>
      </c>
      <c r="X64" s="4">
        <v>0</v>
      </c>
      <c r="Y64" s="4">
        <v>0</v>
      </c>
      <c r="Z64" s="4">
        <v>0</v>
      </c>
      <c r="AA64" s="4">
        <v>0</v>
      </c>
      <c r="AB64" s="4">
        <v>0</v>
      </c>
      <c r="AC64" s="4">
        <v>0</v>
      </c>
      <c r="AD64" s="4">
        <v>0</v>
      </c>
      <c r="AE64" s="4">
        <v>0</v>
      </c>
      <c r="AF64" s="4">
        <v>0</v>
      </c>
      <c r="AG64" s="4">
        <v>0</v>
      </c>
      <c r="AH64" s="4">
        <v>0</v>
      </c>
      <c r="AI64" s="4">
        <v>0</v>
      </c>
      <c r="AJ64" s="4">
        <v>0</v>
      </c>
      <c r="AK64" s="4">
        <v>0</v>
      </c>
      <c r="AL64" s="4">
        <v>0</v>
      </c>
      <c r="AM64" s="4">
        <v>0</v>
      </c>
      <c r="AN64" s="4">
        <v>0</v>
      </c>
      <c r="AO64" s="4">
        <v>0</v>
      </c>
      <c r="AP64" s="4">
        <v>23464.3</v>
      </c>
      <c r="AQ64" s="4">
        <v>25013.126999999997</v>
      </c>
      <c r="AR64" s="4">
        <v>21483.11</v>
      </c>
      <c r="AS64" s="4">
        <v>21395.91</v>
      </c>
      <c r="AT64" s="4">
        <v>0</v>
      </c>
      <c r="AU64" s="4">
        <v>23464.3</v>
      </c>
      <c r="AV64" s="4">
        <v>0</v>
      </c>
      <c r="AW64" s="4">
        <v>0</v>
      </c>
      <c r="AX64" s="4">
        <v>0</v>
      </c>
      <c r="AY64" s="4">
        <v>25013.127</v>
      </c>
      <c r="AZ64" s="4">
        <v>0</v>
      </c>
      <c r="BA64" s="4">
        <v>0</v>
      </c>
      <c r="BB64" s="4">
        <v>0</v>
      </c>
      <c r="BC64" s="4">
        <v>21483.11</v>
      </c>
      <c r="BD64" s="4">
        <v>0</v>
      </c>
      <c r="BE64" s="4">
        <v>0</v>
      </c>
      <c r="BF64" s="4">
        <v>21395.91</v>
      </c>
      <c r="BG64" s="4">
        <v>0</v>
      </c>
      <c r="BH64" s="4">
        <v>0</v>
      </c>
      <c r="BI64" s="4">
        <v>0</v>
      </c>
      <c r="BJ64" s="4">
        <v>0</v>
      </c>
      <c r="BK64" s="4">
        <v>0</v>
      </c>
      <c r="BL64" s="4">
        <v>0</v>
      </c>
      <c r="BM64" s="4">
        <v>0</v>
      </c>
      <c r="BN64" s="4">
        <v>0</v>
      </c>
      <c r="BO64" s="4">
        <v>0</v>
      </c>
      <c r="BP64" s="4">
        <v>0</v>
      </c>
      <c r="BQ64" s="4">
        <v>0</v>
      </c>
      <c r="BR64" s="4">
        <v>0</v>
      </c>
      <c r="BS64" s="4">
        <v>0</v>
      </c>
      <c r="BT64" s="4">
        <v>0</v>
      </c>
      <c r="BU64" s="4">
        <v>16232.380999999999</v>
      </c>
      <c r="BV64" s="4">
        <v>18199.429</v>
      </c>
      <c r="BW64" s="4">
        <v>18605.391</v>
      </c>
      <c r="BX64" s="4">
        <v>17247.059999999998</v>
      </c>
      <c r="BY64" s="4">
        <v>16201.343000000001</v>
      </c>
      <c r="BZ64" s="4">
        <v>18180.929</v>
      </c>
      <c r="CA64" s="4">
        <v>18585.492999999999</v>
      </c>
      <c r="CB64" s="4">
        <v>17230.07</v>
      </c>
      <c r="CC64" s="4">
        <v>31.038</v>
      </c>
      <c r="CD64" s="4">
        <v>18.5</v>
      </c>
      <c r="CE64" s="4">
        <v>19.898</v>
      </c>
      <c r="CF64" s="4">
        <v>16.989999999999998</v>
      </c>
      <c r="CG64" s="4">
        <v>0</v>
      </c>
      <c r="CH64" s="4">
        <v>0</v>
      </c>
      <c r="CI64" s="4">
        <v>0</v>
      </c>
      <c r="CJ64" s="4">
        <v>0</v>
      </c>
      <c r="CK64" s="4">
        <v>0</v>
      </c>
      <c r="CL64" s="4">
        <v>0</v>
      </c>
      <c r="CM64" s="4">
        <v>0</v>
      </c>
      <c r="CN64" s="4">
        <v>0</v>
      </c>
      <c r="CO64" s="4">
        <v>0</v>
      </c>
      <c r="CP64" s="4">
        <v>0</v>
      </c>
      <c r="CQ64" s="4">
        <v>0</v>
      </c>
      <c r="CR64" s="4">
        <v>0</v>
      </c>
      <c r="CS64" s="4">
        <v>4346.4009999999998</v>
      </c>
      <c r="CT64" s="4">
        <v>5001.8829999999998</v>
      </c>
      <c r="CU64" s="4">
        <v>4209.3890000000001</v>
      </c>
      <c r="CV64" s="4">
        <v>2882.1629999999996</v>
      </c>
      <c r="CW64" s="4">
        <v>4346.4009999999998</v>
      </c>
      <c r="CX64" s="4">
        <v>5001.8829999999998</v>
      </c>
      <c r="CY64" s="4">
        <v>4209.3890000000001</v>
      </c>
      <c r="CZ64" s="4">
        <v>2882.1629999999996</v>
      </c>
      <c r="DA64" s="4">
        <v>0</v>
      </c>
      <c r="DB64" s="4">
        <v>0</v>
      </c>
      <c r="DC64" s="4">
        <v>0</v>
      </c>
      <c r="DD64" s="4">
        <v>0</v>
      </c>
      <c r="DE64" s="4">
        <v>0</v>
      </c>
      <c r="DF64" s="4">
        <v>0</v>
      </c>
      <c r="DG64" s="4">
        <v>0</v>
      </c>
      <c r="DH64" s="4">
        <v>0</v>
      </c>
      <c r="DI64" s="4">
        <v>0</v>
      </c>
      <c r="DJ64" s="4">
        <v>0</v>
      </c>
      <c r="DK64" s="4">
        <v>0</v>
      </c>
      <c r="DL64" s="4">
        <v>0</v>
      </c>
      <c r="DM64" s="4">
        <v>8898.7160000000003</v>
      </c>
      <c r="DN64" s="4">
        <v>8847.1</v>
      </c>
      <c r="DO64" s="4">
        <v>8118.8239999999996</v>
      </c>
      <c r="DP64" s="4">
        <v>7416.567</v>
      </c>
      <c r="DQ64" s="4">
        <v>8898.7160000000003</v>
      </c>
      <c r="DR64" s="4">
        <v>8847.1</v>
      </c>
      <c r="DS64" s="4">
        <v>8118.8239999999996</v>
      </c>
      <c r="DT64" s="4">
        <v>7416.567</v>
      </c>
      <c r="DU64" s="4">
        <v>0</v>
      </c>
      <c r="DV64" s="4">
        <v>0</v>
      </c>
      <c r="DW64" s="4">
        <v>0</v>
      </c>
      <c r="DX64" s="4">
        <v>0</v>
      </c>
      <c r="DY64" s="4">
        <v>0</v>
      </c>
      <c r="DZ64" s="4">
        <v>0</v>
      </c>
      <c r="EA64" s="4">
        <v>0</v>
      </c>
      <c r="EB64" s="4">
        <v>0</v>
      </c>
      <c r="EC64" s="4">
        <v>0</v>
      </c>
      <c r="ED64" s="4">
        <v>0</v>
      </c>
      <c r="EE64" s="4">
        <v>0</v>
      </c>
      <c r="EF64" s="4">
        <v>0</v>
      </c>
      <c r="EG64" s="4">
        <v>0</v>
      </c>
      <c r="EH64" s="4">
        <v>0</v>
      </c>
      <c r="EI64" s="4">
        <v>0</v>
      </c>
      <c r="EJ64" s="4">
        <v>0</v>
      </c>
      <c r="EK64" s="4">
        <v>8198.83</v>
      </c>
      <c r="EL64" s="4">
        <v>8748.8649999999998</v>
      </c>
      <c r="EM64" s="4">
        <v>10502.666999999999</v>
      </c>
      <c r="EN64" s="4">
        <v>7465.2759999999998</v>
      </c>
      <c r="EO64" s="4">
        <v>8098.2849999999999</v>
      </c>
      <c r="EP64" s="4">
        <v>8699.862000000001</v>
      </c>
      <c r="EQ64" s="4">
        <v>9922.8159999999989</v>
      </c>
      <c r="ER64" s="4">
        <v>7428.973</v>
      </c>
      <c r="ES64" s="4">
        <v>39.805</v>
      </c>
      <c r="ET64" s="4">
        <v>49.003</v>
      </c>
      <c r="EU64" s="4">
        <v>55.121000000000002</v>
      </c>
      <c r="EV64" s="4">
        <v>36.302999999999997</v>
      </c>
      <c r="EW64" s="4">
        <v>0</v>
      </c>
      <c r="EX64" s="4">
        <v>0</v>
      </c>
      <c r="EY64" s="4">
        <v>0</v>
      </c>
      <c r="EZ64" s="4">
        <v>0</v>
      </c>
      <c r="FA64" s="4">
        <v>60.74</v>
      </c>
      <c r="FB64" s="4">
        <v>0</v>
      </c>
      <c r="FC64" s="4">
        <v>524.73</v>
      </c>
      <c r="FD64" s="4">
        <v>0</v>
      </c>
      <c r="FE64" s="4">
        <v>327.33499999999998</v>
      </c>
      <c r="FF64" s="4">
        <v>273.13200000000001</v>
      </c>
      <c r="FG64" s="4">
        <v>311.28699999999998</v>
      </c>
      <c r="FH64" s="4">
        <v>220.63300000000001</v>
      </c>
      <c r="FI64" s="4">
        <v>44.642000000000003</v>
      </c>
      <c r="FJ64" s="4">
        <v>13.81</v>
      </c>
      <c r="FK64" s="4">
        <v>14.45</v>
      </c>
      <c r="FL64" s="4">
        <v>21.4</v>
      </c>
      <c r="FM64" s="4">
        <v>282.69299999999998</v>
      </c>
      <c r="FN64" s="4">
        <v>259.322</v>
      </c>
      <c r="FO64" s="4">
        <v>296.83699999999999</v>
      </c>
      <c r="FP64" s="4">
        <v>82.073000000000008</v>
      </c>
      <c r="FQ64" s="4">
        <v>0</v>
      </c>
      <c r="FR64" s="4">
        <v>0</v>
      </c>
      <c r="FS64" s="4">
        <v>0</v>
      </c>
      <c r="FT64" s="4">
        <v>0</v>
      </c>
      <c r="FU64" s="4">
        <v>0</v>
      </c>
      <c r="FV64" s="4">
        <v>0</v>
      </c>
      <c r="FW64" s="4">
        <v>0</v>
      </c>
      <c r="FX64" s="4">
        <v>0</v>
      </c>
      <c r="FY64" s="4">
        <v>0</v>
      </c>
      <c r="FZ64" s="4">
        <v>0</v>
      </c>
      <c r="GA64" s="4">
        <v>0</v>
      </c>
      <c r="GB64" s="4">
        <v>0</v>
      </c>
      <c r="GC64" s="4">
        <v>5610.4809999999998</v>
      </c>
      <c r="GD64" s="4">
        <v>6431.63</v>
      </c>
      <c r="GE64" s="4">
        <v>4576.3670000000002</v>
      </c>
      <c r="GF64" s="4">
        <v>6554.15</v>
      </c>
      <c r="GG64" s="4">
        <v>5036.7969999999996</v>
      </c>
      <c r="GH64" s="4">
        <v>6000.7839999999997</v>
      </c>
      <c r="GI64" s="4">
        <v>4346.3599999999997</v>
      </c>
      <c r="GJ64" s="4">
        <v>6249.19</v>
      </c>
      <c r="GK64" s="4">
        <v>561.774</v>
      </c>
      <c r="GL64" s="4">
        <v>430.846</v>
      </c>
      <c r="GM64" s="4">
        <v>230.00700000000001</v>
      </c>
      <c r="GN64" s="4">
        <v>304.95999999999998</v>
      </c>
      <c r="GO64" s="4">
        <v>0</v>
      </c>
      <c r="GP64" s="4">
        <v>0</v>
      </c>
      <c r="GQ64" s="4">
        <v>0</v>
      </c>
      <c r="GR64" s="4">
        <v>0</v>
      </c>
      <c r="GS64" s="4">
        <v>0</v>
      </c>
      <c r="GT64" s="4">
        <v>0</v>
      </c>
      <c r="GU64" s="4">
        <v>0</v>
      </c>
      <c r="GV64" s="4">
        <v>0</v>
      </c>
      <c r="GW64" s="4">
        <v>0</v>
      </c>
      <c r="GX64" s="4">
        <v>0</v>
      </c>
      <c r="GY64" s="4">
        <v>0</v>
      </c>
      <c r="GZ64" s="4">
        <v>0</v>
      </c>
      <c r="HA64" s="4">
        <v>11.91</v>
      </c>
      <c r="HB64" s="4">
        <v>0</v>
      </c>
      <c r="HC64" s="4">
        <v>0</v>
      </c>
      <c r="HD64" s="4">
        <v>0</v>
      </c>
      <c r="HE64" s="4">
        <v>14470.324000000001</v>
      </c>
      <c r="HF64" s="4">
        <v>17542.255000000001</v>
      </c>
      <c r="HG64" s="4">
        <v>17908.826000000001</v>
      </c>
      <c r="HH64" s="4">
        <v>8376.4130000000005</v>
      </c>
      <c r="HI64" s="4">
        <v>8728.5360000000001</v>
      </c>
      <c r="HJ64" s="4">
        <v>12645.1</v>
      </c>
      <c r="HK64" s="4">
        <v>16910.655999999999</v>
      </c>
      <c r="HL64" s="4">
        <v>8376.4130000000005</v>
      </c>
      <c r="HM64" s="4">
        <v>0</v>
      </c>
      <c r="HN64" s="4">
        <v>0</v>
      </c>
      <c r="HO64" s="4">
        <v>0</v>
      </c>
      <c r="HP64" s="4">
        <v>0</v>
      </c>
      <c r="HQ64" s="4">
        <v>0</v>
      </c>
      <c r="HR64" s="4">
        <v>0</v>
      </c>
      <c r="HS64" s="4">
        <v>0</v>
      </c>
      <c r="HT64" s="4">
        <v>0</v>
      </c>
      <c r="HU64" s="4">
        <v>0</v>
      </c>
      <c r="HV64" s="4">
        <v>0</v>
      </c>
      <c r="HW64" s="4">
        <v>0</v>
      </c>
      <c r="HX64" s="4">
        <v>0</v>
      </c>
      <c r="HY64" s="4">
        <v>0</v>
      </c>
      <c r="HZ64" s="4">
        <v>0</v>
      </c>
      <c r="IA64" s="4">
        <v>0</v>
      </c>
      <c r="IB64" s="4">
        <v>0</v>
      </c>
      <c r="IC64" s="4">
        <v>5721.3710000000001</v>
      </c>
      <c r="ID64" s="4">
        <v>4897.1550000000007</v>
      </c>
      <c r="IE64" s="4">
        <v>998.17</v>
      </c>
      <c r="IF64" s="4">
        <v>0</v>
      </c>
      <c r="IG64" s="4">
        <v>0</v>
      </c>
      <c r="IH64" s="4">
        <v>0</v>
      </c>
      <c r="II64" s="4">
        <v>0</v>
      </c>
      <c r="IJ64" s="4">
        <v>0</v>
      </c>
      <c r="IK64" s="4">
        <v>20.417000000000002</v>
      </c>
      <c r="IL64" s="4">
        <v>0</v>
      </c>
      <c r="IM64" s="4">
        <v>0</v>
      </c>
      <c r="IN64" s="4">
        <v>0</v>
      </c>
      <c r="IO64" s="4">
        <v>11914.15</v>
      </c>
      <c r="IP64" s="4">
        <v>12964.74</v>
      </c>
      <c r="IQ64" s="4">
        <v>10158.200999999999</v>
      </c>
      <c r="IR64" s="4">
        <v>8539.1359999999986</v>
      </c>
      <c r="IS64" s="4">
        <v>11914.15</v>
      </c>
      <c r="IT64" s="4">
        <v>12964.74</v>
      </c>
      <c r="IU64" s="4">
        <v>10151.99</v>
      </c>
      <c r="IV64" s="4">
        <v>8536.9760000000006</v>
      </c>
      <c r="IW64" s="4">
        <v>0</v>
      </c>
      <c r="IX64" s="4">
        <v>0</v>
      </c>
      <c r="IY64" s="4">
        <v>6.2110000000000003</v>
      </c>
      <c r="IZ64" s="4">
        <v>2.16</v>
      </c>
      <c r="JA64" s="4">
        <v>0</v>
      </c>
      <c r="JB64" s="4">
        <v>0</v>
      </c>
      <c r="JC64" s="4">
        <v>0</v>
      </c>
      <c r="JD64" s="4">
        <v>0</v>
      </c>
      <c r="JE64" s="4">
        <v>0</v>
      </c>
      <c r="JF64" s="4">
        <v>0</v>
      </c>
      <c r="JG64" s="4">
        <v>0</v>
      </c>
      <c r="JH64" s="4">
        <v>0</v>
      </c>
      <c r="JI64" s="4">
        <v>0</v>
      </c>
      <c r="JJ64" s="4">
        <v>0</v>
      </c>
      <c r="JK64" s="4">
        <v>0</v>
      </c>
      <c r="JL64" s="4">
        <v>0</v>
      </c>
      <c r="JM64" s="4">
        <v>0</v>
      </c>
      <c r="JN64" s="4">
        <v>0</v>
      </c>
      <c r="JO64" s="4">
        <v>0</v>
      </c>
      <c r="JP64" s="4">
        <v>0</v>
      </c>
      <c r="JQ64" s="9"/>
      <c r="JR64" s="4">
        <f t="shared" si="16"/>
        <v>114654.28662000003</v>
      </c>
      <c r="JS64" s="4">
        <f t="shared" si="17"/>
        <v>115282.14894</v>
      </c>
      <c r="JT64" s="4">
        <f t="shared" si="18"/>
        <v>109821.53880000002</v>
      </c>
      <c r="JU64" s="4">
        <f t="shared" si="19"/>
        <v>73469.89764000001</v>
      </c>
      <c r="JV64" s="4">
        <f t="shared" si="20"/>
        <v>21232.275300000005</v>
      </c>
      <c r="JW64" s="4">
        <f t="shared" si="21"/>
        <v>21348.5461</v>
      </c>
      <c r="JX64" s="4">
        <f t="shared" si="22"/>
        <v>20337.322000000004</v>
      </c>
      <c r="JY64" s="4">
        <f t="shared" si="23"/>
        <v>13605.536600000001</v>
      </c>
    </row>
    <row r="65" spans="1:285" x14ac:dyDescent="0.35">
      <c r="A65" s="2" t="s">
        <v>72</v>
      </c>
      <c r="B65" s="1">
        <v>154815</v>
      </c>
      <c r="C65" s="1">
        <v>155211</v>
      </c>
      <c r="D65" s="1">
        <v>156299</v>
      </c>
      <c r="E65" s="1">
        <v>158754</v>
      </c>
      <c r="F65" s="1">
        <v>79629.255999999994</v>
      </c>
      <c r="G65" s="1">
        <v>67059.501999999993</v>
      </c>
      <c r="H65" s="1">
        <v>60321.962</v>
      </c>
      <c r="I65" s="1">
        <v>58218.351999999999</v>
      </c>
      <c r="J65" s="1">
        <f t="shared" si="8"/>
        <v>45722.425999999999</v>
      </c>
      <c r="K65" s="1">
        <f t="shared" si="9"/>
        <v>45190.631999999998</v>
      </c>
      <c r="L65" s="1">
        <f t="shared" si="10"/>
        <v>40341.702000000005</v>
      </c>
      <c r="M65" s="1">
        <f t="shared" si="11"/>
        <v>38989.381999999998</v>
      </c>
      <c r="N65" s="1">
        <f t="shared" si="12"/>
        <v>33906.829999999994</v>
      </c>
      <c r="O65" s="1">
        <f t="shared" si="13"/>
        <v>21868.869999999995</v>
      </c>
      <c r="P65" s="1">
        <f t="shared" si="14"/>
        <v>19980.259999999995</v>
      </c>
      <c r="Q65" s="1">
        <f t="shared" si="15"/>
        <v>19228.97</v>
      </c>
      <c r="R65" s="1">
        <v>5462.74</v>
      </c>
      <c r="S65" s="1">
        <v>5437.42</v>
      </c>
      <c r="T65" s="1">
        <v>4957.1000000000004</v>
      </c>
      <c r="U65" s="1">
        <v>4845.2199999999993</v>
      </c>
      <c r="V65" s="1">
        <v>0</v>
      </c>
      <c r="W65" s="1">
        <v>0</v>
      </c>
      <c r="X65" s="1">
        <v>5462.74</v>
      </c>
      <c r="Y65" s="1">
        <v>0</v>
      </c>
      <c r="Z65" s="1">
        <v>0</v>
      </c>
      <c r="AA65" s="1">
        <v>5437.42</v>
      </c>
      <c r="AB65" s="1">
        <v>0</v>
      </c>
      <c r="AC65" s="1">
        <v>0</v>
      </c>
      <c r="AD65" s="1">
        <v>4957.1000000000004</v>
      </c>
      <c r="AE65" s="1">
        <v>0</v>
      </c>
      <c r="AF65" s="1">
        <v>0</v>
      </c>
      <c r="AG65" s="1">
        <v>4845.2199999999993</v>
      </c>
      <c r="AH65" s="1">
        <v>0</v>
      </c>
      <c r="AI65" s="1">
        <v>0</v>
      </c>
      <c r="AJ65" s="1">
        <v>0</v>
      </c>
      <c r="AK65" s="1">
        <v>0</v>
      </c>
      <c r="AL65" s="1">
        <v>0</v>
      </c>
      <c r="AM65" s="1">
        <v>0</v>
      </c>
      <c r="AN65" s="1">
        <v>0</v>
      </c>
      <c r="AO65" s="1">
        <v>0</v>
      </c>
      <c r="AP65" s="1">
        <v>11676.66</v>
      </c>
      <c r="AQ65" s="1">
        <v>11216.73</v>
      </c>
      <c r="AR65" s="1">
        <v>9522.52</v>
      </c>
      <c r="AS65" s="1">
        <v>9177.869999999999</v>
      </c>
      <c r="AT65" s="1">
        <v>0</v>
      </c>
      <c r="AU65" s="1">
        <v>11676.66</v>
      </c>
      <c r="AV65" s="1">
        <v>0</v>
      </c>
      <c r="AW65" s="1">
        <v>0</v>
      </c>
      <c r="AX65" s="1">
        <v>0</v>
      </c>
      <c r="AY65" s="1">
        <v>11216.73</v>
      </c>
      <c r="AZ65" s="1">
        <v>0</v>
      </c>
      <c r="BA65" s="1">
        <v>0</v>
      </c>
      <c r="BB65" s="1">
        <v>0</v>
      </c>
      <c r="BC65" s="1">
        <v>9522.52</v>
      </c>
      <c r="BD65" s="1">
        <v>0</v>
      </c>
      <c r="BE65" s="1">
        <v>0</v>
      </c>
      <c r="BF65" s="1">
        <v>9177.869999999999</v>
      </c>
      <c r="BG65" s="1">
        <v>0</v>
      </c>
      <c r="BH65" s="1">
        <v>0</v>
      </c>
      <c r="BI65" s="1">
        <v>0</v>
      </c>
      <c r="BJ65" s="1">
        <v>0</v>
      </c>
      <c r="BK65" s="1">
        <v>0</v>
      </c>
      <c r="BL65" s="1">
        <v>0</v>
      </c>
      <c r="BM65" s="1">
        <v>0</v>
      </c>
      <c r="BN65" s="1">
        <v>0</v>
      </c>
      <c r="BO65" s="1">
        <v>0</v>
      </c>
      <c r="BP65" s="1">
        <v>0</v>
      </c>
      <c r="BQ65" s="1">
        <v>0</v>
      </c>
      <c r="BR65" s="1">
        <v>0</v>
      </c>
      <c r="BS65" s="1">
        <v>0</v>
      </c>
      <c r="BT65" s="1">
        <v>0</v>
      </c>
      <c r="BU65" s="1">
        <v>21063.97</v>
      </c>
      <c r="BV65" s="1">
        <v>21494.39</v>
      </c>
      <c r="BW65" s="1">
        <v>19012.740000000002</v>
      </c>
      <c r="BX65" s="1">
        <v>16732.29</v>
      </c>
      <c r="BY65" s="1">
        <v>21063.97</v>
      </c>
      <c r="BZ65" s="1">
        <v>21494.39</v>
      </c>
      <c r="CA65" s="1">
        <v>19012.740000000002</v>
      </c>
      <c r="CB65" s="1">
        <v>16732.29</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2102.35</v>
      </c>
      <c r="CT65" s="1">
        <v>1542.65</v>
      </c>
      <c r="CU65" s="1">
        <v>1544.357</v>
      </c>
      <c r="CV65" s="1">
        <v>2069.9879999999998</v>
      </c>
      <c r="CW65" s="1">
        <v>2102.35</v>
      </c>
      <c r="CX65" s="1">
        <v>1542.65</v>
      </c>
      <c r="CY65" s="1">
        <v>1544.357</v>
      </c>
      <c r="CZ65" s="1">
        <v>2069.9879999999998</v>
      </c>
      <c r="DA65" s="1">
        <v>0</v>
      </c>
      <c r="DB65" s="1">
        <v>0</v>
      </c>
      <c r="DC65" s="1">
        <v>0</v>
      </c>
      <c r="DD65" s="1">
        <v>0</v>
      </c>
      <c r="DE65" s="1">
        <v>0</v>
      </c>
      <c r="DF65" s="1">
        <v>0</v>
      </c>
      <c r="DG65" s="1">
        <v>0</v>
      </c>
      <c r="DH65" s="1">
        <v>0</v>
      </c>
      <c r="DI65" s="1">
        <v>0</v>
      </c>
      <c r="DJ65" s="1">
        <v>0</v>
      </c>
      <c r="DK65" s="1">
        <v>0</v>
      </c>
      <c r="DL65" s="1">
        <v>0</v>
      </c>
      <c r="DM65" s="1">
        <v>3982.82</v>
      </c>
      <c r="DN65" s="1">
        <v>3955.97</v>
      </c>
      <c r="DO65" s="1">
        <v>3649.16</v>
      </c>
      <c r="DP65" s="1">
        <v>4155.3900000000003</v>
      </c>
      <c r="DQ65" s="1">
        <v>3982.82</v>
      </c>
      <c r="DR65" s="1">
        <v>3955.97</v>
      </c>
      <c r="DS65" s="1">
        <v>3649.16</v>
      </c>
      <c r="DT65" s="1">
        <v>4155.3900000000003</v>
      </c>
      <c r="DU65" s="1">
        <v>0</v>
      </c>
      <c r="DV65" s="1">
        <v>0</v>
      </c>
      <c r="DW65" s="1">
        <v>0</v>
      </c>
      <c r="DX65" s="1">
        <v>0</v>
      </c>
      <c r="DY65" s="1">
        <v>0</v>
      </c>
      <c r="DZ65" s="1">
        <v>0</v>
      </c>
      <c r="EA65" s="1">
        <v>0</v>
      </c>
      <c r="EB65" s="1">
        <v>0</v>
      </c>
      <c r="EC65" s="1">
        <v>0</v>
      </c>
      <c r="ED65" s="1">
        <v>0</v>
      </c>
      <c r="EE65" s="1">
        <v>0</v>
      </c>
      <c r="EF65" s="1">
        <v>0</v>
      </c>
      <c r="EG65" s="1">
        <v>0</v>
      </c>
      <c r="EH65" s="1">
        <v>0</v>
      </c>
      <c r="EI65" s="1">
        <v>0</v>
      </c>
      <c r="EJ65" s="1">
        <v>0</v>
      </c>
      <c r="EK65" s="1">
        <v>737.58999999999992</v>
      </c>
      <c r="EL65" s="1">
        <v>772.77</v>
      </c>
      <c r="EM65" s="1">
        <v>789.17</v>
      </c>
      <c r="EN65" s="1">
        <v>1055.6300000000001</v>
      </c>
      <c r="EO65" s="1">
        <v>737.58999999999992</v>
      </c>
      <c r="EP65" s="1">
        <v>772.77</v>
      </c>
      <c r="EQ65" s="1">
        <v>789.17</v>
      </c>
      <c r="ER65" s="1">
        <v>1055.6300000000001</v>
      </c>
      <c r="ES65" s="1">
        <v>0</v>
      </c>
      <c r="ET65" s="1">
        <v>0</v>
      </c>
      <c r="EU65" s="1">
        <v>0</v>
      </c>
      <c r="EV65" s="1">
        <v>0</v>
      </c>
      <c r="EW65" s="1">
        <v>0</v>
      </c>
      <c r="EX65" s="1">
        <v>0</v>
      </c>
      <c r="EY65" s="1">
        <v>0</v>
      </c>
      <c r="EZ65" s="1">
        <v>0</v>
      </c>
      <c r="FA65" s="1">
        <v>0</v>
      </c>
      <c r="FB65" s="1">
        <v>0</v>
      </c>
      <c r="FC65" s="1">
        <v>0</v>
      </c>
      <c r="FD65" s="1">
        <v>0</v>
      </c>
      <c r="FE65" s="1">
        <v>152.29400000000001</v>
      </c>
      <c r="FF65" s="1">
        <v>123.38800000000001</v>
      </c>
      <c r="FG65" s="1">
        <v>122.252</v>
      </c>
      <c r="FH65" s="1">
        <v>107.226</v>
      </c>
      <c r="FI65" s="1">
        <v>112.69199999999999</v>
      </c>
      <c r="FJ65" s="1">
        <v>89.738</v>
      </c>
      <c r="FK65" s="1">
        <v>86.366</v>
      </c>
      <c r="FL65" s="1">
        <v>59.863999999999997</v>
      </c>
      <c r="FM65" s="1">
        <v>0</v>
      </c>
      <c r="FN65" s="1">
        <v>0</v>
      </c>
      <c r="FO65" s="1">
        <v>0</v>
      </c>
      <c r="FP65" s="1">
        <v>117.16</v>
      </c>
      <c r="FQ65" s="1">
        <v>0</v>
      </c>
      <c r="FR65" s="1">
        <v>0</v>
      </c>
      <c r="FS65" s="1">
        <v>0</v>
      </c>
      <c r="FT65" s="1">
        <v>0</v>
      </c>
      <c r="FU65" s="1">
        <v>0</v>
      </c>
      <c r="FV65" s="1">
        <v>0</v>
      </c>
      <c r="FW65" s="1">
        <v>0</v>
      </c>
      <c r="FX65" s="1">
        <v>0</v>
      </c>
      <c r="FY65" s="1">
        <v>0</v>
      </c>
      <c r="FZ65" s="1">
        <v>0</v>
      </c>
      <c r="GA65" s="1">
        <v>0</v>
      </c>
      <c r="GB65" s="1">
        <v>0</v>
      </c>
      <c r="GC65" s="1">
        <v>95.561999999999998</v>
      </c>
      <c r="GD65" s="1">
        <v>87.634</v>
      </c>
      <c r="GE65" s="1">
        <v>84.983000000000004</v>
      </c>
      <c r="GF65" s="1">
        <v>92.179999999999993</v>
      </c>
      <c r="GG65" s="1">
        <v>95.197000000000003</v>
      </c>
      <c r="GH65" s="1">
        <v>87.405000000000001</v>
      </c>
      <c r="GI65" s="1">
        <v>84.716999999999999</v>
      </c>
      <c r="GJ65" s="1">
        <v>91.816000000000003</v>
      </c>
      <c r="GK65" s="1">
        <v>0.36499999999999999</v>
      </c>
      <c r="GL65" s="1">
        <v>0.22900000000000001</v>
      </c>
      <c r="GM65" s="1">
        <v>0.26600000000000001</v>
      </c>
      <c r="GN65" s="1">
        <v>0.36399999999999999</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0</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448.44</v>
      </c>
      <c r="IP65" s="1">
        <v>559.68000000000006</v>
      </c>
      <c r="IQ65" s="1">
        <v>659.42</v>
      </c>
      <c r="IR65" s="1">
        <v>753.58799999999997</v>
      </c>
      <c r="IS65" s="1">
        <v>448.44</v>
      </c>
      <c r="IT65" s="1">
        <v>559.68000000000006</v>
      </c>
      <c r="IU65" s="1">
        <v>659.42</v>
      </c>
      <c r="IV65" s="1">
        <v>753.58799999999997</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0</v>
      </c>
      <c r="JO65" s="1">
        <v>0</v>
      </c>
      <c r="JP65" s="1">
        <v>0</v>
      </c>
      <c r="JQ65" s="9"/>
      <c r="JR65" s="1">
        <f t="shared" si="16"/>
        <v>9154.8440999999984</v>
      </c>
      <c r="JS65" s="1">
        <f t="shared" si="17"/>
        <v>5904.5948999999991</v>
      </c>
      <c r="JT65" s="1">
        <f t="shared" si="18"/>
        <v>5394.6701999999987</v>
      </c>
      <c r="JU65" s="1">
        <f t="shared" si="19"/>
        <v>5191.8219000000008</v>
      </c>
      <c r="JV65" s="1">
        <f t="shared" si="20"/>
        <v>1695.3414999999998</v>
      </c>
      <c r="JW65" s="1">
        <f t="shared" si="21"/>
        <v>1093.4434999999999</v>
      </c>
      <c r="JX65" s="1">
        <f t="shared" si="22"/>
        <v>999.01299999999981</v>
      </c>
      <c r="JY65" s="1">
        <f t="shared" si="23"/>
        <v>961.44850000000008</v>
      </c>
    </row>
    <row r="66" spans="1:285" x14ac:dyDescent="0.35">
      <c r="A66" s="2" t="s">
        <v>73</v>
      </c>
      <c r="B66" s="1">
        <v>106827</v>
      </c>
      <c r="C66" s="1">
        <v>108210</v>
      </c>
      <c r="D66" s="1">
        <v>109461</v>
      </c>
      <c r="E66" s="1">
        <v>110925</v>
      </c>
      <c r="F66" s="1">
        <v>131780.997</v>
      </c>
      <c r="G66" s="1">
        <v>133473.74100000001</v>
      </c>
      <c r="H66" s="1">
        <v>122376.04700000001</v>
      </c>
      <c r="I66" s="1">
        <v>142113.78099999999</v>
      </c>
      <c r="J66" s="1">
        <f t="shared" si="8"/>
        <v>27599.647000000001</v>
      </c>
      <c r="K66" s="1">
        <f t="shared" si="9"/>
        <v>31519.239000000001</v>
      </c>
      <c r="L66" s="1">
        <f t="shared" si="10"/>
        <v>28113.15</v>
      </c>
      <c r="M66" s="1">
        <f t="shared" si="11"/>
        <v>25518.144</v>
      </c>
      <c r="N66" s="1">
        <f t="shared" si="12"/>
        <v>104181.35</v>
      </c>
      <c r="O66" s="1">
        <f t="shared" si="13"/>
        <v>101954.50200000001</v>
      </c>
      <c r="P66" s="1">
        <f t="shared" si="14"/>
        <v>94262.896999999997</v>
      </c>
      <c r="Q66" s="1">
        <f t="shared" si="15"/>
        <v>116595.63699999999</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4492.42</v>
      </c>
      <c r="AQ66" s="1">
        <v>4269.8599999999997</v>
      </c>
      <c r="AR66" s="1">
        <v>4659.9799999999996</v>
      </c>
      <c r="AS66" s="1">
        <v>5258.78</v>
      </c>
      <c r="AT66" s="1">
        <v>4492.42</v>
      </c>
      <c r="AU66" s="1">
        <v>0</v>
      </c>
      <c r="AV66" s="1">
        <v>0</v>
      </c>
      <c r="AW66" s="1">
        <v>0</v>
      </c>
      <c r="AX66" s="1">
        <v>4269.8599999999997</v>
      </c>
      <c r="AY66" s="1">
        <v>0</v>
      </c>
      <c r="AZ66" s="1">
        <v>0</v>
      </c>
      <c r="BA66" s="1">
        <v>0</v>
      </c>
      <c r="BB66" s="1">
        <v>4659.9799999999996</v>
      </c>
      <c r="BC66" s="1">
        <v>0</v>
      </c>
      <c r="BD66" s="1">
        <v>0</v>
      </c>
      <c r="BE66" s="1">
        <v>5258.78</v>
      </c>
      <c r="BF66" s="1">
        <v>0</v>
      </c>
      <c r="BG66" s="1">
        <v>0</v>
      </c>
      <c r="BH66" s="1">
        <v>0</v>
      </c>
      <c r="BI66" s="1">
        <v>0</v>
      </c>
      <c r="BJ66" s="1">
        <v>0</v>
      </c>
      <c r="BK66" s="1">
        <v>0</v>
      </c>
      <c r="BL66" s="1">
        <v>0</v>
      </c>
      <c r="BM66" s="1">
        <v>0</v>
      </c>
      <c r="BN66" s="1">
        <v>0</v>
      </c>
      <c r="BO66" s="1">
        <v>0</v>
      </c>
      <c r="BP66" s="1">
        <v>0</v>
      </c>
      <c r="BQ66" s="1">
        <v>0</v>
      </c>
      <c r="BR66" s="1">
        <v>0</v>
      </c>
      <c r="BS66" s="1">
        <v>0</v>
      </c>
      <c r="BT66" s="1">
        <v>0</v>
      </c>
      <c r="BU66" s="1">
        <v>10767.066000000001</v>
      </c>
      <c r="BV66" s="1">
        <v>16198.34</v>
      </c>
      <c r="BW66" s="1">
        <v>15034.706</v>
      </c>
      <c r="BX66" s="1">
        <v>11669.662</v>
      </c>
      <c r="BY66" s="1">
        <v>10767.066000000001</v>
      </c>
      <c r="BZ66" s="1">
        <v>16198.34</v>
      </c>
      <c r="CA66" s="1">
        <v>15034.706</v>
      </c>
      <c r="CB66" s="1">
        <v>11669.662</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556.05999999999995</v>
      </c>
      <c r="CT66" s="1">
        <v>552.98</v>
      </c>
      <c r="CU66" s="1">
        <v>717.93000000000006</v>
      </c>
      <c r="CV66" s="1">
        <v>367.6</v>
      </c>
      <c r="CW66" s="1">
        <v>556.05999999999995</v>
      </c>
      <c r="CX66" s="1">
        <v>552.98</v>
      </c>
      <c r="CY66" s="1">
        <v>717.93000000000006</v>
      </c>
      <c r="CZ66" s="1">
        <v>367.6</v>
      </c>
      <c r="DA66" s="1">
        <v>0</v>
      </c>
      <c r="DB66" s="1">
        <v>0</v>
      </c>
      <c r="DC66" s="1">
        <v>0</v>
      </c>
      <c r="DD66" s="1">
        <v>0</v>
      </c>
      <c r="DE66" s="1">
        <v>0</v>
      </c>
      <c r="DF66" s="1">
        <v>0</v>
      </c>
      <c r="DG66" s="1">
        <v>0</v>
      </c>
      <c r="DH66" s="1">
        <v>0</v>
      </c>
      <c r="DI66" s="1">
        <v>0</v>
      </c>
      <c r="DJ66" s="1">
        <v>0</v>
      </c>
      <c r="DK66" s="1">
        <v>0</v>
      </c>
      <c r="DL66" s="1">
        <v>0</v>
      </c>
      <c r="DM66" s="1">
        <v>2627.55</v>
      </c>
      <c r="DN66" s="1">
        <v>2867.86</v>
      </c>
      <c r="DO66" s="1">
        <v>2441.9699999999998</v>
      </c>
      <c r="DP66" s="1">
        <v>2344.88</v>
      </c>
      <c r="DQ66" s="1">
        <v>2627.55</v>
      </c>
      <c r="DR66" s="1">
        <v>2867.86</v>
      </c>
      <c r="DS66" s="1">
        <v>2441.9699999999998</v>
      </c>
      <c r="DT66" s="1">
        <v>2344.88</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2323.4050000000002</v>
      </c>
      <c r="EL66" s="1">
        <v>2304.7040000000002</v>
      </c>
      <c r="EM66" s="1">
        <v>2336.9209999999998</v>
      </c>
      <c r="EN66" s="1">
        <v>2258.7150000000001</v>
      </c>
      <c r="EO66" s="1">
        <v>2323.4050000000002</v>
      </c>
      <c r="EP66" s="1">
        <v>2304.7040000000002</v>
      </c>
      <c r="EQ66" s="1">
        <v>2336.9209999999998</v>
      </c>
      <c r="ER66" s="1">
        <v>2258.7150000000001</v>
      </c>
      <c r="ES66" s="1">
        <v>0</v>
      </c>
      <c r="ET66" s="1">
        <v>0</v>
      </c>
      <c r="EU66" s="1">
        <v>0</v>
      </c>
      <c r="EV66" s="1">
        <v>0</v>
      </c>
      <c r="EW66" s="1">
        <v>0</v>
      </c>
      <c r="EX66" s="1">
        <v>0</v>
      </c>
      <c r="EY66" s="1">
        <v>0</v>
      </c>
      <c r="EZ66" s="1">
        <v>0</v>
      </c>
      <c r="FA66" s="1">
        <v>0</v>
      </c>
      <c r="FB66" s="1">
        <v>0</v>
      </c>
      <c r="FC66" s="1">
        <v>0</v>
      </c>
      <c r="FD66" s="1">
        <v>0</v>
      </c>
      <c r="FE66" s="1">
        <v>121.5</v>
      </c>
      <c r="FF66" s="1">
        <v>168.59</v>
      </c>
      <c r="FG66" s="1">
        <v>203.30199999999999</v>
      </c>
      <c r="FH66" s="1">
        <v>160.30000000000001</v>
      </c>
      <c r="FI66" s="1">
        <v>121.5</v>
      </c>
      <c r="FJ66" s="1">
        <v>168.59</v>
      </c>
      <c r="FK66" s="1">
        <v>203.30199999999999</v>
      </c>
      <c r="FL66" s="1">
        <v>160.30000000000001</v>
      </c>
      <c r="FM66" s="1">
        <v>39.601999999999997</v>
      </c>
      <c r="FN66" s="1">
        <v>33.650000000000013</v>
      </c>
      <c r="FO66" s="1">
        <v>35.886000000000003</v>
      </c>
      <c r="FP66" s="1">
        <v>47.362000000000002</v>
      </c>
      <c r="FQ66" s="1">
        <v>0</v>
      </c>
      <c r="FR66" s="1">
        <v>0</v>
      </c>
      <c r="FS66" s="1">
        <v>0</v>
      </c>
      <c r="FT66" s="1">
        <v>0</v>
      </c>
      <c r="FU66" s="1">
        <v>0</v>
      </c>
      <c r="FV66" s="1">
        <v>0</v>
      </c>
      <c r="FW66" s="1">
        <v>0</v>
      </c>
      <c r="FX66" s="1">
        <v>0</v>
      </c>
      <c r="FY66" s="1">
        <v>0</v>
      </c>
      <c r="FZ66" s="1">
        <v>0</v>
      </c>
      <c r="GA66" s="1">
        <v>0</v>
      </c>
      <c r="GB66" s="1">
        <v>0</v>
      </c>
      <c r="GC66" s="1">
        <v>1822.595</v>
      </c>
      <c r="GD66" s="1">
        <v>1984.854</v>
      </c>
      <c r="GE66" s="1">
        <v>1701.0650000000001</v>
      </c>
      <c r="GF66" s="1">
        <v>2497.701</v>
      </c>
      <c r="GG66" s="1">
        <v>1563.84</v>
      </c>
      <c r="GH66" s="1">
        <v>1671.28</v>
      </c>
      <c r="GI66" s="1">
        <v>1328.38</v>
      </c>
      <c r="GJ66" s="1">
        <v>2072.58</v>
      </c>
      <c r="GK66" s="1">
        <v>258.755</v>
      </c>
      <c r="GL66" s="1">
        <v>313.57400000000001</v>
      </c>
      <c r="GM66" s="1">
        <v>372.685</v>
      </c>
      <c r="GN66" s="1">
        <v>425.12099999999998</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3745.1109999999999</v>
      </c>
      <c r="HF66" s="1">
        <v>1958.489</v>
      </c>
      <c r="HG66" s="1">
        <v>0</v>
      </c>
      <c r="HH66" s="1">
        <v>0</v>
      </c>
      <c r="HI66" s="1">
        <v>3745.1109999999999</v>
      </c>
      <c r="HJ66" s="1">
        <v>1958.489</v>
      </c>
      <c r="HK66" s="1">
        <v>0</v>
      </c>
      <c r="HL66" s="1">
        <v>0</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1143.94</v>
      </c>
      <c r="IP66" s="1">
        <v>1213.5619999999999</v>
      </c>
      <c r="IQ66" s="1">
        <v>1017.276</v>
      </c>
      <c r="IR66" s="1">
        <v>960.50599999999997</v>
      </c>
      <c r="IS66" s="1">
        <v>1143.94</v>
      </c>
      <c r="IT66" s="1">
        <v>1213.5619999999999</v>
      </c>
      <c r="IU66" s="1">
        <v>1017.276</v>
      </c>
      <c r="IV66" s="1">
        <v>960.50599999999997</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0</v>
      </c>
      <c r="JO66" s="1">
        <v>0</v>
      </c>
      <c r="JP66" s="1">
        <v>0</v>
      </c>
      <c r="JQ66" s="9"/>
      <c r="JR66" s="1">
        <f t="shared" ref="JR66:JU129" si="25">27%*N66</f>
        <v>28128.964500000002</v>
      </c>
      <c r="JS66" s="1">
        <f t="shared" si="25"/>
        <v>27527.715540000005</v>
      </c>
      <c r="JT66" s="1">
        <f t="shared" si="25"/>
        <v>25450.982190000002</v>
      </c>
      <c r="JU66" s="1">
        <f t="shared" si="25"/>
        <v>31480.82199</v>
      </c>
      <c r="JV66" s="1">
        <f t="shared" ref="JV66:JY129" si="26">5%*N66</f>
        <v>5209.067500000001</v>
      </c>
      <c r="JW66" s="1">
        <f t="shared" si="26"/>
        <v>5097.7251000000006</v>
      </c>
      <c r="JX66" s="1">
        <f t="shared" si="26"/>
        <v>4713.1448499999997</v>
      </c>
      <c r="JY66" s="1">
        <f t="shared" si="26"/>
        <v>5829.7818499999994</v>
      </c>
    </row>
    <row r="67" spans="1:285" x14ac:dyDescent="0.35">
      <c r="A67" s="2" t="s">
        <v>74</v>
      </c>
      <c r="B67" s="1">
        <v>115572</v>
      </c>
      <c r="C67" s="1">
        <v>116819</v>
      </c>
      <c r="D67" s="1">
        <v>119042</v>
      </c>
      <c r="E67" s="1">
        <v>121966</v>
      </c>
      <c r="F67" s="1">
        <v>29656.42</v>
      </c>
      <c r="G67" s="1">
        <v>30397.200000000001</v>
      </c>
      <c r="H67" s="1">
        <v>30862.65</v>
      </c>
      <c r="I67" s="1">
        <v>28173.73</v>
      </c>
      <c r="J67" s="1">
        <f t="shared" ref="J67:J130" si="27">R67+AP67+BU67+CS67+DM67+EK67+FE67+GC67+HE67+IO67</f>
        <v>22474.489999999998</v>
      </c>
      <c r="K67" s="1">
        <f t="shared" ref="K67:K130" si="28">S67+AQ67+BV67+CT67+DN67+EL67+FF67+GD67+HF67+IP67</f>
        <v>23099.15</v>
      </c>
      <c r="L67" s="1">
        <f t="shared" ref="L67:L130" si="29">T67+AR67+BW67+CU67+DO67+EM67+FG67+GE67+HG67+IQ67</f>
        <v>23892.850000000002</v>
      </c>
      <c r="M67" s="1">
        <f t="shared" ref="M67:M130" si="30">U67+AS67+BX67+CV67+DP67+EN67+FH67+GF67+HH67+IR67</f>
        <v>21171.360000000001</v>
      </c>
      <c r="N67" s="1">
        <f t="shared" ref="N67:N130" si="31">F67-J67</f>
        <v>7181.93</v>
      </c>
      <c r="O67" s="1">
        <f t="shared" ref="O67:O130" si="32">G67-K67</f>
        <v>7298.0499999999993</v>
      </c>
      <c r="P67" s="1">
        <f t="shared" ref="P67:P130" si="33">H67-L67</f>
        <v>6969.7999999999993</v>
      </c>
      <c r="Q67" s="1">
        <f t="shared" ref="Q67:Q130" si="34">I67-M67</f>
        <v>7002.369999999999</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2363.52</v>
      </c>
      <c r="AQ67" s="1">
        <v>2644.88</v>
      </c>
      <c r="AR67" s="1">
        <v>2281.91</v>
      </c>
      <c r="AS67" s="1">
        <v>2425.67</v>
      </c>
      <c r="AT67" s="1">
        <v>0</v>
      </c>
      <c r="AU67" s="1">
        <v>2363.52</v>
      </c>
      <c r="AV67" s="1">
        <v>0</v>
      </c>
      <c r="AW67" s="1">
        <v>0</v>
      </c>
      <c r="AX67" s="1">
        <v>0</v>
      </c>
      <c r="AY67" s="1">
        <v>2644.88</v>
      </c>
      <c r="AZ67" s="1">
        <v>0</v>
      </c>
      <c r="BA67" s="1">
        <v>0</v>
      </c>
      <c r="BB67" s="1">
        <v>0</v>
      </c>
      <c r="BC67" s="1">
        <v>2281.91</v>
      </c>
      <c r="BD67" s="1">
        <v>0</v>
      </c>
      <c r="BE67" s="1">
        <v>0</v>
      </c>
      <c r="BF67" s="1">
        <v>2425.67</v>
      </c>
      <c r="BG67" s="1">
        <v>0</v>
      </c>
      <c r="BH67" s="1">
        <v>0</v>
      </c>
      <c r="BI67" s="1">
        <v>0</v>
      </c>
      <c r="BJ67" s="1">
        <v>0</v>
      </c>
      <c r="BK67" s="1">
        <v>0</v>
      </c>
      <c r="BL67" s="1">
        <v>0</v>
      </c>
      <c r="BM67" s="1">
        <v>0</v>
      </c>
      <c r="BN67" s="1">
        <v>0</v>
      </c>
      <c r="BO67" s="1">
        <v>0</v>
      </c>
      <c r="BP67" s="1">
        <v>0</v>
      </c>
      <c r="BQ67" s="1">
        <v>0</v>
      </c>
      <c r="BR67" s="1">
        <v>0</v>
      </c>
      <c r="BS67" s="1">
        <v>0</v>
      </c>
      <c r="BT67" s="1">
        <v>0</v>
      </c>
      <c r="BU67" s="1">
        <v>6013.5</v>
      </c>
      <c r="BV67" s="1">
        <v>6112.63</v>
      </c>
      <c r="BW67" s="1">
        <v>5729.93</v>
      </c>
      <c r="BX67" s="1">
        <v>5660.62</v>
      </c>
      <c r="BY67" s="1">
        <v>6013.5</v>
      </c>
      <c r="BZ67" s="1">
        <v>6112.63</v>
      </c>
      <c r="CA67" s="1">
        <v>5729.93</v>
      </c>
      <c r="CB67" s="1">
        <v>5660.62</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5885.66</v>
      </c>
      <c r="CT67" s="1">
        <v>5967.38</v>
      </c>
      <c r="CU67" s="1">
        <v>8212.7099999999991</v>
      </c>
      <c r="CV67" s="1">
        <v>5431.72</v>
      </c>
      <c r="CW67" s="1">
        <v>5885.66</v>
      </c>
      <c r="CX67" s="1">
        <v>5967.38</v>
      </c>
      <c r="CY67" s="1">
        <v>8212.7099999999991</v>
      </c>
      <c r="CZ67" s="1">
        <v>5431.72</v>
      </c>
      <c r="DA67" s="1">
        <v>0</v>
      </c>
      <c r="DB67" s="1">
        <v>0</v>
      </c>
      <c r="DC67" s="1">
        <v>0</v>
      </c>
      <c r="DD67" s="1">
        <v>0</v>
      </c>
      <c r="DE67" s="1">
        <v>0</v>
      </c>
      <c r="DF67" s="1">
        <v>0</v>
      </c>
      <c r="DG67" s="1">
        <v>0</v>
      </c>
      <c r="DH67" s="1">
        <v>0</v>
      </c>
      <c r="DI67" s="1">
        <v>0</v>
      </c>
      <c r="DJ67" s="1">
        <v>0</v>
      </c>
      <c r="DK67" s="1">
        <v>0</v>
      </c>
      <c r="DL67" s="1">
        <v>0</v>
      </c>
      <c r="DM67" s="1">
        <v>2169.41</v>
      </c>
      <c r="DN67" s="1">
        <v>2278.29</v>
      </c>
      <c r="DO67" s="1">
        <v>2024</v>
      </c>
      <c r="DP67" s="1">
        <v>2072.16</v>
      </c>
      <c r="DQ67" s="1">
        <v>2169.41</v>
      </c>
      <c r="DR67" s="1">
        <v>2278.29</v>
      </c>
      <c r="DS67" s="1">
        <v>2024</v>
      </c>
      <c r="DT67" s="1">
        <v>2072.16</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5932.7199999999993</v>
      </c>
      <c r="EL67" s="1">
        <v>6032.86</v>
      </c>
      <c r="EM67" s="1">
        <v>5549.7</v>
      </c>
      <c r="EN67" s="1">
        <v>5431.72</v>
      </c>
      <c r="EO67" s="1">
        <v>5932.7199999999993</v>
      </c>
      <c r="EP67" s="1">
        <v>6032.86</v>
      </c>
      <c r="EQ67" s="1">
        <v>5549.7</v>
      </c>
      <c r="ER67" s="1">
        <v>5431.72</v>
      </c>
      <c r="ES67" s="1">
        <v>0</v>
      </c>
      <c r="ET67" s="1">
        <v>0</v>
      </c>
      <c r="EU67" s="1">
        <v>0</v>
      </c>
      <c r="EV67" s="1">
        <v>0</v>
      </c>
      <c r="EW67" s="1">
        <v>0</v>
      </c>
      <c r="EX67" s="1">
        <v>0</v>
      </c>
      <c r="EY67" s="1">
        <v>0</v>
      </c>
      <c r="EZ67" s="1">
        <v>0</v>
      </c>
      <c r="FA67" s="1">
        <v>0</v>
      </c>
      <c r="FB67" s="1">
        <v>0</v>
      </c>
      <c r="FC67" s="1">
        <v>0</v>
      </c>
      <c r="FD67" s="1">
        <v>0</v>
      </c>
      <c r="FE67" s="1">
        <v>33.909999999999997</v>
      </c>
      <c r="FF67" s="1">
        <v>30.59</v>
      </c>
      <c r="FG67" s="1">
        <v>43.08</v>
      </c>
      <c r="FH67" s="1">
        <v>40.4</v>
      </c>
      <c r="FI67" s="1">
        <v>33.909999999999997</v>
      </c>
      <c r="FJ67" s="1">
        <v>30.59</v>
      </c>
      <c r="FK67" s="1">
        <v>43.08</v>
      </c>
      <c r="FL67" s="1">
        <v>40.4</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27.88</v>
      </c>
      <c r="GD67" s="1">
        <v>32.520000000000003</v>
      </c>
      <c r="GE67" s="1">
        <v>51.52</v>
      </c>
      <c r="GF67" s="1">
        <v>109.07</v>
      </c>
      <c r="GG67" s="1">
        <v>27.88</v>
      </c>
      <c r="GH67" s="1">
        <v>32.520000000000003</v>
      </c>
      <c r="GI67" s="1">
        <v>51.52</v>
      </c>
      <c r="GJ67" s="1">
        <v>109.07</v>
      </c>
      <c r="GK67" s="1">
        <v>0</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47.89</v>
      </c>
      <c r="IP67" s="1">
        <v>0</v>
      </c>
      <c r="IQ67" s="1">
        <v>0</v>
      </c>
      <c r="IR67" s="1">
        <v>0</v>
      </c>
      <c r="IS67" s="1">
        <v>47.89</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0</v>
      </c>
      <c r="JO67" s="1">
        <v>0</v>
      </c>
      <c r="JP67" s="1">
        <v>0</v>
      </c>
      <c r="JQ67" s="9"/>
      <c r="JR67" s="1">
        <f t="shared" si="25"/>
        <v>1939.1211000000003</v>
      </c>
      <c r="JS67" s="1">
        <f t="shared" si="25"/>
        <v>1970.4734999999998</v>
      </c>
      <c r="JT67" s="1">
        <f t="shared" si="25"/>
        <v>1881.846</v>
      </c>
      <c r="JU67" s="1">
        <f t="shared" si="25"/>
        <v>1890.6398999999999</v>
      </c>
      <c r="JV67" s="1">
        <f t="shared" si="26"/>
        <v>359.09650000000005</v>
      </c>
      <c r="JW67" s="1">
        <f t="shared" si="26"/>
        <v>364.90249999999997</v>
      </c>
      <c r="JX67" s="1">
        <f t="shared" si="26"/>
        <v>348.49</v>
      </c>
      <c r="JY67" s="1">
        <f t="shared" si="26"/>
        <v>350.11849999999998</v>
      </c>
    </row>
    <row r="68" spans="1:285" x14ac:dyDescent="0.35">
      <c r="A68" s="2" t="s">
        <v>75</v>
      </c>
      <c r="B68" s="1">
        <v>261999</v>
      </c>
      <c r="C68" s="1">
        <v>261260</v>
      </c>
      <c r="D68" s="1">
        <v>264321</v>
      </c>
      <c r="E68" s="1">
        <v>269903</v>
      </c>
      <c r="F68" s="1">
        <v>221492.55</v>
      </c>
      <c r="G68" s="1">
        <v>247441.81</v>
      </c>
      <c r="H68" s="1">
        <v>211760.41</v>
      </c>
      <c r="I68" s="1">
        <v>249356</v>
      </c>
      <c r="J68" s="1">
        <f t="shared" si="27"/>
        <v>51242.93</v>
      </c>
      <c r="K68" s="1">
        <f t="shared" si="28"/>
        <v>70471.989999999991</v>
      </c>
      <c r="L68" s="1">
        <f t="shared" si="29"/>
        <v>57384.119999999995</v>
      </c>
      <c r="M68" s="1">
        <f t="shared" si="30"/>
        <v>67799.989999999991</v>
      </c>
      <c r="N68" s="1">
        <f t="shared" si="31"/>
        <v>170249.62</v>
      </c>
      <c r="O68" s="1">
        <f t="shared" si="32"/>
        <v>176969.82</v>
      </c>
      <c r="P68" s="1">
        <f t="shared" si="33"/>
        <v>154376.29</v>
      </c>
      <c r="Q68" s="1">
        <f t="shared" si="34"/>
        <v>181556.01</v>
      </c>
      <c r="R68" s="1">
        <v>0</v>
      </c>
      <c r="S68" s="1">
        <v>0</v>
      </c>
      <c r="T68" s="1">
        <v>0</v>
      </c>
      <c r="U68" s="1">
        <v>0</v>
      </c>
      <c r="V68" s="1">
        <v>0</v>
      </c>
      <c r="W68" s="1">
        <v>0</v>
      </c>
      <c r="X68" s="1">
        <v>0</v>
      </c>
      <c r="Y68" s="1">
        <v>0</v>
      </c>
      <c r="Z68" s="1">
        <v>0</v>
      </c>
      <c r="AA68" s="1">
        <v>0</v>
      </c>
      <c r="AB68" s="1">
        <v>0</v>
      </c>
      <c r="AC68" s="1">
        <v>0</v>
      </c>
      <c r="AD68" s="1">
        <v>0</v>
      </c>
      <c r="AE68" s="1">
        <v>0</v>
      </c>
      <c r="AF68" s="1">
        <v>0</v>
      </c>
      <c r="AG68" s="1">
        <v>0</v>
      </c>
      <c r="AH68" s="1">
        <v>0</v>
      </c>
      <c r="AI68" s="1">
        <v>0</v>
      </c>
      <c r="AJ68" s="1">
        <v>0</v>
      </c>
      <c r="AK68" s="1">
        <v>0</v>
      </c>
      <c r="AL68" s="1">
        <v>0</v>
      </c>
      <c r="AM68" s="1">
        <v>0</v>
      </c>
      <c r="AN68" s="1">
        <v>0</v>
      </c>
      <c r="AO68" s="1">
        <v>0</v>
      </c>
      <c r="AP68" s="1">
        <v>15207.5</v>
      </c>
      <c r="AQ68" s="1">
        <v>16735.54</v>
      </c>
      <c r="AR68" s="1">
        <v>12329.13</v>
      </c>
      <c r="AS68" s="1">
        <v>17337.099999999999</v>
      </c>
      <c r="AT68" s="1">
        <v>14758.38</v>
      </c>
      <c r="AU68" s="1">
        <v>449.12</v>
      </c>
      <c r="AV68" s="1">
        <v>0</v>
      </c>
      <c r="AW68" s="1">
        <v>0</v>
      </c>
      <c r="AX68" s="1">
        <v>16644.879999999997</v>
      </c>
      <c r="AY68" s="1">
        <v>90.660000000003492</v>
      </c>
      <c r="AZ68" s="1">
        <v>0</v>
      </c>
      <c r="BA68" s="1">
        <v>0</v>
      </c>
      <c r="BB68" s="1">
        <v>11536.77</v>
      </c>
      <c r="BC68" s="1">
        <v>792.35999999999876</v>
      </c>
      <c r="BD68" s="1">
        <v>0</v>
      </c>
      <c r="BE68" s="1">
        <v>16189.959999999997</v>
      </c>
      <c r="BF68" s="1">
        <v>1147.1400000000012</v>
      </c>
      <c r="BG68" s="1">
        <v>0</v>
      </c>
      <c r="BH68" s="1">
        <v>0</v>
      </c>
      <c r="BI68" s="1">
        <v>0</v>
      </c>
      <c r="BJ68" s="1">
        <v>0</v>
      </c>
      <c r="BK68" s="1">
        <v>0</v>
      </c>
      <c r="BL68" s="1">
        <v>0</v>
      </c>
      <c r="BM68" s="1">
        <v>0</v>
      </c>
      <c r="BN68" s="1">
        <v>0</v>
      </c>
      <c r="BO68" s="1">
        <v>0</v>
      </c>
      <c r="BP68" s="1">
        <v>0</v>
      </c>
      <c r="BQ68" s="1">
        <v>0</v>
      </c>
      <c r="BR68" s="1">
        <v>0</v>
      </c>
      <c r="BS68" s="1">
        <v>0</v>
      </c>
      <c r="BT68" s="1">
        <v>0</v>
      </c>
      <c r="BU68" s="1">
        <v>16802.97</v>
      </c>
      <c r="BV68" s="1">
        <v>21138.17</v>
      </c>
      <c r="BW68" s="1">
        <v>16972.55</v>
      </c>
      <c r="BX68" s="1">
        <v>17769.75</v>
      </c>
      <c r="BY68" s="1">
        <v>16802.97</v>
      </c>
      <c r="BZ68" s="1">
        <v>21138.17</v>
      </c>
      <c r="CA68" s="1">
        <v>16972.55</v>
      </c>
      <c r="CB68" s="1">
        <v>17769.75</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3388.09</v>
      </c>
      <c r="CT68" s="1">
        <v>8694.99</v>
      </c>
      <c r="CU68" s="1">
        <v>3931.5</v>
      </c>
      <c r="CV68" s="1">
        <v>4002.22</v>
      </c>
      <c r="CW68" s="1">
        <v>3388.09</v>
      </c>
      <c r="CX68" s="1">
        <v>8694.99</v>
      </c>
      <c r="CY68" s="1">
        <v>3878.74</v>
      </c>
      <c r="CZ68" s="1">
        <v>3914.96</v>
      </c>
      <c r="DA68" s="1">
        <v>0</v>
      </c>
      <c r="DB68" s="1">
        <v>0</v>
      </c>
      <c r="DC68" s="1">
        <v>52.760000000000012</v>
      </c>
      <c r="DD68" s="1">
        <v>87.259999999999991</v>
      </c>
      <c r="DE68" s="1">
        <v>0</v>
      </c>
      <c r="DF68" s="1">
        <v>0</v>
      </c>
      <c r="DG68" s="1">
        <v>0</v>
      </c>
      <c r="DH68" s="1">
        <v>0</v>
      </c>
      <c r="DI68" s="1">
        <v>0</v>
      </c>
      <c r="DJ68" s="1">
        <v>0</v>
      </c>
      <c r="DK68" s="1">
        <v>0</v>
      </c>
      <c r="DL68" s="1">
        <v>0</v>
      </c>
      <c r="DM68" s="1">
        <v>6155.74</v>
      </c>
      <c r="DN68" s="1">
        <v>7595.7800000000007</v>
      </c>
      <c r="DO68" s="1">
        <v>7351.66</v>
      </c>
      <c r="DP68" s="1">
        <v>7218.6900000000014</v>
      </c>
      <c r="DQ68" s="1">
        <v>6155.74</v>
      </c>
      <c r="DR68" s="1">
        <v>7595.7800000000007</v>
      </c>
      <c r="DS68" s="1">
        <v>7351.66</v>
      </c>
      <c r="DT68" s="1">
        <v>7218.6900000000014</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6723.62</v>
      </c>
      <c r="EL68" s="1">
        <v>12552.67</v>
      </c>
      <c r="EM68" s="1">
        <v>11338.15</v>
      </c>
      <c r="EN68" s="1">
        <v>13685.32</v>
      </c>
      <c r="EO68" s="1">
        <v>6717.9</v>
      </c>
      <c r="EP68" s="1">
        <v>12547.41</v>
      </c>
      <c r="EQ68" s="1">
        <v>11331.73</v>
      </c>
      <c r="ER68" s="1">
        <v>13675.52</v>
      </c>
      <c r="ES68" s="1">
        <v>5.7200000000000006</v>
      </c>
      <c r="ET68" s="1">
        <v>5.26</v>
      </c>
      <c r="EU68" s="1">
        <v>6.42</v>
      </c>
      <c r="EV68" s="1">
        <v>9.8000000000000007</v>
      </c>
      <c r="EW68" s="1">
        <v>0</v>
      </c>
      <c r="EX68" s="1">
        <v>0</v>
      </c>
      <c r="EY68" s="1">
        <v>0</v>
      </c>
      <c r="EZ68" s="1">
        <v>0</v>
      </c>
      <c r="FA68" s="1">
        <v>0</v>
      </c>
      <c r="FB68" s="1">
        <v>0</v>
      </c>
      <c r="FC68" s="1">
        <v>0</v>
      </c>
      <c r="FD68" s="1">
        <v>0</v>
      </c>
      <c r="FE68" s="1">
        <v>126.8</v>
      </c>
      <c r="FF68" s="1">
        <v>106.25</v>
      </c>
      <c r="FG68" s="1">
        <v>270.95999999999998</v>
      </c>
      <c r="FH68" s="1">
        <v>888.25</v>
      </c>
      <c r="FI68" s="1">
        <v>51.45</v>
      </c>
      <c r="FJ68" s="1">
        <v>39</v>
      </c>
      <c r="FK68" s="1">
        <v>167.62</v>
      </c>
      <c r="FL68" s="1">
        <v>792.94</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989.77</v>
      </c>
      <c r="GD68" s="1">
        <v>1605.28</v>
      </c>
      <c r="GE68" s="1">
        <v>1789.75</v>
      </c>
      <c r="GF68" s="1">
        <v>2310.14</v>
      </c>
      <c r="GG68" s="1">
        <v>989.77</v>
      </c>
      <c r="GH68" s="1">
        <v>1605.28</v>
      </c>
      <c r="GI68" s="1">
        <v>1789.75</v>
      </c>
      <c r="GJ68" s="1">
        <v>2309.0300000000002</v>
      </c>
      <c r="GK68" s="1">
        <v>0</v>
      </c>
      <c r="GL68" s="1">
        <v>0</v>
      </c>
      <c r="GM68" s="1">
        <v>0</v>
      </c>
      <c r="GN68" s="1">
        <v>1.1100000000000001</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410.04</v>
      </c>
      <c r="HF68" s="1">
        <v>100.03</v>
      </c>
      <c r="HG68" s="1">
        <v>1684.7</v>
      </c>
      <c r="HH68" s="1">
        <v>2846.34</v>
      </c>
      <c r="HI68" s="1">
        <v>410.04</v>
      </c>
      <c r="HJ68" s="1">
        <v>100.03</v>
      </c>
      <c r="HK68" s="1">
        <v>1684.7</v>
      </c>
      <c r="HL68" s="1">
        <v>2846.34</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1438.4</v>
      </c>
      <c r="IP68" s="1">
        <v>1943.28</v>
      </c>
      <c r="IQ68" s="1">
        <v>1715.72</v>
      </c>
      <c r="IR68" s="1">
        <v>1742.18</v>
      </c>
      <c r="IS68" s="1">
        <v>1370.66</v>
      </c>
      <c r="IT68" s="1">
        <v>1924.86</v>
      </c>
      <c r="IU68" s="1">
        <v>1681.69</v>
      </c>
      <c r="IV68" s="1">
        <v>1712.59</v>
      </c>
      <c r="IW68" s="1">
        <v>67.740000000000009</v>
      </c>
      <c r="IX68" s="1">
        <v>18.420000000000002</v>
      </c>
      <c r="IY68" s="1">
        <v>34.03</v>
      </c>
      <c r="IZ68" s="1">
        <v>29.59</v>
      </c>
      <c r="JA68" s="1">
        <v>0</v>
      </c>
      <c r="JB68" s="1">
        <v>0</v>
      </c>
      <c r="JC68" s="1">
        <v>0</v>
      </c>
      <c r="JD68" s="1">
        <v>0</v>
      </c>
      <c r="JE68" s="1">
        <v>0</v>
      </c>
      <c r="JF68" s="1">
        <v>0</v>
      </c>
      <c r="JG68" s="1">
        <v>0</v>
      </c>
      <c r="JH68" s="1">
        <v>0</v>
      </c>
      <c r="JI68" s="1">
        <v>0</v>
      </c>
      <c r="JJ68" s="1">
        <v>0</v>
      </c>
      <c r="JK68" s="1">
        <v>0</v>
      </c>
      <c r="JL68" s="1">
        <v>0</v>
      </c>
      <c r="JM68" s="1">
        <v>0</v>
      </c>
      <c r="JN68" s="1">
        <v>0</v>
      </c>
      <c r="JO68" s="1">
        <v>0</v>
      </c>
      <c r="JP68" s="1">
        <v>0</v>
      </c>
      <c r="JQ68" s="9"/>
      <c r="JR68" s="1">
        <f t="shared" si="25"/>
        <v>45967.397400000002</v>
      </c>
      <c r="JS68" s="1">
        <f t="shared" si="25"/>
        <v>47781.851400000007</v>
      </c>
      <c r="JT68" s="1">
        <f t="shared" si="25"/>
        <v>41681.598300000005</v>
      </c>
      <c r="JU68" s="1">
        <f t="shared" si="25"/>
        <v>49020.122700000007</v>
      </c>
      <c r="JV68" s="1">
        <f t="shared" si="26"/>
        <v>8512.4809999999998</v>
      </c>
      <c r="JW68" s="1">
        <f t="shared" si="26"/>
        <v>8848.491</v>
      </c>
      <c r="JX68" s="1">
        <f t="shared" si="26"/>
        <v>7718.8145000000004</v>
      </c>
      <c r="JY68" s="1">
        <f t="shared" si="26"/>
        <v>9077.8005000000012</v>
      </c>
    </row>
    <row r="69" spans="1:285" x14ac:dyDescent="0.35">
      <c r="A69" s="2" t="s">
        <v>76</v>
      </c>
      <c r="B69" s="1">
        <v>70972</v>
      </c>
      <c r="C69" s="1">
        <v>71659</v>
      </c>
      <c r="D69" s="1">
        <v>71771</v>
      </c>
      <c r="E69" s="1">
        <v>71946</v>
      </c>
      <c r="F69" s="1">
        <v>24407.672999999999</v>
      </c>
      <c r="G69" s="1">
        <v>23069.223000000002</v>
      </c>
      <c r="H69" s="1">
        <v>22432.32</v>
      </c>
      <c r="I69" s="1">
        <v>22820.021000000001</v>
      </c>
      <c r="J69" s="1">
        <f t="shared" si="27"/>
        <v>16656.514999999999</v>
      </c>
      <c r="K69" s="1">
        <f t="shared" si="28"/>
        <v>15055.852999999999</v>
      </c>
      <c r="L69" s="1">
        <f t="shared" si="29"/>
        <v>14698.328000000001</v>
      </c>
      <c r="M69" s="1">
        <f t="shared" si="30"/>
        <v>15540.781000000003</v>
      </c>
      <c r="N69" s="1">
        <f t="shared" si="31"/>
        <v>7751.1579999999994</v>
      </c>
      <c r="O69" s="1">
        <f t="shared" si="32"/>
        <v>8013.3700000000026</v>
      </c>
      <c r="P69" s="1">
        <f t="shared" si="33"/>
        <v>7733.9919999999984</v>
      </c>
      <c r="Q69" s="1">
        <f t="shared" si="34"/>
        <v>7279.239999999998</v>
      </c>
      <c r="R69" s="1">
        <v>1162.0899999999999</v>
      </c>
      <c r="S69" s="1">
        <v>924.19</v>
      </c>
      <c r="T69" s="1">
        <v>1230.5</v>
      </c>
      <c r="U69" s="1">
        <v>1385.4</v>
      </c>
      <c r="V69" s="1">
        <v>1162.0899999999999</v>
      </c>
      <c r="W69" s="1">
        <v>0</v>
      </c>
      <c r="X69" s="1">
        <v>0</v>
      </c>
      <c r="Y69" s="1">
        <v>924.19</v>
      </c>
      <c r="Z69" s="1">
        <v>0</v>
      </c>
      <c r="AA69" s="1">
        <v>0</v>
      </c>
      <c r="AB69" s="1">
        <v>294.27999999999997</v>
      </c>
      <c r="AC69" s="1">
        <v>0</v>
      </c>
      <c r="AD69" s="1">
        <v>2540.1800000000003</v>
      </c>
      <c r="AE69" s="1">
        <v>0</v>
      </c>
      <c r="AF69" s="1">
        <v>0</v>
      </c>
      <c r="AG69" s="1">
        <v>1385.4</v>
      </c>
      <c r="AH69" s="1">
        <v>0</v>
      </c>
      <c r="AI69" s="1">
        <v>0</v>
      </c>
      <c r="AJ69" s="1">
        <v>0</v>
      </c>
      <c r="AK69" s="1">
        <v>0</v>
      </c>
      <c r="AL69" s="1">
        <v>0</v>
      </c>
      <c r="AM69" s="1">
        <v>0</v>
      </c>
      <c r="AN69" s="1">
        <v>0</v>
      </c>
      <c r="AO69" s="1">
        <v>0</v>
      </c>
      <c r="AP69" s="1">
        <v>6429.9500000000007</v>
      </c>
      <c r="AQ69" s="1">
        <v>5512.84</v>
      </c>
      <c r="AR69" s="1">
        <v>5615.9800000000005</v>
      </c>
      <c r="AS69" s="1">
        <v>5951.37</v>
      </c>
      <c r="AT69" s="1">
        <v>6429.9500000000007</v>
      </c>
      <c r="AU69" s="1">
        <v>0</v>
      </c>
      <c r="AV69" s="1">
        <v>0</v>
      </c>
      <c r="AW69" s="1">
        <v>0</v>
      </c>
      <c r="AX69" s="1">
        <v>5512.84</v>
      </c>
      <c r="AY69" s="1">
        <v>0</v>
      </c>
      <c r="AZ69" s="1">
        <v>0</v>
      </c>
      <c r="BA69" s="1">
        <v>0</v>
      </c>
      <c r="BB69" s="1">
        <v>5615.9800000000005</v>
      </c>
      <c r="BC69" s="1">
        <v>0</v>
      </c>
      <c r="BD69" s="1">
        <v>0</v>
      </c>
      <c r="BE69" s="1">
        <v>5951.37</v>
      </c>
      <c r="BF69" s="1">
        <v>0</v>
      </c>
      <c r="BG69" s="1">
        <v>0</v>
      </c>
      <c r="BH69" s="1">
        <v>0</v>
      </c>
      <c r="BI69" s="1">
        <v>0</v>
      </c>
      <c r="BJ69" s="1">
        <v>0</v>
      </c>
      <c r="BK69" s="1">
        <v>0</v>
      </c>
      <c r="BL69" s="1">
        <v>0</v>
      </c>
      <c r="BM69" s="1">
        <v>0</v>
      </c>
      <c r="BN69" s="1">
        <v>0</v>
      </c>
      <c r="BO69" s="1">
        <v>0</v>
      </c>
      <c r="BP69" s="1">
        <v>0</v>
      </c>
      <c r="BQ69" s="1">
        <v>0</v>
      </c>
      <c r="BR69" s="1">
        <v>0</v>
      </c>
      <c r="BS69" s="1">
        <v>0</v>
      </c>
      <c r="BT69" s="1">
        <v>0</v>
      </c>
      <c r="BU69" s="1">
        <v>3455.3850000000002</v>
      </c>
      <c r="BV69" s="1">
        <v>3205.2739999999999</v>
      </c>
      <c r="BW69" s="1">
        <v>3411.37</v>
      </c>
      <c r="BX69" s="1">
        <v>3446.788</v>
      </c>
      <c r="BY69" s="1">
        <v>3455.3850000000002</v>
      </c>
      <c r="BZ69" s="1">
        <v>3205.2739999999999</v>
      </c>
      <c r="CA69" s="1">
        <v>3411.37</v>
      </c>
      <c r="CB69" s="1">
        <v>3446.788</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1376.12</v>
      </c>
      <c r="CT69" s="1">
        <v>1451.473</v>
      </c>
      <c r="CU69" s="1">
        <v>877.37599999999998</v>
      </c>
      <c r="CV69" s="1">
        <v>716.75800000000004</v>
      </c>
      <c r="CW69" s="1">
        <v>1376.12</v>
      </c>
      <c r="CX69" s="1">
        <v>1451.473</v>
      </c>
      <c r="CY69" s="1">
        <v>877.37599999999998</v>
      </c>
      <c r="CZ69" s="1">
        <v>716.75800000000004</v>
      </c>
      <c r="DA69" s="1">
        <v>0</v>
      </c>
      <c r="DB69" s="1">
        <v>0</v>
      </c>
      <c r="DC69" s="1">
        <v>0</v>
      </c>
      <c r="DD69" s="1">
        <v>0</v>
      </c>
      <c r="DE69" s="1">
        <v>0</v>
      </c>
      <c r="DF69" s="1">
        <v>0</v>
      </c>
      <c r="DG69" s="1">
        <v>0</v>
      </c>
      <c r="DH69" s="1">
        <v>0</v>
      </c>
      <c r="DI69" s="1">
        <v>0</v>
      </c>
      <c r="DJ69" s="1">
        <v>0</v>
      </c>
      <c r="DK69" s="1">
        <v>0</v>
      </c>
      <c r="DL69" s="1">
        <v>0</v>
      </c>
      <c r="DM69" s="1">
        <v>2920.192</v>
      </c>
      <c r="DN69" s="1">
        <v>2930.9090000000001</v>
      </c>
      <c r="DO69" s="1">
        <v>2756.56</v>
      </c>
      <c r="DP69" s="1">
        <v>2714.5740000000001</v>
      </c>
      <c r="DQ69" s="1">
        <v>2920.192</v>
      </c>
      <c r="DR69" s="1">
        <v>2930.9090000000001</v>
      </c>
      <c r="DS69" s="1">
        <v>2756.56</v>
      </c>
      <c r="DT69" s="1">
        <v>2714.5740000000001</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498.89100000000002</v>
      </c>
      <c r="EL69" s="1">
        <v>376.52600000000001</v>
      </c>
      <c r="EM69" s="1">
        <v>302.65499999999997</v>
      </c>
      <c r="EN69" s="1">
        <v>283.65899999999999</v>
      </c>
      <c r="EO69" s="1">
        <v>498.89100000000002</v>
      </c>
      <c r="EP69" s="1">
        <v>376.52600000000001</v>
      </c>
      <c r="EQ69" s="1">
        <v>302.65499999999997</v>
      </c>
      <c r="ER69" s="1">
        <v>283.65899999999999</v>
      </c>
      <c r="ES69" s="1">
        <v>0</v>
      </c>
      <c r="ET69" s="1">
        <v>0</v>
      </c>
      <c r="EU69" s="1">
        <v>0</v>
      </c>
      <c r="EV69" s="1">
        <v>0</v>
      </c>
      <c r="EW69" s="1">
        <v>0</v>
      </c>
      <c r="EX69" s="1">
        <v>0</v>
      </c>
      <c r="EY69" s="1">
        <v>0</v>
      </c>
      <c r="EZ69" s="1">
        <v>0</v>
      </c>
      <c r="FA69" s="1">
        <v>0</v>
      </c>
      <c r="FB69" s="1">
        <v>0</v>
      </c>
      <c r="FC69" s="1">
        <v>0</v>
      </c>
      <c r="FD69" s="1">
        <v>0</v>
      </c>
      <c r="FE69" s="1">
        <v>53.777000000000001</v>
      </c>
      <c r="FF69" s="1">
        <v>66.131</v>
      </c>
      <c r="FG69" s="1">
        <v>53.677</v>
      </c>
      <c r="FH69" s="1">
        <v>44.169999999999987</v>
      </c>
      <c r="FI69" s="1">
        <v>53.777000000000001</v>
      </c>
      <c r="FJ69" s="1">
        <v>66.131</v>
      </c>
      <c r="FK69" s="1">
        <v>53.677</v>
      </c>
      <c r="FL69" s="1">
        <v>44.169999999999987</v>
      </c>
      <c r="FM69" s="1">
        <v>75.349999999999994</v>
      </c>
      <c r="FN69" s="1">
        <v>67.25</v>
      </c>
      <c r="FO69" s="1">
        <v>103.34</v>
      </c>
      <c r="FP69" s="1">
        <v>95.31</v>
      </c>
      <c r="FQ69" s="1">
        <v>0</v>
      </c>
      <c r="FR69" s="1">
        <v>0</v>
      </c>
      <c r="FS69" s="1">
        <v>0</v>
      </c>
      <c r="FT69" s="1">
        <v>0</v>
      </c>
      <c r="FU69" s="1">
        <v>0</v>
      </c>
      <c r="FV69" s="1">
        <v>0</v>
      </c>
      <c r="FW69" s="1">
        <v>0</v>
      </c>
      <c r="FX69" s="1">
        <v>0</v>
      </c>
      <c r="FY69" s="1">
        <v>0</v>
      </c>
      <c r="FZ69" s="1">
        <v>0</v>
      </c>
      <c r="GA69" s="1">
        <v>0</v>
      </c>
      <c r="GB69" s="1">
        <v>0</v>
      </c>
      <c r="GC69" s="1">
        <v>38.159999999999997</v>
      </c>
      <c r="GD69" s="1">
        <v>31.99</v>
      </c>
      <c r="GE69" s="1">
        <v>25.92</v>
      </c>
      <c r="GF69" s="1">
        <v>21.62</v>
      </c>
      <c r="GG69" s="1">
        <v>38.159999999999997</v>
      </c>
      <c r="GH69" s="1">
        <v>31.99</v>
      </c>
      <c r="GI69" s="1">
        <v>25.92</v>
      </c>
      <c r="GJ69" s="1">
        <v>21.62</v>
      </c>
      <c r="GK69" s="1">
        <v>0</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721.95</v>
      </c>
      <c r="IP69" s="1">
        <v>556.52</v>
      </c>
      <c r="IQ69" s="1">
        <v>424.29</v>
      </c>
      <c r="IR69" s="1">
        <v>976.44200000000001</v>
      </c>
      <c r="IS69" s="1">
        <v>721.95</v>
      </c>
      <c r="IT69" s="1">
        <v>556.52</v>
      </c>
      <c r="IU69" s="1">
        <v>399.32</v>
      </c>
      <c r="IV69" s="1">
        <v>938.58999999999992</v>
      </c>
      <c r="IW69" s="1">
        <v>0</v>
      </c>
      <c r="IX69" s="1">
        <v>0</v>
      </c>
      <c r="IY69" s="1">
        <v>0</v>
      </c>
      <c r="IZ69" s="1">
        <v>0</v>
      </c>
      <c r="JA69" s="1">
        <v>0</v>
      </c>
      <c r="JB69" s="1">
        <v>0</v>
      </c>
      <c r="JC69" s="1">
        <v>0</v>
      </c>
      <c r="JD69" s="1">
        <v>0</v>
      </c>
      <c r="JE69" s="1">
        <v>0</v>
      </c>
      <c r="JF69" s="1">
        <v>0</v>
      </c>
      <c r="JG69" s="1">
        <v>0</v>
      </c>
      <c r="JH69" s="1">
        <v>0</v>
      </c>
      <c r="JI69" s="1">
        <v>0</v>
      </c>
      <c r="JJ69" s="1">
        <v>0</v>
      </c>
      <c r="JK69" s="1">
        <v>24.97</v>
      </c>
      <c r="JL69" s="1">
        <v>37.851999999999997</v>
      </c>
      <c r="JM69" s="1">
        <v>0</v>
      </c>
      <c r="JN69" s="1">
        <v>0</v>
      </c>
      <c r="JO69" s="1">
        <v>0</v>
      </c>
      <c r="JP69" s="1">
        <v>0</v>
      </c>
      <c r="JQ69" s="9"/>
      <c r="JR69" s="1">
        <f t="shared" si="25"/>
        <v>2092.8126600000001</v>
      </c>
      <c r="JS69" s="1">
        <f t="shared" si="25"/>
        <v>2163.6099000000008</v>
      </c>
      <c r="JT69" s="1">
        <f t="shared" si="25"/>
        <v>2088.1778399999998</v>
      </c>
      <c r="JU69" s="1">
        <f t="shared" si="25"/>
        <v>1965.3947999999996</v>
      </c>
      <c r="JV69" s="1">
        <f t="shared" si="26"/>
        <v>387.55790000000002</v>
      </c>
      <c r="JW69" s="1">
        <f t="shared" si="26"/>
        <v>400.66850000000017</v>
      </c>
      <c r="JX69" s="1">
        <f t="shared" si="26"/>
        <v>386.69959999999992</v>
      </c>
      <c r="JY69" s="1">
        <f t="shared" si="26"/>
        <v>363.96199999999993</v>
      </c>
    </row>
    <row r="70" spans="1:285" x14ac:dyDescent="0.35">
      <c r="A70" s="2" t="s">
        <v>77</v>
      </c>
      <c r="B70" s="1">
        <v>308185</v>
      </c>
      <c r="C70" s="1">
        <v>308697</v>
      </c>
      <c r="D70" s="1">
        <v>311395</v>
      </c>
      <c r="E70" s="1">
        <v>315428</v>
      </c>
      <c r="F70" s="1">
        <v>345067.81300000002</v>
      </c>
      <c r="G70" s="1">
        <v>365312.647</v>
      </c>
      <c r="H70" s="1">
        <v>343468.66600000003</v>
      </c>
      <c r="I70" s="1">
        <v>337873.71500000003</v>
      </c>
      <c r="J70" s="1">
        <f t="shared" si="27"/>
        <v>75360.26999999999</v>
      </c>
      <c r="K70" s="1">
        <f t="shared" si="28"/>
        <v>82618.925999999992</v>
      </c>
      <c r="L70" s="1">
        <f t="shared" si="29"/>
        <v>75992.682000000001</v>
      </c>
      <c r="M70" s="1">
        <f t="shared" si="30"/>
        <v>73409.313000000009</v>
      </c>
      <c r="N70" s="1">
        <f t="shared" si="31"/>
        <v>269707.54300000006</v>
      </c>
      <c r="O70" s="1">
        <f t="shared" si="32"/>
        <v>282693.72100000002</v>
      </c>
      <c r="P70" s="1">
        <f t="shared" si="33"/>
        <v>267475.98400000005</v>
      </c>
      <c r="Q70" s="1">
        <f t="shared" si="34"/>
        <v>264464.402</v>
      </c>
      <c r="R70" s="1">
        <v>0</v>
      </c>
      <c r="S70" s="1">
        <v>0</v>
      </c>
      <c r="T70" s="1">
        <v>0</v>
      </c>
      <c r="U70" s="1">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17398.748</v>
      </c>
      <c r="AQ70" s="1">
        <v>24004.567999999999</v>
      </c>
      <c r="AR70" s="1">
        <v>21343.431</v>
      </c>
      <c r="AS70" s="1">
        <v>24658.420000000002</v>
      </c>
      <c r="AT70" s="1">
        <v>0</v>
      </c>
      <c r="AU70" s="1">
        <v>17398.748</v>
      </c>
      <c r="AV70" s="1">
        <v>0</v>
      </c>
      <c r="AW70" s="1">
        <v>0</v>
      </c>
      <c r="AX70" s="1">
        <v>0</v>
      </c>
      <c r="AY70" s="1">
        <v>24004.567999999999</v>
      </c>
      <c r="AZ70" s="1">
        <v>0</v>
      </c>
      <c r="BA70" s="1">
        <v>0</v>
      </c>
      <c r="BB70" s="1">
        <v>0</v>
      </c>
      <c r="BC70" s="1">
        <v>21343.431</v>
      </c>
      <c r="BD70" s="1">
        <v>0</v>
      </c>
      <c r="BE70" s="1">
        <v>0</v>
      </c>
      <c r="BF70" s="1">
        <v>24658.420000000002</v>
      </c>
      <c r="BG70" s="1">
        <v>0</v>
      </c>
      <c r="BH70" s="1">
        <v>0</v>
      </c>
      <c r="BI70" s="1">
        <v>0</v>
      </c>
      <c r="BJ70" s="1">
        <v>0</v>
      </c>
      <c r="BK70" s="1">
        <v>0</v>
      </c>
      <c r="BL70" s="1">
        <v>0</v>
      </c>
      <c r="BM70" s="1">
        <v>0</v>
      </c>
      <c r="BN70" s="1">
        <v>0</v>
      </c>
      <c r="BO70" s="1">
        <v>0</v>
      </c>
      <c r="BP70" s="1">
        <v>0</v>
      </c>
      <c r="BQ70" s="1">
        <v>0</v>
      </c>
      <c r="BR70" s="1">
        <v>0</v>
      </c>
      <c r="BS70" s="1">
        <v>0</v>
      </c>
      <c r="BT70" s="1">
        <v>0</v>
      </c>
      <c r="BU70" s="1">
        <v>23859.786</v>
      </c>
      <c r="BV70" s="1">
        <v>23062.719000000001</v>
      </c>
      <c r="BW70" s="1">
        <v>18503.635999999999</v>
      </c>
      <c r="BX70" s="1">
        <v>18421.451000000001</v>
      </c>
      <c r="BY70" s="1">
        <v>23856.045999999998</v>
      </c>
      <c r="BZ70" s="1">
        <v>23061.888999999999</v>
      </c>
      <c r="CA70" s="1">
        <v>18503.635999999999</v>
      </c>
      <c r="CB70" s="1">
        <v>18421.201000000001</v>
      </c>
      <c r="CC70" s="1">
        <v>3.74</v>
      </c>
      <c r="CD70" s="1">
        <v>0.83</v>
      </c>
      <c r="CE70" s="1">
        <v>0</v>
      </c>
      <c r="CF70" s="1">
        <v>0.25</v>
      </c>
      <c r="CG70" s="1">
        <v>0</v>
      </c>
      <c r="CH70" s="1">
        <v>0</v>
      </c>
      <c r="CI70" s="1">
        <v>0</v>
      </c>
      <c r="CJ70" s="1">
        <v>0</v>
      </c>
      <c r="CK70" s="1">
        <v>0</v>
      </c>
      <c r="CL70" s="1">
        <v>0</v>
      </c>
      <c r="CM70" s="1">
        <v>0</v>
      </c>
      <c r="CN70" s="1">
        <v>0</v>
      </c>
      <c r="CO70" s="1">
        <v>0</v>
      </c>
      <c r="CP70" s="1">
        <v>0</v>
      </c>
      <c r="CQ70" s="1">
        <v>0</v>
      </c>
      <c r="CR70" s="1">
        <v>0</v>
      </c>
      <c r="CS70" s="1">
        <v>8099.9219999999996</v>
      </c>
      <c r="CT70" s="1">
        <v>7244.3140000000003</v>
      </c>
      <c r="CU70" s="1">
        <v>9096.8070000000007</v>
      </c>
      <c r="CV70" s="1">
        <v>6060.7440000000006</v>
      </c>
      <c r="CW70" s="1">
        <v>8054.3170000000009</v>
      </c>
      <c r="CX70" s="1">
        <v>7177.3789999999999</v>
      </c>
      <c r="CY70" s="1">
        <v>8899.9279999999999</v>
      </c>
      <c r="CZ70" s="1">
        <v>5817.2530000000006</v>
      </c>
      <c r="DA70" s="1">
        <v>45.604999999999997</v>
      </c>
      <c r="DB70" s="1">
        <v>66.935000000000002</v>
      </c>
      <c r="DC70" s="1">
        <v>196.87899999999999</v>
      </c>
      <c r="DD70" s="1">
        <v>243.49100000000001</v>
      </c>
      <c r="DE70" s="1">
        <v>0</v>
      </c>
      <c r="DF70" s="1">
        <v>0</v>
      </c>
      <c r="DG70" s="1">
        <v>0</v>
      </c>
      <c r="DH70" s="1">
        <v>0</v>
      </c>
      <c r="DI70" s="1">
        <v>0</v>
      </c>
      <c r="DJ70" s="1">
        <v>0</v>
      </c>
      <c r="DK70" s="1">
        <v>0</v>
      </c>
      <c r="DL70" s="1">
        <v>0</v>
      </c>
      <c r="DM70" s="1">
        <v>10871.102999999999</v>
      </c>
      <c r="DN70" s="1">
        <v>10876.449000000001</v>
      </c>
      <c r="DO70" s="1">
        <v>9892.5750000000007</v>
      </c>
      <c r="DP70" s="1">
        <v>10032.313</v>
      </c>
      <c r="DQ70" s="1">
        <v>10871.102999999999</v>
      </c>
      <c r="DR70" s="1">
        <v>10876.449000000001</v>
      </c>
      <c r="DS70" s="1">
        <v>9892.5750000000007</v>
      </c>
      <c r="DT70" s="1">
        <v>10032.313</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8423.637999999999</v>
      </c>
      <c r="EL70" s="1">
        <v>9335.8520000000008</v>
      </c>
      <c r="EM70" s="1">
        <v>7883.9249999999993</v>
      </c>
      <c r="EN70" s="1">
        <v>6330.4470000000001</v>
      </c>
      <c r="EO70" s="1">
        <v>8331.4699999999993</v>
      </c>
      <c r="EP70" s="1">
        <v>8960.1779999999999</v>
      </c>
      <c r="EQ70" s="1">
        <v>7388.4969999999994</v>
      </c>
      <c r="ER70" s="1">
        <v>5759.13</v>
      </c>
      <c r="ES70" s="1">
        <v>92.168000000000006</v>
      </c>
      <c r="ET70" s="1">
        <v>375.67399999999998</v>
      </c>
      <c r="EU70" s="1">
        <v>495.428</v>
      </c>
      <c r="EV70" s="1">
        <v>571.31700000000001</v>
      </c>
      <c r="EW70" s="1">
        <v>0</v>
      </c>
      <c r="EX70" s="1">
        <v>0</v>
      </c>
      <c r="EY70" s="1">
        <v>0</v>
      </c>
      <c r="EZ70" s="1">
        <v>0</v>
      </c>
      <c r="FA70" s="1">
        <v>0</v>
      </c>
      <c r="FB70" s="1">
        <v>0</v>
      </c>
      <c r="FC70" s="1">
        <v>0</v>
      </c>
      <c r="FD70" s="1">
        <v>0</v>
      </c>
      <c r="FE70" s="1">
        <v>433.97699999999998</v>
      </c>
      <c r="FF70" s="1">
        <v>489.536</v>
      </c>
      <c r="FG70" s="1">
        <v>218.27199999999999</v>
      </c>
      <c r="FH70" s="1">
        <v>247.654</v>
      </c>
      <c r="FI70" s="1">
        <v>433.97699999999998</v>
      </c>
      <c r="FJ70" s="1">
        <v>489.536</v>
      </c>
      <c r="FK70" s="1">
        <v>218.27199999999999</v>
      </c>
      <c r="FL70" s="1">
        <v>247.654</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5294.5740000000014</v>
      </c>
      <c r="GD70" s="1">
        <v>5580.6959999999999</v>
      </c>
      <c r="GE70" s="1">
        <v>6612.4409999999998</v>
      </c>
      <c r="GF70" s="1">
        <v>5174.357</v>
      </c>
      <c r="GG70" s="1">
        <v>4217.8919999999998</v>
      </c>
      <c r="GH70" s="1">
        <v>3868.6329999999998</v>
      </c>
      <c r="GI70" s="1">
        <v>4658.1329999999998</v>
      </c>
      <c r="GJ70" s="1">
        <v>2925.797</v>
      </c>
      <c r="GK70" s="1">
        <v>1076.682</v>
      </c>
      <c r="GL70" s="1">
        <v>1712.0630000000001</v>
      </c>
      <c r="GM70" s="1">
        <v>1954.308</v>
      </c>
      <c r="GN70" s="1">
        <v>2248.56</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187.25200000000001</v>
      </c>
      <c r="HF70" s="1">
        <v>125.247</v>
      </c>
      <c r="HG70" s="1">
        <v>62.3</v>
      </c>
      <c r="HH70" s="1">
        <v>1576.3309999999999</v>
      </c>
      <c r="HI70" s="1">
        <v>187.25200000000001</v>
      </c>
      <c r="HJ70" s="1">
        <v>125.247</v>
      </c>
      <c r="HK70" s="1">
        <v>62.3</v>
      </c>
      <c r="HL70" s="1">
        <v>1576.3309999999999</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791.27</v>
      </c>
      <c r="IP70" s="1">
        <v>1899.5450000000001</v>
      </c>
      <c r="IQ70" s="1">
        <v>2379.2950000000001</v>
      </c>
      <c r="IR70" s="1">
        <v>907.596</v>
      </c>
      <c r="IS70" s="1">
        <v>718.84699999999998</v>
      </c>
      <c r="IT70" s="1">
        <v>1535.777</v>
      </c>
      <c r="IU70" s="1">
        <v>1750.559</v>
      </c>
      <c r="IV70" s="1">
        <v>99.057000000000002</v>
      </c>
      <c r="IW70" s="1">
        <v>72.423000000000002</v>
      </c>
      <c r="IX70" s="1">
        <v>363.76799999999997</v>
      </c>
      <c r="IY70" s="1">
        <v>628.73599999999999</v>
      </c>
      <c r="IZ70" s="1">
        <v>808.53899999999999</v>
      </c>
      <c r="JA70" s="1">
        <v>0</v>
      </c>
      <c r="JB70" s="1">
        <v>0</v>
      </c>
      <c r="JC70" s="1">
        <v>0</v>
      </c>
      <c r="JD70" s="1">
        <v>0</v>
      </c>
      <c r="JE70" s="1">
        <v>0</v>
      </c>
      <c r="JF70" s="1">
        <v>0</v>
      </c>
      <c r="JG70" s="1">
        <v>0</v>
      </c>
      <c r="JH70" s="1">
        <v>0</v>
      </c>
      <c r="JI70" s="1">
        <v>0</v>
      </c>
      <c r="JJ70" s="1">
        <v>0</v>
      </c>
      <c r="JK70" s="1">
        <v>0</v>
      </c>
      <c r="JL70" s="1">
        <v>0</v>
      </c>
      <c r="JM70" s="1">
        <v>0</v>
      </c>
      <c r="JN70" s="1">
        <v>0</v>
      </c>
      <c r="JO70" s="1">
        <v>0</v>
      </c>
      <c r="JP70" s="1">
        <v>0</v>
      </c>
      <c r="JQ70" s="9"/>
      <c r="JR70" s="1">
        <f t="shared" si="25"/>
        <v>72821.036610000025</v>
      </c>
      <c r="JS70" s="1">
        <f t="shared" si="25"/>
        <v>76327.304670000012</v>
      </c>
      <c r="JT70" s="1">
        <f t="shared" si="25"/>
        <v>72218.515680000026</v>
      </c>
      <c r="JU70" s="1">
        <f t="shared" si="25"/>
        <v>71405.38854</v>
      </c>
      <c r="JV70" s="1">
        <f t="shared" si="26"/>
        <v>13485.377150000004</v>
      </c>
      <c r="JW70" s="1">
        <f t="shared" si="26"/>
        <v>14134.686050000002</v>
      </c>
      <c r="JX70" s="1">
        <f t="shared" si="26"/>
        <v>13373.799200000003</v>
      </c>
      <c r="JY70" s="1">
        <f t="shared" si="26"/>
        <v>13223.2201</v>
      </c>
    </row>
    <row r="71" spans="1:285" x14ac:dyDescent="0.35">
      <c r="A71" s="2" t="s">
        <v>78</v>
      </c>
      <c r="B71" s="1">
        <v>377670</v>
      </c>
      <c r="C71" s="1">
        <v>381245</v>
      </c>
      <c r="D71" s="1">
        <v>383509</v>
      </c>
      <c r="E71" s="1">
        <v>386151</v>
      </c>
      <c r="F71" s="1">
        <v>377505.73</v>
      </c>
      <c r="G71" s="1">
        <v>408437.88</v>
      </c>
      <c r="H71" s="1">
        <v>388291.6</v>
      </c>
      <c r="I71" s="1">
        <v>378382.788</v>
      </c>
      <c r="J71" s="1">
        <f t="shared" si="27"/>
        <v>132388.35</v>
      </c>
      <c r="K71" s="1">
        <f t="shared" si="28"/>
        <v>144623.50999999998</v>
      </c>
      <c r="L71" s="1">
        <f t="shared" si="29"/>
        <v>131796.93</v>
      </c>
      <c r="M71" s="1">
        <f t="shared" si="30"/>
        <v>130482.666</v>
      </c>
      <c r="N71" s="1">
        <f t="shared" si="31"/>
        <v>245117.37999999998</v>
      </c>
      <c r="O71" s="1">
        <f t="shared" si="32"/>
        <v>263814.37</v>
      </c>
      <c r="P71" s="1">
        <f t="shared" si="33"/>
        <v>256494.66999999998</v>
      </c>
      <c r="Q71" s="1">
        <f t="shared" si="34"/>
        <v>247900.122</v>
      </c>
      <c r="R71" s="1">
        <v>16195.07</v>
      </c>
      <c r="S71" s="1">
        <v>15721.34</v>
      </c>
      <c r="T71" s="1">
        <v>17955.79</v>
      </c>
      <c r="U71" s="1">
        <v>14713.73</v>
      </c>
      <c r="V71" s="1">
        <v>0</v>
      </c>
      <c r="W71" s="1">
        <v>0</v>
      </c>
      <c r="X71" s="1">
        <v>16195.07</v>
      </c>
      <c r="Y71" s="1">
        <v>0</v>
      </c>
      <c r="Z71" s="1">
        <v>0</v>
      </c>
      <c r="AA71" s="1">
        <v>15721.34</v>
      </c>
      <c r="AB71" s="1">
        <v>0</v>
      </c>
      <c r="AC71" s="1">
        <v>0</v>
      </c>
      <c r="AD71" s="1">
        <v>17955.79</v>
      </c>
      <c r="AE71" s="1">
        <v>0</v>
      </c>
      <c r="AF71" s="1">
        <v>0</v>
      </c>
      <c r="AG71" s="1">
        <v>14713.73</v>
      </c>
      <c r="AH71" s="1">
        <v>0</v>
      </c>
      <c r="AI71" s="1">
        <v>0</v>
      </c>
      <c r="AJ71" s="1">
        <v>0</v>
      </c>
      <c r="AK71" s="1">
        <v>0</v>
      </c>
      <c r="AL71" s="1">
        <v>0</v>
      </c>
      <c r="AM71" s="1">
        <v>0</v>
      </c>
      <c r="AN71" s="1">
        <v>0</v>
      </c>
      <c r="AO71" s="1">
        <v>0</v>
      </c>
      <c r="AP71" s="1">
        <v>30426.400000000001</v>
      </c>
      <c r="AQ71" s="1">
        <v>35274.319999999992</v>
      </c>
      <c r="AR71" s="1">
        <v>31598.68</v>
      </c>
      <c r="AS71" s="1">
        <v>36181.17</v>
      </c>
      <c r="AT71" s="1">
        <v>0</v>
      </c>
      <c r="AU71" s="1">
        <v>30426.400000000001</v>
      </c>
      <c r="AV71" s="1">
        <v>0</v>
      </c>
      <c r="AW71" s="1">
        <v>0</v>
      </c>
      <c r="AX71" s="1">
        <v>0</v>
      </c>
      <c r="AY71" s="1">
        <v>35274.319999999992</v>
      </c>
      <c r="AZ71" s="1">
        <v>0</v>
      </c>
      <c r="BA71" s="1">
        <v>0</v>
      </c>
      <c r="BB71" s="1">
        <v>0</v>
      </c>
      <c r="BC71" s="1">
        <v>31598.68</v>
      </c>
      <c r="BD71" s="1">
        <v>0</v>
      </c>
      <c r="BE71" s="1">
        <v>0</v>
      </c>
      <c r="BF71" s="1">
        <v>36181.17</v>
      </c>
      <c r="BG71" s="1">
        <v>0</v>
      </c>
      <c r="BH71" s="1">
        <v>0</v>
      </c>
      <c r="BI71" s="1">
        <v>0</v>
      </c>
      <c r="BJ71" s="1">
        <v>0</v>
      </c>
      <c r="BK71" s="1">
        <v>0</v>
      </c>
      <c r="BL71" s="1">
        <v>0</v>
      </c>
      <c r="BM71" s="1">
        <v>0</v>
      </c>
      <c r="BN71" s="1">
        <v>0</v>
      </c>
      <c r="BO71" s="1">
        <v>0</v>
      </c>
      <c r="BP71" s="1">
        <v>0</v>
      </c>
      <c r="BQ71" s="1">
        <v>0</v>
      </c>
      <c r="BR71" s="1">
        <v>0</v>
      </c>
      <c r="BS71" s="1">
        <v>0</v>
      </c>
      <c r="BT71" s="1">
        <v>0</v>
      </c>
      <c r="BU71" s="1">
        <v>23202.97</v>
      </c>
      <c r="BV71" s="1">
        <v>23426.14</v>
      </c>
      <c r="BW71" s="1">
        <v>22091.21</v>
      </c>
      <c r="BX71" s="1">
        <v>20688.95</v>
      </c>
      <c r="BY71" s="1">
        <v>23200.23</v>
      </c>
      <c r="BZ71" s="1">
        <v>23426.14</v>
      </c>
      <c r="CA71" s="1">
        <v>22091.21</v>
      </c>
      <c r="CB71" s="1">
        <v>20688.95</v>
      </c>
      <c r="CC71" s="1">
        <v>2.74</v>
      </c>
      <c r="CD71" s="1">
        <v>0</v>
      </c>
      <c r="CE71" s="1">
        <v>0</v>
      </c>
      <c r="CF71" s="1">
        <v>0</v>
      </c>
      <c r="CG71" s="1">
        <v>0</v>
      </c>
      <c r="CH71" s="1">
        <v>0</v>
      </c>
      <c r="CI71" s="1">
        <v>0</v>
      </c>
      <c r="CJ71" s="1">
        <v>0</v>
      </c>
      <c r="CK71" s="1">
        <v>0</v>
      </c>
      <c r="CL71" s="1">
        <v>0</v>
      </c>
      <c r="CM71" s="1">
        <v>0</v>
      </c>
      <c r="CN71" s="1">
        <v>0</v>
      </c>
      <c r="CO71" s="1">
        <v>0</v>
      </c>
      <c r="CP71" s="1">
        <v>0</v>
      </c>
      <c r="CQ71" s="1">
        <v>0</v>
      </c>
      <c r="CR71" s="1">
        <v>0</v>
      </c>
      <c r="CS71" s="1">
        <v>6217.0300000000007</v>
      </c>
      <c r="CT71" s="1">
        <v>5830.97</v>
      </c>
      <c r="CU71" s="1">
        <v>5330.64</v>
      </c>
      <c r="CV71" s="1">
        <v>4357.3999999999996</v>
      </c>
      <c r="CW71" s="1">
        <v>6217.0300000000007</v>
      </c>
      <c r="CX71" s="1">
        <v>5830.97</v>
      </c>
      <c r="CY71" s="1">
        <v>5330.64</v>
      </c>
      <c r="CZ71" s="1">
        <v>4357.3999999999996</v>
      </c>
      <c r="DA71" s="1">
        <v>0</v>
      </c>
      <c r="DB71" s="1">
        <v>0</v>
      </c>
      <c r="DC71" s="1">
        <v>0</v>
      </c>
      <c r="DD71" s="1">
        <v>0</v>
      </c>
      <c r="DE71" s="1">
        <v>0</v>
      </c>
      <c r="DF71" s="1">
        <v>0</v>
      </c>
      <c r="DG71" s="1">
        <v>0</v>
      </c>
      <c r="DH71" s="1">
        <v>0</v>
      </c>
      <c r="DI71" s="1">
        <v>0</v>
      </c>
      <c r="DJ71" s="1">
        <v>0</v>
      </c>
      <c r="DK71" s="1">
        <v>0</v>
      </c>
      <c r="DL71" s="1">
        <v>0</v>
      </c>
      <c r="DM71" s="1">
        <v>13899.72</v>
      </c>
      <c r="DN71" s="1">
        <v>14033.03</v>
      </c>
      <c r="DO71" s="1">
        <v>13070.28</v>
      </c>
      <c r="DP71" s="1">
        <v>12198.13</v>
      </c>
      <c r="DQ71" s="1">
        <v>13899.72</v>
      </c>
      <c r="DR71" s="1">
        <v>14033.03</v>
      </c>
      <c r="DS71" s="1">
        <v>13070.28</v>
      </c>
      <c r="DT71" s="1">
        <v>12198.13</v>
      </c>
      <c r="DU71" s="1">
        <v>0</v>
      </c>
      <c r="DV71" s="1">
        <v>0</v>
      </c>
      <c r="DW71" s="1">
        <v>0</v>
      </c>
      <c r="DX71" s="1">
        <v>0</v>
      </c>
      <c r="DY71" s="1">
        <v>0</v>
      </c>
      <c r="DZ71" s="1">
        <v>0</v>
      </c>
      <c r="EA71" s="1">
        <v>0</v>
      </c>
      <c r="EB71" s="1">
        <v>0</v>
      </c>
      <c r="EC71" s="1">
        <v>0</v>
      </c>
      <c r="ED71" s="1">
        <v>0</v>
      </c>
      <c r="EE71" s="1">
        <v>0</v>
      </c>
      <c r="EF71" s="1">
        <v>0</v>
      </c>
      <c r="EG71" s="1">
        <v>0</v>
      </c>
      <c r="EH71" s="1">
        <v>0</v>
      </c>
      <c r="EI71" s="1">
        <v>0</v>
      </c>
      <c r="EJ71" s="1">
        <v>0</v>
      </c>
      <c r="EK71" s="1">
        <v>8110.33</v>
      </c>
      <c r="EL71" s="1">
        <v>8880.84</v>
      </c>
      <c r="EM71" s="1">
        <v>7941.43</v>
      </c>
      <c r="EN71" s="1">
        <v>6955.92</v>
      </c>
      <c r="EO71" s="1">
        <v>8110.33</v>
      </c>
      <c r="EP71" s="1">
        <v>8880.84</v>
      </c>
      <c r="EQ71" s="1">
        <v>7941.43</v>
      </c>
      <c r="ER71" s="1">
        <v>6955.92</v>
      </c>
      <c r="ES71" s="1">
        <v>0</v>
      </c>
      <c r="ET71" s="1">
        <v>0</v>
      </c>
      <c r="EU71" s="1">
        <v>0</v>
      </c>
      <c r="EV71" s="1">
        <v>0</v>
      </c>
      <c r="EW71" s="1">
        <v>0</v>
      </c>
      <c r="EX71" s="1">
        <v>0</v>
      </c>
      <c r="EY71" s="1">
        <v>0</v>
      </c>
      <c r="EZ71" s="1">
        <v>0</v>
      </c>
      <c r="FA71" s="1">
        <v>0</v>
      </c>
      <c r="FB71" s="1">
        <v>0</v>
      </c>
      <c r="FC71" s="1">
        <v>0</v>
      </c>
      <c r="FD71" s="1">
        <v>0</v>
      </c>
      <c r="FE71" s="1">
        <v>828.58</v>
      </c>
      <c r="FF71" s="1">
        <v>1460.03</v>
      </c>
      <c r="FG71" s="1">
        <v>1190.8499999999999</v>
      </c>
      <c r="FH71" s="1">
        <v>1157.7239999999999</v>
      </c>
      <c r="FI71" s="1">
        <v>708.98</v>
      </c>
      <c r="FJ71" s="1">
        <v>1358.16</v>
      </c>
      <c r="FK71" s="1">
        <v>1118.26</v>
      </c>
      <c r="FL71" s="1">
        <v>1039.94</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7899.82</v>
      </c>
      <c r="GD71" s="1">
        <v>8977.39</v>
      </c>
      <c r="GE71" s="1">
        <v>7848.62</v>
      </c>
      <c r="GF71" s="1">
        <v>7632.4319999999998</v>
      </c>
      <c r="GG71" s="1">
        <v>7645.84</v>
      </c>
      <c r="GH71" s="1">
        <v>8457.31</v>
      </c>
      <c r="GI71" s="1">
        <v>7568.5599999999986</v>
      </c>
      <c r="GJ71" s="1">
        <v>7428.72</v>
      </c>
      <c r="GK71" s="1">
        <v>253.98</v>
      </c>
      <c r="GL71" s="1">
        <v>520.08000000000004</v>
      </c>
      <c r="GM71" s="1">
        <v>280.06</v>
      </c>
      <c r="GN71" s="1">
        <v>203.71199999999999</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23493.95</v>
      </c>
      <c r="HF71" s="1">
        <v>26796.91</v>
      </c>
      <c r="HG71" s="1">
        <v>18110.740000000002</v>
      </c>
      <c r="HH71" s="1">
        <v>19518.53</v>
      </c>
      <c r="HI71" s="1">
        <v>16248.31</v>
      </c>
      <c r="HJ71" s="1">
        <v>18086.82</v>
      </c>
      <c r="HK71" s="1">
        <v>10414.65</v>
      </c>
      <c r="HL71" s="1">
        <v>11642.7</v>
      </c>
      <c r="HM71" s="1">
        <v>0</v>
      </c>
      <c r="HN71" s="1">
        <v>0</v>
      </c>
      <c r="HO71" s="1">
        <v>0</v>
      </c>
      <c r="HP71" s="1">
        <v>0</v>
      </c>
      <c r="HQ71" s="1">
        <v>0</v>
      </c>
      <c r="HR71" s="1">
        <v>0</v>
      </c>
      <c r="HS71" s="1">
        <v>0</v>
      </c>
      <c r="HT71" s="1">
        <v>0</v>
      </c>
      <c r="HU71" s="1">
        <v>441.34</v>
      </c>
      <c r="HV71" s="1">
        <v>512.79</v>
      </c>
      <c r="HW71" s="1">
        <v>468.8</v>
      </c>
      <c r="HX71" s="1">
        <v>479.75</v>
      </c>
      <c r="HY71" s="1">
        <v>0</v>
      </c>
      <c r="HZ71" s="1">
        <v>0</v>
      </c>
      <c r="IA71" s="1">
        <v>0</v>
      </c>
      <c r="IB71" s="1">
        <v>0</v>
      </c>
      <c r="IC71" s="1">
        <v>6804.3</v>
      </c>
      <c r="ID71" s="1">
        <v>8197.2999999999993</v>
      </c>
      <c r="IE71" s="1">
        <v>7227.29</v>
      </c>
      <c r="IF71" s="1">
        <v>7396.08</v>
      </c>
      <c r="IG71" s="1">
        <v>0</v>
      </c>
      <c r="IH71" s="1">
        <v>0</v>
      </c>
      <c r="II71" s="1">
        <v>0</v>
      </c>
      <c r="IJ71" s="1">
        <v>0</v>
      </c>
      <c r="IK71" s="1">
        <v>0</v>
      </c>
      <c r="IL71" s="1">
        <v>0</v>
      </c>
      <c r="IM71" s="1">
        <v>0</v>
      </c>
      <c r="IN71" s="1">
        <v>0</v>
      </c>
      <c r="IO71" s="1">
        <v>2114.48</v>
      </c>
      <c r="IP71" s="1">
        <v>4222.54</v>
      </c>
      <c r="IQ71" s="1">
        <v>6658.6900000000014</v>
      </c>
      <c r="IR71" s="1">
        <v>7078.68</v>
      </c>
      <c r="IS71" s="1">
        <v>1537.28</v>
      </c>
      <c r="IT71" s="1">
        <v>3209.6</v>
      </c>
      <c r="IU71" s="1">
        <v>5436.8600000000006</v>
      </c>
      <c r="IV71" s="1">
        <v>5664.12</v>
      </c>
      <c r="IW71" s="1">
        <v>577.20000000000005</v>
      </c>
      <c r="IX71" s="1">
        <v>1012.94</v>
      </c>
      <c r="IY71" s="1">
        <v>1221.83</v>
      </c>
      <c r="IZ71" s="1">
        <v>1414.56</v>
      </c>
      <c r="JA71" s="1">
        <v>0</v>
      </c>
      <c r="JB71" s="1">
        <v>0</v>
      </c>
      <c r="JC71" s="1">
        <v>0</v>
      </c>
      <c r="JD71" s="1">
        <v>0</v>
      </c>
      <c r="JE71" s="1">
        <v>0</v>
      </c>
      <c r="JF71" s="1">
        <v>0</v>
      </c>
      <c r="JG71" s="1">
        <v>0</v>
      </c>
      <c r="JH71" s="1">
        <v>0</v>
      </c>
      <c r="JI71" s="1">
        <v>0</v>
      </c>
      <c r="JJ71" s="1">
        <v>0</v>
      </c>
      <c r="JK71" s="1">
        <v>0</v>
      </c>
      <c r="JL71" s="1">
        <v>0</v>
      </c>
      <c r="JM71" s="1">
        <v>0</v>
      </c>
      <c r="JN71" s="1">
        <v>0</v>
      </c>
      <c r="JO71" s="1">
        <v>0</v>
      </c>
      <c r="JP71" s="1">
        <v>0</v>
      </c>
      <c r="JQ71" s="9"/>
      <c r="JR71" s="1">
        <f t="shared" si="25"/>
        <v>66181.692599999995</v>
      </c>
      <c r="JS71" s="1">
        <f t="shared" si="25"/>
        <v>71229.8799</v>
      </c>
      <c r="JT71" s="1">
        <f t="shared" si="25"/>
        <v>69253.560899999997</v>
      </c>
      <c r="JU71" s="1">
        <f t="shared" si="25"/>
        <v>66933.032940000005</v>
      </c>
      <c r="JV71" s="1">
        <f t="shared" si="26"/>
        <v>12255.868999999999</v>
      </c>
      <c r="JW71" s="1">
        <f t="shared" si="26"/>
        <v>13190.718500000001</v>
      </c>
      <c r="JX71" s="1">
        <f t="shared" si="26"/>
        <v>12824.7335</v>
      </c>
      <c r="JY71" s="1">
        <f t="shared" si="26"/>
        <v>12395.006100000001</v>
      </c>
    </row>
    <row r="72" spans="1:285" x14ac:dyDescent="0.35">
      <c r="A72" s="2" t="s">
        <v>79</v>
      </c>
      <c r="B72" s="1">
        <v>116134</v>
      </c>
      <c r="C72" s="1">
        <v>116549</v>
      </c>
      <c r="D72" s="1">
        <v>117445</v>
      </c>
      <c r="E72" s="1">
        <v>118781</v>
      </c>
      <c r="F72" s="1">
        <v>31492.9</v>
      </c>
      <c r="G72" s="1">
        <v>33438.25</v>
      </c>
      <c r="H72" s="1">
        <v>32369.17</v>
      </c>
      <c r="I72" s="1">
        <v>31966.59</v>
      </c>
      <c r="J72" s="1">
        <f t="shared" si="27"/>
        <v>22119.479999999996</v>
      </c>
      <c r="K72" s="1">
        <f t="shared" si="28"/>
        <v>24428.219999999998</v>
      </c>
      <c r="L72" s="1">
        <f t="shared" si="29"/>
        <v>23401.100000000006</v>
      </c>
      <c r="M72" s="1">
        <f t="shared" si="30"/>
        <v>22887.919999999998</v>
      </c>
      <c r="N72" s="1">
        <f t="shared" si="31"/>
        <v>9373.4200000000055</v>
      </c>
      <c r="O72" s="1">
        <f t="shared" si="32"/>
        <v>9010.0300000000025</v>
      </c>
      <c r="P72" s="1">
        <f t="shared" si="33"/>
        <v>8968.0699999999924</v>
      </c>
      <c r="Q72" s="1">
        <f t="shared" si="34"/>
        <v>9078.6700000000019</v>
      </c>
      <c r="R72" s="1">
        <v>3762.92</v>
      </c>
      <c r="S72" s="1">
        <v>3770</v>
      </c>
      <c r="T72" s="1">
        <v>3474.28</v>
      </c>
      <c r="U72" s="1">
        <v>3212.34</v>
      </c>
      <c r="V72" s="1">
        <v>3762.92</v>
      </c>
      <c r="W72" s="1">
        <v>0</v>
      </c>
      <c r="X72" s="1">
        <v>0</v>
      </c>
      <c r="Y72" s="1">
        <v>3770</v>
      </c>
      <c r="Z72" s="1">
        <v>0</v>
      </c>
      <c r="AA72" s="1">
        <v>0</v>
      </c>
      <c r="AB72" s="1">
        <v>3474.28</v>
      </c>
      <c r="AC72" s="1">
        <v>0</v>
      </c>
      <c r="AD72" s="1">
        <v>0</v>
      </c>
      <c r="AE72" s="1">
        <v>3212.34</v>
      </c>
      <c r="AF72" s="1">
        <v>0</v>
      </c>
      <c r="AG72" s="1">
        <v>0</v>
      </c>
      <c r="AH72" s="1">
        <v>0</v>
      </c>
      <c r="AI72" s="1">
        <v>0</v>
      </c>
      <c r="AJ72" s="1">
        <v>0</v>
      </c>
      <c r="AK72" s="1">
        <v>0</v>
      </c>
      <c r="AL72" s="1">
        <v>0</v>
      </c>
      <c r="AM72" s="1">
        <v>0</v>
      </c>
      <c r="AN72" s="1">
        <v>0</v>
      </c>
      <c r="AO72" s="1">
        <v>0</v>
      </c>
      <c r="AP72" s="1">
        <v>3863.5999999999995</v>
      </c>
      <c r="AQ72" s="1">
        <v>3474.3199999999997</v>
      </c>
      <c r="AR72" s="1">
        <v>3603.72</v>
      </c>
      <c r="AS72" s="1">
        <v>3907.08</v>
      </c>
      <c r="AT72" s="1">
        <v>0</v>
      </c>
      <c r="AU72" s="1">
        <v>3863.5999999999995</v>
      </c>
      <c r="AV72" s="1">
        <v>0</v>
      </c>
      <c r="AW72" s="1">
        <v>0</v>
      </c>
      <c r="AX72" s="1">
        <v>0</v>
      </c>
      <c r="AY72" s="1">
        <v>3474.3199999999997</v>
      </c>
      <c r="AZ72" s="1">
        <v>0</v>
      </c>
      <c r="BA72" s="1">
        <v>0</v>
      </c>
      <c r="BB72" s="1">
        <v>0</v>
      </c>
      <c r="BC72" s="1">
        <v>3603.72</v>
      </c>
      <c r="BD72" s="1">
        <v>0</v>
      </c>
      <c r="BE72" s="1">
        <v>0</v>
      </c>
      <c r="BF72" s="1">
        <v>3907.08</v>
      </c>
      <c r="BG72" s="1">
        <v>0</v>
      </c>
      <c r="BH72" s="1">
        <v>0</v>
      </c>
      <c r="BI72" s="1">
        <v>0</v>
      </c>
      <c r="BJ72" s="1">
        <v>0</v>
      </c>
      <c r="BK72" s="1">
        <v>0</v>
      </c>
      <c r="BL72" s="1">
        <v>0</v>
      </c>
      <c r="BM72" s="1">
        <v>0</v>
      </c>
      <c r="BN72" s="1">
        <v>0</v>
      </c>
      <c r="BO72" s="1">
        <v>0</v>
      </c>
      <c r="BP72" s="1">
        <v>0</v>
      </c>
      <c r="BQ72" s="1">
        <v>0</v>
      </c>
      <c r="BR72" s="1">
        <v>0</v>
      </c>
      <c r="BS72" s="1">
        <v>0</v>
      </c>
      <c r="BT72" s="1">
        <v>0</v>
      </c>
      <c r="BU72" s="1">
        <v>5243.9600000000009</v>
      </c>
      <c r="BV72" s="1">
        <v>5924.53</v>
      </c>
      <c r="BW72" s="1">
        <v>5400.22</v>
      </c>
      <c r="BX72" s="1">
        <v>5238.6100000000006</v>
      </c>
      <c r="BY72" s="1">
        <v>5243.9600000000009</v>
      </c>
      <c r="BZ72" s="1">
        <v>5924.53</v>
      </c>
      <c r="CA72" s="1">
        <v>5400.22</v>
      </c>
      <c r="CB72" s="1">
        <v>5238.6100000000006</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1683.12</v>
      </c>
      <c r="CT72" s="1">
        <v>2418.4699999999998</v>
      </c>
      <c r="CU72" s="1">
        <v>2409.63</v>
      </c>
      <c r="CV72" s="1">
        <v>2329.08</v>
      </c>
      <c r="CW72" s="1">
        <v>1683.12</v>
      </c>
      <c r="CX72" s="1">
        <v>2418.4699999999998</v>
      </c>
      <c r="CY72" s="1">
        <v>2409.63</v>
      </c>
      <c r="CZ72" s="1">
        <v>2329.08</v>
      </c>
      <c r="DA72" s="1">
        <v>0</v>
      </c>
      <c r="DB72" s="1">
        <v>0</v>
      </c>
      <c r="DC72" s="1">
        <v>0</v>
      </c>
      <c r="DD72" s="1">
        <v>0</v>
      </c>
      <c r="DE72" s="1">
        <v>0</v>
      </c>
      <c r="DF72" s="1">
        <v>0</v>
      </c>
      <c r="DG72" s="1">
        <v>0</v>
      </c>
      <c r="DH72" s="1">
        <v>0</v>
      </c>
      <c r="DI72" s="1">
        <v>0</v>
      </c>
      <c r="DJ72" s="1">
        <v>0</v>
      </c>
      <c r="DK72" s="1">
        <v>0</v>
      </c>
      <c r="DL72" s="1">
        <v>0</v>
      </c>
      <c r="DM72" s="1">
        <v>5171.82</v>
      </c>
      <c r="DN72" s="1">
        <v>5209.2700000000004</v>
      </c>
      <c r="DO72" s="1">
        <v>5123.13</v>
      </c>
      <c r="DP72" s="1">
        <v>4622.6000000000004</v>
      </c>
      <c r="DQ72" s="1">
        <v>5171.82</v>
      </c>
      <c r="DR72" s="1">
        <v>5209.2700000000004</v>
      </c>
      <c r="DS72" s="1">
        <v>5123.13</v>
      </c>
      <c r="DT72" s="1">
        <v>4622.6000000000004</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1546.12</v>
      </c>
      <c r="EL72" s="1">
        <v>2641.97</v>
      </c>
      <c r="EM72" s="1">
        <v>2222.66</v>
      </c>
      <c r="EN72" s="1">
        <v>2201.13</v>
      </c>
      <c r="EO72" s="1">
        <v>1546.12</v>
      </c>
      <c r="EP72" s="1">
        <v>2641.97</v>
      </c>
      <c r="EQ72" s="1">
        <v>2222.66</v>
      </c>
      <c r="ER72" s="1">
        <v>2201.13</v>
      </c>
      <c r="ES72" s="1">
        <v>0</v>
      </c>
      <c r="ET72" s="1">
        <v>0</v>
      </c>
      <c r="EU72" s="1">
        <v>0</v>
      </c>
      <c r="EV72" s="1">
        <v>0</v>
      </c>
      <c r="EW72" s="1">
        <v>0</v>
      </c>
      <c r="EX72" s="1">
        <v>0</v>
      </c>
      <c r="EY72" s="1">
        <v>0</v>
      </c>
      <c r="EZ72" s="1">
        <v>0</v>
      </c>
      <c r="FA72" s="1">
        <v>0</v>
      </c>
      <c r="FB72" s="1">
        <v>0</v>
      </c>
      <c r="FC72" s="1">
        <v>0</v>
      </c>
      <c r="FD72" s="1">
        <v>0</v>
      </c>
      <c r="FE72" s="1">
        <v>131.93</v>
      </c>
      <c r="FF72" s="1">
        <v>11.37</v>
      </c>
      <c r="FG72" s="1">
        <v>63.15</v>
      </c>
      <c r="FH72" s="1">
        <v>37.020000000000003</v>
      </c>
      <c r="FI72" s="1">
        <v>131.93</v>
      </c>
      <c r="FJ72" s="1">
        <v>11.37</v>
      </c>
      <c r="FK72" s="1">
        <v>63.15</v>
      </c>
      <c r="FL72" s="1">
        <v>37.020000000000003</v>
      </c>
      <c r="FM72" s="1">
        <v>119.6</v>
      </c>
      <c r="FN72" s="1">
        <v>101.87</v>
      </c>
      <c r="FO72" s="1">
        <v>72.59</v>
      </c>
      <c r="FP72" s="1">
        <v>117.78400000000001</v>
      </c>
      <c r="FQ72" s="1">
        <v>0</v>
      </c>
      <c r="FR72" s="1">
        <v>0</v>
      </c>
      <c r="FS72" s="1">
        <v>0</v>
      </c>
      <c r="FT72" s="1">
        <v>0</v>
      </c>
      <c r="FU72" s="1">
        <v>0</v>
      </c>
      <c r="FV72" s="1">
        <v>0</v>
      </c>
      <c r="FW72" s="1">
        <v>0</v>
      </c>
      <c r="FX72" s="1">
        <v>0</v>
      </c>
      <c r="FY72" s="1">
        <v>0</v>
      </c>
      <c r="FZ72" s="1">
        <v>0</v>
      </c>
      <c r="GA72" s="1">
        <v>0</v>
      </c>
      <c r="GB72" s="1">
        <v>0</v>
      </c>
      <c r="GC72" s="1">
        <v>40.69</v>
      </c>
      <c r="GD72" s="1">
        <v>13.52</v>
      </c>
      <c r="GE72" s="1">
        <v>35</v>
      </c>
      <c r="GF72" s="1">
        <v>30.46</v>
      </c>
      <c r="GG72" s="1">
        <v>40.69</v>
      </c>
      <c r="GH72" s="1">
        <v>13.52</v>
      </c>
      <c r="GI72" s="1">
        <v>35</v>
      </c>
      <c r="GJ72" s="1">
        <v>30.46</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675.31999999999994</v>
      </c>
      <c r="IP72" s="1">
        <v>964.77</v>
      </c>
      <c r="IQ72" s="1">
        <v>1069.31</v>
      </c>
      <c r="IR72" s="1">
        <v>1309.5999999999999</v>
      </c>
      <c r="IS72" s="1">
        <v>675.31999999999994</v>
      </c>
      <c r="IT72" s="1">
        <v>964.77</v>
      </c>
      <c r="IU72" s="1">
        <v>1069.31</v>
      </c>
      <c r="IV72" s="1">
        <v>1309.5999999999999</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0</v>
      </c>
      <c r="JO72" s="1">
        <v>0</v>
      </c>
      <c r="JP72" s="1">
        <v>0</v>
      </c>
      <c r="JQ72" s="9"/>
      <c r="JR72" s="1">
        <f t="shared" si="25"/>
        <v>2530.8234000000016</v>
      </c>
      <c r="JS72" s="1">
        <f t="shared" si="25"/>
        <v>2432.7081000000007</v>
      </c>
      <c r="JT72" s="1">
        <f t="shared" si="25"/>
        <v>2421.3788999999983</v>
      </c>
      <c r="JU72" s="1">
        <f t="shared" si="25"/>
        <v>2451.2409000000007</v>
      </c>
      <c r="JV72" s="1">
        <f t="shared" si="26"/>
        <v>468.67100000000028</v>
      </c>
      <c r="JW72" s="1">
        <f t="shared" si="26"/>
        <v>450.50150000000014</v>
      </c>
      <c r="JX72" s="1">
        <f t="shared" si="26"/>
        <v>448.40349999999967</v>
      </c>
      <c r="JY72" s="1">
        <f t="shared" si="26"/>
        <v>453.93350000000009</v>
      </c>
    </row>
    <row r="73" spans="1:285" x14ac:dyDescent="0.35">
      <c r="A73" s="2" t="s">
        <v>80</v>
      </c>
      <c r="B73" s="1">
        <v>322513</v>
      </c>
      <c r="C73" s="1">
        <v>323591</v>
      </c>
      <c r="D73" s="1">
        <v>325464</v>
      </c>
      <c r="E73" s="1">
        <v>328353</v>
      </c>
      <c r="F73" s="1">
        <v>236981.64</v>
      </c>
      <c r="G73" s="1">
        <v>243724.68299999999</v>
      </c>
      <c r="H73" s="1">
        <v>230652.2</v>
      </c>
      <c r="I73" s="1">
        <v>222895.16699999999</v>
      </c>
      <c r="J73" s="1">
        <f t="shared" si="27"/>
        <v>46608.480000000003</v>
      </c>
      <c r="K73" s="1">
        <f t="shared" si="28"/>
        <v>48148.252</v>
      </c>
      <c r="L73" s="1">
        <f t="shared" si="29"/>
        <v>46991.900000000009</v>
      </c>
      <c r="M73" s="1">
        <f t="shared" si="30"/>
        <v>49472.478000000003</v>
      </c>
      <c r="N73" s="1">
        <f t="shared" si="31"/>
        <v>190373.16</v>
      </c>
      <c r="O73" s="1">
        <f t="shared" si="32"/>
        <v>195576.43099999998</v>
      </c>
      <c r="P73" s="1">
        <f t="shared" si="33"/>
        <v>183660.3</v>
      </c>
      <c r="Q73" s="1">
        <f t="shared" si="34"/>
        <v>173422.68899999998</v>
      </c>
      <c r="R73" s="1">
        <v>0</v>
      </c>
      <c r="S73" s="1">
        <v>0</v>
      </c>
      <c r="T73" s="1">
        <v>0</v>
      </c>
      <c r="U73" s="1">
        <v>0</v>
      </c>
      <c r="V73" s="1">
        <v>0</v>
      </c>
      <c r="W73" s="1">
        <v>0</v>
      </c>
      <c r="X73" s="1">
        <v>0</v>
      </c>
      <c r="Y73" s="1">
        <v>0</v>
      </c>
      <c r="Z73" s="1">
        <v>0</v>
      </c>
      <c r="AA73" s="1">
        <v>0</v>
      </c>
      <c r="AB73" s="1">
        <v>0</v>
      </c>
      <c r="AC73" s="1">
        <v>0</v>
      </c>
      <c r="AD73" s="1">
        <v>0</v>
      </c>
      <c r="AE73" s="1">
        <v>0</v>
      </c>
      <c r="AF73" s="1">
        <v>0</v>
      </c>
      <c r="AG73" s="1">
        <v>0</v>
      </c>
      <c r="AH73" s="1">
        <v>0</v>
      </c>
      <c r="AI73" s="1">
        <v>0</v>
      </c>
      <c r="AJ73" s="1">
        <v>0</v>
      </c>
      <c r="AK73" s="1">
        <v>0</v>
      </c>
      <c r="AL73" s="1">
        <v>0</v>
      </c>
      <c r="AM73" s="1">
        <v>0</v>
      </c>
      <c r="AN73" s="1">
        <v>0</v>
      </c>
      <c r="AO73" s="1">
        <v>0</v>
      </c>
      <c r="AP73" s="1">
        <v>21322.74</v>
      </c>
      <c r="AQ73" s="1">
        <v>20978.69</v>
      </c>
      <c r="AR73" s="1">
        <v>18249.919999999998</v>
      </c>
      <c r="AS73" s="1">
        <v>20388.75</v>
      </c>
      <c r="AT73" s="1">
        <v>0</v>
      </c>
      <c r="AU73" s="1">
        <v>21322.74</v>
      </c>
      <c r="AV73" s="1">
        <v>0</v>
      </c>
      <c r="AW73" s="1">
        <v>0</v>
      </c>
      <c r="AX73" s="1">
        <v>0</v>
      </c>
      <c r="AY73" s="1">
        <v>20978.69</v>
      </c>
      <c r="AZ73" s="1">
        <v>0</v>
      </c>
      <c r="BA73" s="1">
        <v>0</v>
      </c>
      <c r="BB73" s="1">
        <v>0</v>
      </c>
      <c r="BC73" s="1">
        <v>18249.919999999998</v>
      </c>
      <c r="BD73" s="1">
        <v>0</v>
      </c>
      <c r="BE73" s="1">
        <v>0</v>
      </c>
      <c r="BF73" s="1">
        <v>20388.75</v>
      </c>
      <c r="BG73" s="1">
        <v>0</v>
      </c>
      <c r="BH73" s="1">
        <v>0</v>
      </c>
      <c r="BI73" s="1">
        <v>0</v>
      </c>
      <c r="BJ73" s="1">
        <v>0</v>
      </c>
      <c r="BK73" s="1">
        <v>0</v>
      </c>
      <c r="BL73" s="1">
        <v>0</v>
      </c>
      <c r="BM73" s="1">
        <v>0</v>
      </c>
      <c r="BN73" s="1">
        <v>0</v>
      </c>
      <c r="BO73" s="1">
        <v>0</v>
      </c>
      <c r="BP73" s="1">
        <v>0</v>
      </c>
      <c r="BQ73" s="1">
        <v>0</v>
      </c>
      <c r="BR73" s="1">
        <v>0</v>
      </c>
      <c r="BS73" s="1">
        <v>0</v>
      </c>
      <c r="BT73" s="1">
        <v>0</v>
      </c>
      <c r="BU73" s="1">
        <v>9368.5400000000009</v>
      </c>
      <c r="BV73" s="1">
        <v>9623.92</v>
      </c>
      <c r="BW73" s="1">
        <v>8696.8900000000012</v>
      </c>
      <c r="BX73" s="1">
        <v>8193.91</v>
      </c>
      <c r="BY73" s="1">
        <v>9367.07</v>
      </c>
      <c r="BZ73" s="1">
        <v>9623.92</v>
      </c>
      <c r="CA73" s="1">
        <v>8696.75</v>
      </c>
      <c r="CB73" s="1">
        <v>8193.91</v>
      </c>
      <c r="CC73" s="1">
        <v>1.47</v>
      </c>
      <c r="CD73" s="1">
        <v>0</v>
      </c>
      <c r="CE73" s="1">
        <v>0.14000000000000001</v>
      </c>
      <c r="CF73" s="1">
        <v>0</v>
      </c>
      <c r="CG73" s="1">
        <v>0</v>
      </c>
      <c r="CH73" s="1">
        <v>0</v>
      </c>
      <c r="CI73" s="1">
        <v>0</v>
      </c>
      <c r="CJ73" s="1">
        <v>0</v>
      </c>
      <c r="CK73" s="1">
        <v>0</v>
      </c>
      <c r="CL73" s="1">
        <v>0</v>
      </c>
      <c r="CM73" s="1">
        <v>0</v>
      </c>
      <c r="CN73" s="1">
        <v>0</v>
      </c>
      <c r="CO73" s="1">
        <v>0</v>
      </c>
      <c r="CP73" s="1">
        <v>0</v>
      </c>
      <c r="CQ73" s="1">
        <v>0</v>
      </c>
      <c r="CR73" s="1">
        <v>0</v>
      </c>
      <c r="CS73" s="1">
        <v>1697.17</v>
      </c>
      <c r="CT73" s="1">
        <v>2071.8200000000002</v>
      </c>
      <c r="CU73" s="1">
        <v>2094.98</v>
      </c>
      <c r="CV73" s="1">
        <v>2200.4299999999998</v>
      </c>
      <c r="CW73" s="1">
        <v>1697.17</v>
      </c>
      <c r="CX73" s="1">
        <v>2071.8200000000002</v>
      </c>
      <c r="CY73" s="1">
        <v>2094.98</v>
      </c>
      <c r="CZ73" s="1">
        <v>2200.4299999999998</v>
      </c>
      <c r="DA73" s="1">
        <v>0</v>
      </c>
      <c r="DB73" s="1">
        <v>0</v>
      </c>
      <c r="DC73" s="1">
        <v>0</v>
      </c>
      <c r="DD73" s="1">
        <v>0</v>
      </c>
      <c r="DE73" s="1">
        <v>0</v>
      </c>
      <c r="DF73" s="1">
        <v>0</v>
      </c>
      <c r="DG73" s="1">
        <v>0</v>
      </c>
      <c r="DH73" s="1">
        <v>0</v>
      </c>
      <c r="DI73" s="1">
        <v>0</v>
      </c>
      <c r="DJ73" s="1">
        <v>0</v>
      </c>
      <c r="DK73" s="1">
        <v>0</v>
      </c>
      <c r="DL73" s="1">
        <v>0</v>
      </c>
      <c r="DM73" s="1">
        <v>7374.1799999999994</v>
      </c>
      <c r="DN73" s="1">
        <v>7164.64</v>
      </c>
      <c r="DO73" s="1">
        <v>6196.3499999999995</v>
      </c>
      <c r="DP73" s="1">
        <v>5754.6</v>
      </c>
      <c r="DQ73" s="1">
        <v>7374.1799999999994</v>
      </c>
      <c r="DR73" s="1">
        <v>7164.64</v>
      </c>
      <c r="DS73" s="1">
        <v>6196.3499999999995</v>
      </c>
      <c r="DT73" s="1">
        <v>5754.6</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2541.6799999999998</v>
      </c>
      <c r="EL73" s="1">
        <v>2687.2379999999998</v>
      </c>
      <c r="EM73" s="1">
        <v>3899.5819999999999</v>
      </c>
      <c r="EN73" s="1">
        <v>4049.297</v>
      </c>
      <c r="EO73" s="1">
        <v>2537.81</v>
      </c>
      <c r="EP73" s="1">
        <v>2684.058</v>
      </c>
      <c r="EQ73" s="1">
        <v>3896.5320000000002</v>
      </c>
      <c r="ER73" s="1">
        <v>4044.3670000000002</v>
      </c>
      <c r="ES73" s="1">
        <v>3.87</v>
      </c>
      <c r="ET73" s="1">
        <v>3.18</v>
      </c>
      <c r="EU73" s="1">
        <v>3.05</v>
      </c>
      <c r="EV73" s="1">
        <v>4.93</v>
      </c>
      <c r="EW73" s="1">
        <v>0</v>
      </c>
      <c r="EX73" s="1">
        <v>0</v>
      </c>
      <c r="EY73" s="1">
        <v>0</v>
      </c>
      <c r="EZ73" s="1">
        <v>0</v>
      </c>
      <c r="FA73" s="1">
        <v>0</v>
      </c>
      <c r="FB73" s="1">
        <v>0</v>
      </c>
      <c r="FC73" s="1">
        <v>0</v>
      </c>
      <c r="FD73" s="1">
        <v>0</v>
      </c>
      <c r="FE73" s="1">
        <v>609.43999999999994</v>
      </c>
      <c r="FF73" s="1">
        <v>213.84</v>
      </c>
      <c r="FG73" s="1">
        <v>397.90800000000002</v>
      </c>
      <c r="FH73" s="1">
        <v>814.61599999999999</v>
      </c>
      <c r="FI73" s="1">
        <v>434.68</v>
      </c>
      <c r="FJ73" s="1">
        <v>73.56</v>
      </c>
      <c r="FK73" s="1">
        <v>260.62</v>
      </c>
      <c r="FL73" s="1">
        <v>639.5</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856.56</v>
      </c>
      <c r="GD73" s="1">
        <v>639.654</v>
      </c>
      <c r="GE73" s="1">
        <v>587.66000000000008</v>
      </c>
      <c r="GF73" s="1">
        <v>622.68600000000004</v>
      </c>
      <c r="GG73" s="1">
        <v>790.56</v>
      </c>
      <c r="GH73" s="1">
        <v>623.20600000000002</v>
      </c>
      <c r="GI73" s="1">
        <v>587.66000000000008</v>
      </c>
      <c r="GJ73" s="1">
        <v>622.68600000000004</v>
      </c>
      <c r="GK73" s="1">
        <v>0</v>
      </c>
      <c r="GL73" s="1">
        <v>0</v>
      </c>
      <c r="GM73" s="1">
        <v>0</v>
      </c>
      <c r="GN73" s="1">
        <v>0</v>
      </c>
      <c r="GO73" s="1">
        <v>0</v>
      </c>
      <c r="GP73" s="1">
        <v>0</v>
      </c>
      <c r="GQ73" s="1">
        <v>0</v>
      </c>
      <c r="GR73" s="1">
        <v>0</v>
      </c>
      <c r="GS73" s="1">
        <v>1.69</v>
      </c>
      <c r="GT73" s="1">
        <v>0.46500000000000002</v>
      </c>
      <c r="GU73" s="1">
        <v>0</v>
      </c>
      <c r="GV73" s="1">
        <v>0</v>
      </c>
      <c r="GW73" s="1">
        <v>0</v>
      </c>
      <c r="GX73" s="1">
        <v>0</v>
      </c>
      <c r="GY73" s="1">
        <v>0</v>
      </c>
      <c r="GZ73" s="1">
        <v>0</v>
      </c>
      <c r="HA73" s="1">
        <v>64.31</v>
      </c>
      <c r="HB73" s="1">
        <v>15.983000000000001</v>
      </c>
      <c r="HC73" s="1">
        <v>0</v>
      </c>
      <c r="HD73" s="1">
        <v>0</v>
      </c>
      <c r="HE73" s="1">
        <v>2019.06</v>
      </c>
      <c r="HF73" s="1">
        <v>3326.91</v>
      </c>
      <c r="HG73" s="1">
        <v>5364.8099999999986</v>
      </c>
      <c r="HH73" s="1">
        <v>5810.7400000000007</v>
      </c>
      <c r="HI73" s="1">
        <v>2019.06</v>
      </c>
      <c r="HJ73" s="1">
        <v>3283.08</v>
      </c>
      <c r="HK73" s="1">
        <v>5149.1499999999996</v>
      </c>
      <c r="HL73" s="1">
        <v>5582.2900000000009</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43.83</v>
      </c>
      <c r="IE73" s="1">
        <v>215.66</v>
      </c>
      <c r="IF73" s="1">
        <v>228.45</v>
      </c>
      <c r="IG73" s="1">
        <v>0</v>
      </c>
      <c r="IH73" s="1">
        <v>0</v>
      </c>
      <c r="II73" s="1">
        <v>0</v>
      </c>
      <c r="IJ73" s="1">
        <v>0</v>
      </c>
      <c r="IK73" s="1">
        <v>0</v>
      </c>
      <c r="IL73" s="1">
        <v>0</v>
      </c>
      <c r="IM73" s="1">
        <v>0</v>
      </c>
      <c r="IN73" s="1">
        <v>0</v>
      </c>
      <c r="IO73" s="1">
        <v>819.1099999999999</v>
      </c>
      <c r="IP73" s="1">
        <v>1441.54</v>
      </c>
      <c r="IQ73" s="1">
        <v>1503.8</v>
      </c>
      <c r="IR73" s="1">
        <v>1637.4490000000001</v>
      </c>
      <c r="IS73" s="1">
        <v>807.44999999999993</v>
      </c>
      <c r="IT73" s="1">
        <v>1426.22</v>
      </c>
      <c r="IU73" s="1">
        <v>1464.97</v>
      </c>
      <c r="IV73" s="1">
        <v>1599.7239999999999</v>
      </c>
      <c r="IW73" s="1">
        <v>11.66</v>
      </c>
      <c r="IX73" s="1">
        <v>15.32</v>
      </c>
      <c r="IY73" s="1">
        <v>38.83</v>
      </c>
      <c r="IZ73" s="1">
        <v>37.725000000000001</v>
      </c>
      <c r="JA73" s="1">
        <v>0</v>
      </c>
      <c r="JB73" s="1">
        <v>0</v>
      </c>
      <c r="JC73" s="1">
        <v>0</v>
      </c>
      <c r="JD73" s="1">
        <v>0</v>
      </c>
      <c r="JE73" s="1">
        <v>0</v>
      </c>
      <c r="JF73" s="1">
        <v>0</v>
      </c>
      <c r="JG73" s="1">
        <v>0</v>
      </c>
      <c r="JH73" s="1">
        <v>0</v>
      </c>
      <c r="JI73" s="1">
        <v>0</v>
      </c>
      <c r="JJ73" s="1">
        <v>0</v>
      </c>
      <c r="JK73" s="1">
        <v>0</v>
      </c>
      <c r="JL73" s="1">
        <v>0</v>
      </c>
      <c r="JM73" s="1">
        <v>0</v>
      </c>
      <c r="JN73" s="1">
        <v>0</v>
      </c>
      <c r="JO73" s="1">
        <v>0</v>
      </c>
      <c r="JP73" s="1">
        <v>0</v>
      </c>
      <c r="JQ73" s="9"/>
      <c r="JR73" s="1">
        <f t="shared" si="25"/>
        <v>51400.753200000006</v>
      </c>
      <c r="JS73" s="1">
        <f t="shared" si="25"/>
        <v>52805.63637</v>
      </c>
      <c r="JT73" s="1">
        <f t="shared" si="25"/>
        <v>49588.281000000003</v>
      </c>
      <c r="JU73" s="1">
        <f t="shared" si="25"/>
        <v>46824.126029999999</v>
      </c>
      <c r="JV73" s="1">
        <f t="shared" si="26"/>
        <v>9518.6580000000013</v>
      </c>
      <c r="JW73" s="1">
        <f t="shared" si="26"/>
        <v>9778.8215499999988</v>
      </c>
      <c r="JX73" s="1">
        <f t="shared" si="26"/>
        <v>9183.0149999999994</v>
      </c>
      <c r="JY73" s="1">
        <f t="shared" si="26"/>
        <v>8671.1344499999996</v>
      </c>
    </row>
    <row r="74" spans="1:285" x14ac:dyDescent="0.35">
      <c r="A74" s="2" t="s">
        <v>81</v>
      </c>
      <c r="B74" s="1">
        <v>367936</v>
      </c>
      <c r="C74" s="1">
        <v>366762</v>
      </c>
      <c r="D74" s="1">
        <v>370315</v>
      </c>
      <c r="E74" s="1">
        <v>379203</v>
      </c>
      <c r="F74" s="1">
        <v>109228.31</v>
      </c>
      <c r="G74" s="1">
        <v>110457.86</v>
      </c>
      <c r="H74" s="1">
        <v>93198.75</v>
      </c>
      <c r="I74" s="1">
        <v>107556.3</v>
      </c>
      <c r="J74" s="1">
        <f t="shared" si="27"/>
        <v>76662.209999999992</v>
      </c>
      <c r="K74" s="1">
        <f t="shared" si="28"/>
        <v>77643.109999999971</v>
      </c>
      <c r="L74" s="1">
        <f t="shared" si="29"/>
        <v>60833.68</v>
      </c>
      <c r="M74" s="1">
        <f t="shared" si="30"/>
        <v>72484.33</v>
      </c>
      <c r="N74" s="1">
        <f t="shared" si="31"/>
        <v>32566.100000000006</v>
      </c>
      <c r="O74" s="1">
        <f t="shared" si="32"/>
        <v>32814.750000000029</v>
      </c>
      <c r="P74" s="1">
        <f t="shared" si="33"/>
        <v>32365.07</v>
      </c>
      <c r="Q74" s="1">
        <f t="shared" si="34"/>
        <v>35071.97</v>
      </c>
      <c r="R74" s="1">
        <v>7262.19</v>
      </c>
      <c r="S74" s="1">
        <v>7673.92</v>
      </c>
      <c r="T74" s="1">
        <v>7445.72</v>
      </c>
      <c r="U74" s="1">
        <v>7027.39</v>
      </c>
      <c r="V74" s="1">
        <v>0</v>
      </c>
      <c r="W74" s="1">
        <v>0</v>
      </c>
      <c r="X74" s="1">
        <v>7262.19</v>
      </c>
      <c r="Y74" s="1">
        <v>0</v>
      </c>
      <c r="Z74" s="1">
        <v>0</v>
      </c>
      <c r="AA74" s="1">
        <v>7673.92</v>
      </c>
      <c r="AB74" s="1">
        <v>0</v>
      </c>
      <c r="AC74" s="1">
        <v>0</v>
      </c>
      <c r="AD74" s="1">
        <v>7445.72</v>
      </c>
      <c r="AE74" s="1">
        <v>0</v>
      </c>
      <c r="AF74" s="1">
        <v>0</v>
      </c>
      <c r="AG74" s="1">
        <v>7027.39</v>
      </c>
      <c r="AH74" s="1">
        <v>0</v>
      </c>
      <c r="AI74" s="1">
        <v>0</v>
      </c>
      <c r="AJ74" s="1">
        <v>0</v>
      </c>
      <c r="AK74" s="1">
        <v>0</v>
      </c>
      <c r="AL74" s="1">
        <v>0</v>
      </c>
      <c r="AM74" s="1">
        <v>0</v>
      </c>
      <c r="AN74" s="1">
        <v>0</v>
      </c>
      <c r="AO74" s="1">
        <v>0</v>
      </c>
      <c r="AP74" s="1">
        <v>5953.91</v>
      </c>
      <c r="AQ74" s="1">
        <v>5255.0300000000007</v>
      </c>
      <c r="AR74" s="1">
        <v>4329.22</v>
      </c>
      <c r="AS74" s="1">
        <v>5035.6499999999996</v>
      </c>
      <c r="AT74" s="1">
        <v>0</v>
      </c>
      <c r="AU74" s="1">
        <v>5953.91</v>
      </c>
      <c r="AV74" s="1">
        <v>0</v>
      </c>
      <c r="AW74" s="1">
        <v>0</v>
      </c>
      <c r="AX74" s="1">
        <v>0</v>
      </c>
      <c r="AY74" s="1">
        <v>5255.0300000000007</v>
      </c>
      <c r="AZ74" s="1">
        <v>0</v>
      </c>
      <c r="BA74" s="1">
        <v>0</v>
      </c>
      <c r="BB74" s="1">
        <v>0</v>
      </c>
      <c r="BC74" s="1">
        <v>4329.22</v>
      </c>
      <c r="BD74" s="1">
        <v>0</v>
      </c>
      <c r="BE74" s="1">
        <v>0</v>
      </c>
      <c r="BF74" s="1">
        <v>5035.6499999999996</v>
      </c>
      <c r="BG74" s="1">
        <v>0</v>
      </c>
      <c r="BH74" s="1">
        <v>0</v>
      </c>
      <c r="BI74" s="1">
        <v>0</v>
      </c>
      <c r="BJ74" s="1">
        <v>0</v>
      </c>
      <c r="BK74" s="1">
        <v>0</v>
      </c>
      <c r="BL74" s="1">
        <v>0</v>
      </c>
      <c r="BM74" s="1">
        <v>0</v>
      </c>
      <c r="BN74" s="1">
        <v>0</v>
      </c>
      <c r="BO74" s="1">
        <v>0</v>
      </c>
      <c r="BP74" s="1">
        <v>0</v>
      </c>
      <c r="BQ74" s="1">
        <v>0</v>
      </c>
      <c r="BR74" s="1">
        <v>0</v>
      </c>
      <c r="BS74" s="1">
        <v>0</v>
      </c>
      <c r="BT74" s="1">
        <v>0</v>
      </c>
      <c r="BU74" s="1">
        <v>34288.28</v>
      </c>
      <c r="BV74" s="1">
        <v>34292.899999999987</v>
      </c>
      <c r="BW74" s="1">
        <v>32562.38</v>
      </c>
      <c r="BX74" s="1">
        <v>29989.05</v>
      </c>
      <c r="BY74" s="1">
        <v>34288.28</v>
      </c>
      <c r="BZ74" s="1">
        <v>34292.899999999987</v>
      </c>
      <c r="CA74" s="1">
        <v>32562.38</v>
      </c>
      <c r="CB74" s="1">
        <v>29989.05</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15152.63</v>
      </c>
      <c r="CT74" s="1">
        <v>19477.7</v>
      </c>
      <c r="CU74" s="1">
        <v>6113.6399999999994</v>
      </c>
      <c r="CV74" s="1">
        <v>12927.9</v>
      </c>
      <c r="CW74" s="1">
        <v>15152.63</v>
      </c>
      <c r="CX74" s="1">
        <v>19477.7</v>
      </c>
      <c r="CY74" s="1">
        <v>6113.6399999999994</v>
      </c>
      <c r="CZ74" s="1">
        <v>12927.9</v>
      </c>
      <c r="DA74" s="1">
        <v>0</v>
      </c>
      <c r="DB74" s="1">
        <v>0</v>
      </c>
      <c r="DC74" s="1">
        <v>0</v>
      </c>
      <c r="DD74" s="1">
        <v>0</v>
      </c>
      <c r="DE74" s="1">
        <v>0</v>
      </c>
      <c r="DF74" s="1">
        <v>0</v>
      </c>
      <c r="DG74" s="1">
        <v>0</v>
      </c>
      <c r="DH74" s="1">
        <v>0</v>
      </c>
      <c r="DI74" s="1">
        <v>0</v>
      </c>
      <c r="DJ74" s="1">
        <v>0</v>
      </c>
      <c r="DK74" s="1">
        <v>0</v>
      </c>
      <c r="DL74" s="1">
        <v>0</v>
      </c>
      <c r="DM74" s="1">
        <v>6118.45</v>
      </c>
      <c r="DN74" s="1">
        <v>6191.12</v>
      </c>
      <c r="DO74" s="1">
        <v>6432.4</v>
      </c>
      <c r="DP74" s="1">
        <v>6087.91</v>
      </c>
      <c r="DQ74" s="1">
        <v>6118.45</v>
      </c>
      <c r="DR74" s="1">
        <v>6191.12</v>
      </c>
      <c r="DS74" s="1">
        <v>6432.4</v>
      </c>
      <c r="DT74" s="1">
        <v>6087.91</v>
      </c>
      <c r="DU74" s="1">
        <v>0</v>
      </c>
      <c r="DV74" s="1">
        <v>0</v>
      </c>
      <c r="DW74" s="1">
        <v>0</v>
      </c>
      <c r="DX74" s="1">
        <v>0</v>
      </c>
      <c r="DY74" s="1">
        <v>0</v>
      </c>
      <c r="DZ74" s="1">
        <v>0</v>
      </c>
      <c r="EA74" s="1">
        <v>0</v>
      </c>
      <c r="EB74" s="1">
        <v>0</v>
      </c>
      <c r="EC74" s="1">
        <v>0</v>
      </c>
      <c r="ED74" s="1">
        <v>0</v>
      </c>
      <c r="EE74" s="1">
        <v>0</v>
      </c>
      <c r="EF74" s="1">
        <v>0</v>
      </c>
      <c r="EG74" s="1">
        <v>0</v>
      </c>
      <c r="EH74" s="1">
        <v>0</v>
      </c>
      <c r="EI74" s="1">
        <v>0</v>
      </c>
      <c r="EJ74" s="1">
        <v>0</v>
      </c>
      <c r="EK74" s="1">
        <v>5897.09</v>
      </c>
      <c r="EL74" s="1">
        <v>3123.06</v>
      </c>
      <c r="EM74" s="1">
        <v>2546.5</v>
      </c>
      <c r="EN74" s="1">
        <v>9874.25</v>
      </c>
      <c r="EO74" s="1">
        <v>5897.09</v>
      </c>
      <c r="EP74" s="1">
        <v>3123.06</v>
      </c>
      <c r="EQ74" s="1">
        <v>2546.5</v>
      </c>
      <c r="ER74" s="1">
        <v>9874.25</v>
      </c>
      <c r="ES74" s="1">
        <v>0</v>
      </c>
      <c r="ET74" s="1">
        <v>0</v>
      </c>
      <c r="EU74" s="1">
        <v>0</v>
      </c>
      <c r="EV74" s="1">
        <v>0</v>
      </c>
      <c r="EW74" s="1">
        <v>0</v>
      </c>
      <c r="EX74" s="1">
        <v>0</v>
      </c>
      <c r="EY74" s="1">
        <v>0</v>
      </c>
      <c r="EZ74" s="1">
        <v>0</v>
      </c>
      <c r="FA74" s="1">
        <v>0</v>
      </c>
      <c r="FB74" s="1">
        <v>0</v>
      </c>
      <c r="FC74" s="1">
        <v>0</v>
      </c>
      <c r="FD74" s="1">
        <v>0</v>
      </c>
      <c r="FE74" s="1">
        <v>607.86</v>
      </c>
      <c r="FF74" s="1">
        <v>629.18000000000006</v>
      </c>
      <c r="FG74" s="1">
        <v>533.24</v>
      </c>
      <c r="FH74" s="1">
        <v>698.86</v>
      </c>
      <c r="FI74" s="1">
        <v>583.55999999999995</v>
      </c>
      <c r="FJ74" s="1">
        <v>571.1400000000001</v>
      </c>
      <c r="FK74" s="1">
        <v>509.95</v>
      </c>
      <c r="FL74" s="1">
        <v>693.67</v>
      </c>
      <c r="FM74" s="1">
        <v>174.76</v>
      </c>
      <c r="FN74" s="1">
        <v>140.28</v>
      </c>
      <c r="FO74" s="1">
        <v>137.28800000000001</v>
      </c>
      <c r="FP74" s="1">
        <v>175.11600000000001</v>
      </c>
      <c r="FQ74" s="1">
        <v>0</v>
      </c>
      <c r="FR74" s="1">
        <v>0</v>
      </c>
      <c r="FS74" s="1">
        <v>0</v>
      </c>
      <c r="FT74" s="1">
        <v>0</v>
      </c>
      <c r="FU74" s="1">
        <v>0</v>
      </c>
      <c r="FV74" s="1">
        <v>0</v>
      </c>
      <c r="FW74" s="1">
        <v>0</v>
      </c>
      <c r="FX74" s="1">
        <v>0</v>
      </c>
      <c r="FY74" s="1">
        <v>0</v>
      </c>
      <c r="FZ74" s="1">
        <v>0</v>
      </c>
      <c r="GA74" s="1">
        <v>0</v>
      </c>
      <c r="GB74" s="1">
        <v>0</v>
      </c>
      <c r="GC74" s="1">
        <v>1381.8</v>
      </c>
      <c r="GD74" s="1">
        <v>1000.2</v>
      </c>
      <c r="GE74" s="1">
        <v>870.58</v>
      </c>
      <c r="GF74" s="1">
        <v>843.31999999999994</v>
      </c>
      <c r="GG74" s="1">
        <v>1381.8</v>
      </c>
      <c r="GH74" s="1">
        <v>1000.2</v>
      </c>
      <c r="GI74" s="1">
        <v>870.58</v>
      </c>
      <c r="GJ74" s="1">
        <v>843.31999999999994</v>
      </c>
      <c r="GK74" s="1">
        <v>0</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0</v>
      </c>
      <c r="JO74" s="1">
        <v>0</v>
      </c>
      <c r="JP74" s="1">
        <v>0</v>
      </c>
      <c r="JQ74" s="9"/>
      <c r="JR74" s="1">
        <f t="shared" si="25"/>
        <v>8792.8470000000016</v>
      </c>
      <c r="JS74" s="1">
        <f t="shared" si="25"/>
        <v>8859.9825000000092</v>
      </c>
      <c r="JT74" s="1">
        <f t="shared" si="25"/>
        <v>8738.5689000000002</v>
      </c>
      <c r="JU74" s="1">
        <f t="shared" si="25"/>
        <v>9469.4319000000014</v>
      </c>
      <c r="JV74" s="1">
        <f t="shared" si="26"/>
        <v>1628.3050000000003</v>
      </c>
      <c r="JW74" s="1">
        <f t="shared" si="26"/>
        <v>1640.7375000000015</v>
      </c>
      <c r="JX74" s="1">
        <f t="shared" si="26"/>
        <v>1618.2535</v>
      </c>
      <c r="JY74" s="1">
        <f t="shared" si="26"/>
        <v>1753.5985000000001</v>
      </c>
    </row>
    <row r="75" spans="1:285" x14ac:dyDescent="0.35">
      <c r="A75" s="2" t="s">
        <v>82</v>
      </c>
      <c r="B75" s="1">
        <v>86948</v>
      </c>
      <c r="C75" s="1">
        <v>88125</v>
      </c>
      <c r="D75" s="1">
        <v>89348</v>
      </c>
      <c r="E75" s="1">
        <v>91313</v>
      </c>
      <c r="F75" s="1">
        <v>30645.645</v>
      </c>
      <c r="G75" s="1">
        <v>32027.503000000001</v>
      </c>
      <c r="H75" s="1">
        <v>28132.423999999999</v>
      </c>
      <c r="I75" s="1">
        <v>28715.439999999999</v>
      </c>
      <c r="J75" s="1">
        <f t="shared" si="27"/>
        <v>21640.805</v>
      </c>
      <c r="K75" s="1">
        <f t="shared" si="28"/>
        <v>23007.543000000001</v>
      </c>
      <c r="L75" s="1">
        <f t="shared" si="29"/>
        <v>19100.114000000001</v>
      </c>
      <c r="M75" s="1">
        <f t="shared" si="30"/>
        <v>19565.159999999996</v>
      </c>
      <c r="N75" s="1">
        <f t="shared" si="31"/>
        <v>9004.84</v>
      </c>
      <c r="O75" s="1">
        <f t="shared" si="32"/>
        <v>9019.9599999999991</v>
      </c>
      <c r="P75" s="1">
        <f t="shared" si="33"/>
        <v>9032.3099999999977</v>
      </c>
      <c r="Q75" s="1">
        <f t="shared" si="34"/>
        <v>9150.2800000000025</v>
      </c>
      <c r="R75" s="1">
        <v>0</v>
      </c>
      <c r="S75" s="1">
        <v>0</v>
      </c>
      <c r="T75" s="1">
        <v>0</v>
      </c>
      <c r="U75" s="1">
        <v>0</v>
      </c>
      <c r="V75" s="1">
        <v>0</v>
      </c>
      <c r="W75" s="1">
        <v>0</v>
      </c>
      <c r="X75" s="1">
        <v>0</v>
      </c>
      <c r="Y75" s="1">
        <v>0</v>
      </c>
      <c r="Z75" s="1">
        <v>0</v>
      </c>
      <c r="AA75" s="1">
        <v>0</v>
      </c>
      <c r="AB75" s="1">
        <v>0</v>
      </c>
      <c r="AC75" s="1">
        <v>0</v>
      </c>
      <c r="AD75" s="1">
        <v>0</v>
      </c>
      <c r="AE75" s="1">
        <v>0</v>
      </c>
      <c r="AF75" s="1">
        <v>0</v>
      </c>
      <c r="AG75" s="1">
        <v>0</v>
      </c>
      <c r="AH75" s="1">
        <v>0</v>
      </c>
      <c r="AI75" s="1">
        <v>0</v>
      </c>
      <c r="AJ75" s="1">
        <v>0</v>
      </c>
      <c r="AK75" s="1">
        <v>0</v>
      </c>
      <c r="AL75" s="1">
        <v>0</v>
      </c>
      <c r="AM75" s="1">
        <v>0</v>
      </c>
      <c r="AN75" s="1">
        <v>0</v>
      </c>
      <c r="AO75" s="1">
        <v>0</v>
      </c>
      <c r="AP75" s="1">
        <v>11416.42</v>
      </c>
      <c r="AQ75" s="1">
        <v>11099.439999999999</v>
      </c>
      <c r="AR75" s="1">
        <v>9370</v>
      </c>
      <c r="AS75" s="1">
        <v>10840.5</v>
      </c>
      <c r="AT75" s="1">
        <v>11416.42</v>
      </c>
      <c r="AU75" s="1">
        <v>0</v>
      </c>
      <c r="AV75" s="1">
        <v>0</v>
      </c>
      <c r="AW75" s="1">
        <v>0</v>
      </c>
      <c r="AX75" s="1">
        <v>0</v>
      </c>
      <c r="AY75" s="1">
        <v>11099.439999999999</v>
      </c>
      <c r="AZ75" s="1">
        <v>0</v>
      </c>
      <c r="BA75" s="1">
        <v>0</v>
      </c>
      <c r="BB75" s="1">
        <v>9356.94</v>
      </c>
      <c r="BC75" s="1">
        <v>0</v>
      </c>
      <c r="BD75" s="1">
        <v>0</v>
      </c>
      <c r="BE75" s="1">
        <v>10840.5</v>
      </c>
      <c r="BF75" s="1">
        <v>0</v>
      </c>
      <c r="BG75" s="1">
        <v>0</v>
      </c>
      <c r="BH75" s="1">
        <v>0</v>
      </c>
      <c r="BI75" s="1">
        <v>0</v>
      </c>
      <c r="BJ75" s="1">
        <v>0</v>
      </c>
      <c r="BK75" s="1">
        <v>0</v>
      </c>
      <c r="BL75" s="1">
        <v>0</v>
      </c>
      <c r="BM75" s="1">
        <v>0</v>
      </c>
      <c r="BN75" s="1">
        <v>0</v>
      </c>
      <c r="BO75" s="1">
        <v>0</v>
      </c>
      <c r="BP75" s="1">
        <v>13.06</v>
      </c>
      <c r="BQ75" s="1">
        <v>0</v>
      </c>
      <c r="BR75" s="1">
        <v>0</v>
      </c>
      <c r="BS75" s="1">
        <v>0</v>
      </c>
      <c r="BT75" s="1">
        <v>0</v>
      </c>
      <c r="BU75" s="1">
        <v>3574.9</v>
      </c>
      <c r="BV75" s="1">
        <v>5029.7460000000001</v>
      </c>
      <c r="BW75" s="1">
        <v>4732.0769999999993</v>
      </c>
      <c r="BX75" s="1">
        <v>4075.37</v>
      </c>
      <c r="BY75" s="1">
        <v>3574.9</v>
      </c>
      <c r="BZ75" s="1">
        <v>5029.7460000000001</v>
      </c>
      <c r="CA75" s="1">
        <v>4732.0769999999993</v>
      </c>
      <c r="CB75" s="1">
        <v>4075.37</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1860.165</v>
      </c>
      <c r="CT75" s="1">
        <v>3052.63</v>
      </c>
      <c r="CU75" s="1">
        <v>1648.5</v>
      </c>
      <c r="CV75" s="1">
        <v>1602.93</v>
      </c>
      <c r="CW75" s="1">
        <v>1860.165</v>
      </c>
      <c r="CX75" s="1">
        <v>3052.63</v>
      </c>
      <c r="CY75" s="1">
        <v>1648.5</v>
      </c>
      <c r="CZ75" s="1">
        <v>1602.93</v>
      </c>
      <c r="DA75" s="1">
        <v>0</v>
      </c>
      <c r="DB75" s="1">
        <v>0</v>
      </c>
      <c r="DC75" s="1">
        <v>0</v>
      </c>
      <c r="DD75" s="1">
        <v>0</v>
      </c>
      <c r="DE75" s="1">
        <v>0</v>
      </c>
      <c r="DF75" s="1">
        <v>0</v>
      </c>
      <c r="DG75" s="1">
        <v>0</v>
      </c>
      <c r="DH75" s="1">
        <v>0</v>
      </c>
      <c r="DI75" s="1">
        <v>0</v>
      </c>
      <c r="DJ75" s="1">
        <v>0</v>
      </c>
      <c r="DK75" s="1">
        <v>0</v>
      </c>
      <c r="DL75" s="1">
        <v>0</v>
      </c>
      <c r="DM75" s="1">
        <v>3606.35</v>
      </c>
      <c r="DN75" s="1">
        <v>2964.7860000000001</v>
      </c>
      <c r="DO75" s="1">
        <v>2359.0700000000002</v>
      </c>
      <c r="DP75" s="1">
        <v>2150.9699999999998</v>
      </c>
      <c r="DQ75" s="1">
        <v>3606.35</v>
      </c>
      <c r="DR75" s="1">
        <v>2964.7860000000001</v>
      </c>
      <c r="DS75" s="1">
        <v>2359.0700000000002</v>
      </c>
      <c r="DT75" s="1">
        <v>2150.9699999999998</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1150.3699999999999</v>
      </c>
      <c r="EL75" s="1">
        <v>773.07999999999993</v>
      </c>
      <c r="EM75" s="1">
        <v>900.17000000000007</v>
      </c>
      <c r="EN75" s="1">
        <v>803.85</v>
      </c>
      <c r="EO75" s="1">
        <v>1150.3699999999999</v>
      </c>
      <c r="EP75" s="1">
        <v>773.07999999999993</v>
      </c>
      <c r="EQ75" s="1">
        <v>900.17000000000007</v>
      </c>
      <c r="ER75" s="1">
        <v>803.85</v>
      </c>
      <c r="ES75" s="1">
        <v>0</v>
      </c>
      <c r="ET75" s="1">
        <v>0</v>
      </c>
      <c r="EU75" s="1">
        <v>0</v>
      </c>
      <c r="EV75" s="1">
        <v>0</v>
      </c>
      <c r="EW75" s="1">
        <v>0</v>
      </c>
      <c r="EX75" s="1">
        <v>0</v>
      </c>
      <c r="EY75" s="1">
        <v>0</v>
      </c>
      <c r="EZ75" s="1">
        <v>0</v>
      </c>
      <c r="FA75" s="1">
        <v>0</v>
      </c>
      <c r="FB75" s="1">
        <v>0</v>
      </c>
      <c r="FC75" s="1">
        <v>0</v>
      </c>
      <c r="FD75" s="1">
        <v>0</v>
      </c>
      <c r="FE75" s="1">
        <v>6.45</v>
      </c>
      <c r="FF75" s="1">
        <v>66.531000000000006</v>
      </c>
      <c r="FG75" s="1">
        <v>63.517000000000003</v>
      </c>
      <c r="FH75" s="1">
        <v>50.010000000000012</v>
      </c>
      <c r="FI75" s="1">
        <v>6.45</v>
      </c>
      <c r="FJ75" s="1">
        <v>66.531000000000006</v>
      </c>
      <c r="FK75" s="1">
        <v>63.517000000000003</v>
      </c>
      <c r="FL75" s="1">
        <v>50.010000000000012</v>
      </c>
      <c r="FM75" s="1">
        <v>24.3</v>
      </c>
      <c r="FN75" s="1">
        <v>58.04</v>
      </c>
      <c r="FO75" s="1">
        <v>23.29</v>
      </c>
      <c r="FP75" s="1">
        <v>5.19</v>
      </c>
      <c r="FQ75" s="1">
        <v>0</v>
      </c>
      <c r="FR75" s="1">
        <v>0</v>
      </c>
      <c r="FS75" s="1">
        <v>0</v>
      </c>
      <c r="FT75" s="1">
        <v>0</v>
      </c>
      <c r="FU75" s="1">
        <v>0</v>
      </c>
      <c r="FV75" s="1">
        <v>0</v>
      </c>
      <c r="FW75" s="1">
        <v>0</v>
      </c>
      <c r="FX75" s="1">
        <v>0</v>
      </c>
      <c r="FY75" s="1">
        <v>0</v>
      </c>
      <c r="FZ75" s="1">
        <v>0</v>
      </c>
      <c r="GA75" s="1">
        <v>0</v>
      </c>
      <c r="GB75" s="1">
        <v>0</v>
      </c>
      <c r="GC75" s="1">
        <v>26.15</v>
      </c>
      <c r="GD75" s="1">
        <v>21.33</v>
      </c>
      <c r="GE75" s="1">
        <v>26.78</v>
      </c>
      <c r="GF75" s="1">
        <v>41.53</v>
      </c>
      <c r="GG75" s="1">
        <v>26.15</v>
      </c>
      <c r="GH75" s="1">
        <v>21.33</v>
      </c>
      <c r="GI75" s="1">
        <v>26.78</v>
      </c>
      <c r="GJ75" s="1">
        <v>41.53</v>
      </c>
      <c r="GK75" s="1">
        <v>0</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0</v>
      </c>
      <c r="JO75" s="1">
        <v>0</v>
      </c>
      <c r="JP75" s="1">
        <v>0</v>
      </c>
      <c r="JQ75" s="9"/>
      <c r="JR75" s="1">
        <f t="shared" si="25"/>
        <v>2431.3068000000003</v>
      </c>
      <c r="JS75" s="1">
        <f t="shared" si="25"/>
        <v>2435.3892000000001</v>
      </c>
      <c r="JT75" s="1">
        <f t="shared" si="25"/>
        <v>2438.7236999999996</v>
      </c>
      <c r="JU75" s="1">
        <f t="shared" si="25"/>
        <v>2470.575600000001</v>
      </c>
      <c r="JV75" s="1">
        <f t="shared" si="26"/>
        <v>450.24200000000002</v>
      </c>
      <c r="JW75" s="1">
        <f t="shared" si="26"/>
        <v>450.99799999999999</v>
      </c>
      <c r="JX75" s="1">
        <f t="shared" si="26"/>
        <v>451.61549999999988</v>
      </c>
      <c r="JY75" s="1">
        <f t="shared" si="26"/>
        <v>457.51400000000012</v>
      </c>
    </row>
    <row r="76" spans="1:285" x14ac:dyDescent="0.35">
      <c r="A76" s="2" t="s">
        <v>83</v>
      </c>
      <c r="B76" s="1">
        <v>148592</v>
      </c>
      <c r="C76" s="1">
        <v>152065</v>
      </c>
      <c r="D76" s="1">
        <v>154307</v>
      </c>
      <c r="E76" s="1">
        <v>156378</v>
      </c>
      <c r="F76" s="1">
        <v>29493.544999999998</v>
      </c>
      <c r="G76" s="1">
        <v>31632.721000000001</v>
      </c>
      <c r="H76" s="1">
        <v>29901.562000000002</v>
      </c>
      <c r="I76" s="1">
        <v>29480.914000000001</v>
      </c>
      <c r="J76" s="1">
        <f t="shared" si="27"/>
        <v>27043.089999999997</v>
      </c>
      <c r="K76" s="1">
        <f t="shared" si="28"/>
        <v>29034.768</v>
      </c>
      <c r="L76" s="1">
        <f t="shared" si="29"/>
        <v>27303.753000000001</v>
      </c>
      <c r="M76" s="1">
        <f t="shared" si="30"/>
        <v>26892.031000000003</v>
      </c>
      <c r="N76" s="1">
        <f t="shared" si="31"/>
        <v>2450.4550000000017</v>
      </c>
      <c r="O76" s="1">
        <f t="shared" si="32"/>
        <v>2597.9530000000013</v>
      </c>
      <c r="P76" s="1">
        <f t="shared" si="33"/>
        <v>2597.8090000000011</v>
      </c>
      <c r="Q76" s="1">
        <f t="shared" si="34"/>
        <v>2588.882999999998</v>
      </c>
      <c r="R76" s="1">
        <v>7101.72</v>
      </c>
      <c r="S76" s="1">
        <v>7233.46</v>
      </c>
      <c r="T76" s="1">
        <v>6947.54</v>
      </c>
      <c r="U76" s="1">
        <v>6595.4</v>
      </c>
      <c r="V76" s="1">
        <v>0</v>
      </c>
      <c r="W76" s="1">
        <v>0</v>
      </c>
      <c r="X76" s="1">
        <v>7101.72</v>
      </c>
      <c r="Y76" s="1">
        <v>0</v>
      </c>
      <c r="Z76" s="1">
        <v>0</v>
      </c>
      <c r="AA76" s="1">
        <v>7233.46</v>
      </c>
      <c r="AB76" s="1">
        <v>0</v>
      </c>
      <c r="AC76" s="1">
        <v>0</v>
      </c>
      <c r="AD76" s="1">
        <v>6947.54</v>
      </c>
      <c r="AE76" s="1">
        <v>0</v>
      </c>
      <c r="AF76" s="1">
        <v>0</v>
      </c>
      <c r="AG76" s="1">
        <v>6595.4</v>
      </c>
      <c r="AH76" s="1">
        <v>0</v>
      </c>
      <c r="AI76" s="1">
        <v>0</v>
      </c>
      <c r="AJ76" s="1">
        <v>0</v>
      </c>
      <c r="AK76" s="1">
        <v>0</v>
      </c>
      <c r="AL76" s="1">
        <v>0</v>
      </c>
      <c r="AM76" s="1">
        <v>0</v>
      </c>
      <c r="AN76" s="1">
        <v>0</v>
      </c>
      <c r="AO76" s="1">
        <v>0</v>
      </c>
      <c r="AP76" s="1">
        <v>4876.6030000000001</v>
      </c>
      <c r="AQ76" s="1">
        <v>6791.4340000000002</v>
      </c>
      <c r="AR76" s="1">
        <v>6395.0149999999994</v>
      </c>
      <c r="AS76" s="1">
        <v>7842.5660000000007</v>
      </c>
      <c r="AT76" s="1">
        <v>0</v>
      </c>
      <c r="AU76" s="1">
        <v>4876.6030000000001</v>
      </c>
      <c r="AV76" s="1">
        <v>0</v>
      </c>
      <c r="AW76" s="1">
        <v>0</v>
      </c>
      <c r="AX76" s="1">
        <v>0</v>
      </c>
      <c r="AY76" s="1">
        <v>6791.4340000000002</v>
      </c>
      <c r="AZ76" s="1">
        <v>0</v>
      </c>
      <c r="BA76" s="1">
        <v>0</v>
      </c>
      <c r="BB76" s="1">
        <v>0</v>
      </c>
      <c r="BC76" s="1">
        <v>6395.0149999999994</v>
      </c>
      <c r="BD76" s="1">
        <v>0</v>
      </c>
      <c r="BE76" s="1">
        <v>0</v>
      </c>
      <c r="BF76" s="1">
        <v>7842.5660000000007</v>
      </c>
      <c r="BG76" s="1">
        <v>0</v>
      </c>
      <c r="BH76" s="1">
        <v>0</v>
      </c>
      <c r="BI76" s="1">
        <v>0</v>
      </c>
      <c r="BJ76" s="1">
        <v>0</v>
      </c>
      <c r="BK76" s="1">
        <v>0</v>
      </c>
      <c r="BL76" s="1">
        <v>0</v>
      </c>
      <c r="BM76" s="1">
        <v>0</v>
      </c>
      <c r="BN76" s="1">
        <v>0</v>
      </c>
      <c r="BO76" s="1">
        <v>0</v>
      </c>
      <c r="BP76" s="1">
        <v>0</v>
      </c>
      <c r="BQ76" s="1">
        <v>0</v>
      </c>
      <c r="BR76" s="1">
        <v>0</v>
      </c>
      <c r="BS76" s="1">
        <v>0</v>
      </c>
      <c r="BT76" s="1">
        <v>0</v>
      </c>
      <c r="BU76" s="1">
        <v>6228.7139999999999</v>
      </c>
      <c r="BV76" s="1">
        <v>6173.3919999999998</v>
      </c>
      <c r="BW76" s="1">
        <v>5722.6710000000003</v>
      </c>
      <c r="BX76" s="1">
        <v>5052.9259999999986</v>
      </c>
      <c r="BY76" s="1">
        <v>6228.7139999999999</v>
      </c>
      <c r="BZ76" s="1">
        <v>6173.3919999999998</v>
      </c>
      <c r="CA76" s="1">
        <v>5722.6710000000003</v>
      </c>
      <c r="CB76" s="1">
        <v>5052.9259999999986</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2148.66</v>
      </c>
      <c r="CT76" s="1">
        <v>2178.6799999999998</v>
      </c>
      <c r="CU76" s="1">
        <v>2012.29</v>
      </c>
      <c r="CV76" s="1">
        <v>2033.97</v>
      </c>
      <c r="CW76" s="1">
        <v>2148.66</v>
      </c>
      <c r="CX76" s="1">
        <v>2178.6799999999998</v>
      </c>
      <c r="CY76" s="1">
        <v>2012.29</v>
      </c>
      <c r="CZ76" s="1">
        <v>2033.97</v>
      </c>
      <c r="DA76" s="1">
        <v>0</v>
      </c>
      <c r="DB76" s="1">
        <v>0</v>
      </c>
      <c r="DC76" s="1">
        <v>0</v>
      </c>
      <c r="DD76" s="1">
        <v>0</v>
      </c>
      <c r="DE76" s="1">
        <v>0</v>
      </c>
      <c r="DF76" s="1">
        <v>0</v>
      </c>
      <c r="DG76" s="1">
        <v>0</v>
      </c>
      <c r="DH76" s="1">
        <v>0</v>
      </c>
      <c r="DI76" s="1">
        <v>0</v>
      </c>
      <c r="DJ76" s="1">
        <v>0</v>
      </c>
      <c r="DK76" s="1">
        <v>0</v>
      </c>
      <c r="DL76" s="1">
        <v>0</v>
      </c>
      <c r="DM76" s="1">
        <v>5693.7999999999993</v>
      </c>
      <c r="DN76" s="1">
        <v>5718.07</v>
      </c>
      <c r="DO76" s="1">
        <v>5318.84</v>
      </c>
      <c r="DP76" s="1">
        <v>4530.84</v>
      </c>
      <c r="DQ76" s="1">
        <v>5693.7999999999993</v>
      </c>
      <c r="DR76" s="1">
        <v>5718.07</v>
      </c>
      <c r="DS76" s="1">
        <v>5318.84</v>
      </c>
      <c r="DT76" s="1">
        <v>4530.84</v>
      </c>
      <c r="DU76" s="1">
        <v>0</v>
      </c>
      <c r="DV76" s="1">
        <v>0</v>
      </c>
      <c r="DW76" s="1">
        <v>0</v>
      </c>
      <c r="DX76" s="1">
        <v>0</v>
      </c>
      <c r="DY76" s="1">
        <v>0</v>
      </c>
      <c r="DZ76" s="1">
        <v>0</v>
      </c>
      <c r="EA76" s="1">
        <v>0</v>
      </c>
      <c r="EB76" s="1">
        <v>0</v>
      </c>
      <c r="EC76" s="1">
        <v>0</v>
      </c>
      <c r="ED76" s="1">
        <v>0</v>
      </c>
      <c r="EE76" s="1">
        <v>0</v>
      </c>
      <c r="EF76" s="1">
        <v>0</v>
      </c>
      <c r="EG76" s="1">
        <v>0</v>
      </c>
      <c r="EH76" s="1">
        <v>0</v>
      </c>
      <c r="EI76" s="1">
        <v>0</v>
      </c>
      <c r="EJ76" s="1">
        <v>0</v>
      </c>
      <c r="EK76" s="1">
        <v>850.76</v>
      </c>
      <c r="EL76" s="1">
        <v>740.34699999999998</v>
      </c>
      <c r="EM76" s="1">
        <v>744.83500000000004</v>
      </c>
      <c r="EN76" s="1">
        <v>669.18200000000002</v>
      </c>
      <c r="EO76" s="1">
        <v>850.76</v>
      </c>
      <c r="EP76" s="1">
        <v>740.34699999999998</v>
      </c>
      <c r="EQ76" s="1">
        <v>744.83500000000004</v>
      </c>
      <c r="ER76" s="1">
        <v>669.18200000000002</v>
      </c>
      <c r="ES76" s="1">
        <v>0</v>
      </c>
      <c r="ET76" s="1">
        <v>0</v>
      </c>
      <c r="EU76" s="1">
        <v>0</v>
      </c>
      <c r="EV76" s="1">
        <v>0</v>
      </c>
      <c r="EW76" s="1">
        <v>0</v>
      </c>
      <c r="EX76" s="1">
        <v>0</v>
      </c>
      <c r="EY76" s="1">
        <v>0</v>
      </c>
      <c r="EZ76" s="1">
        <v>0</v>
      </c>
      <c r="FA76" s="1">
        <v>0</v>
      </c>
      <c r="FB76" s="1">
        <v>0</v>
      </c>
      <c r="FC76" s="1">
        <v>0</v>
      </c>
      <c r="FD76" s="1">
        <v>0</v>
      </c>
      <c r="FE76" s="1">
        <v>78.638000000000005</v>
      </c>
      <c r="FF76" s="1">
        <v>107.46</v>
      </c>
      <c r="FG76" s="1">
        <v>82.872</v>
      </c>
      <c r="FH76" s="1">
        <v>84.932000000000002</v>
      </c>
      <c r="FI76" s="1">
        <v>1.98</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64.194999999999993</v>
      </c>
      <c r="GD76" s="1">
        <v>91.925000000000011</v>
      </c>
      <c r="GE76" s="1">
        <v>79.69</v>
      </c>
      <c r="GF76" s="1">
        <v>82.215000000000003</v>
      </c>
      <c r="GG76" s="1">
        <v>64.194999999999993</v>
      </c>
      <c r="GH76" s="1">
        <v>91.925000000000011</v>
      </c>
      <c r="GI76" s="1">
        <v>79.69</v>
      </c>
      <c r="GJ76" s="1">
        <v>82.215000000000003</v>
      </c>
      <c r="GK76" s="1">
        <v>0</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0</v>
      </c>
      <c r="JO76" s="1">
        <v>0</v>
      </c>
      <c r="JP76" s="1">
        <v>0</v>
      </c>
      <c r="JQ76" s="9"/>
      <c r="JR76" s="1">
        <f t="shared" si="25"/>
        <v>661.62285000000054</v>
      </c>
      <c r="JS76" s="1">
        <f t="shared" si="25"/>
        <v>701.44731000000036</v>
      </c>
      <c r="JT76" s="1">
        <f t="shared" si="25"/>
        <v>701.40843000000029</v>
      </c>
      <c r="JU76" s="1">
        <f t="shared" si="25"/>
        <v>698.99840999999947</v>
      </c>
      <c r="JV76" s="1">
        <f t="shared" si="26"/>
        <v>122.52275000000009</v>
      </c>
      <c r="JW76" s="1">
        <f t="shared" si="26"/>
        <v>129.89765000000008</v>
      </c>
      <c r="JX76" s="1">
        <f t="shared" si="26"/>
        <v>129.89045000000007</v>
      </c>
      <c r="JY76" s="1">
        <f t="shared" si="26"/>
        <v>129.44414999999989</v>
      </c>
    </row>
    <row r="77" spans="1:285" x14ac:dyDescent="0.35">
      <c r="A77" s="2" t="s">
        <v>84</v>
      </c>
      <c r="B77" s="1">
        <v>123725</v>
      </c>
      <c r="C77" s="1">
        <v>126192</v>
      </c>
      <c r="D77" s="1">
        <v>127387</v>
      </c>
      <c r="E77" s="1">
        <v>128945</v>
      </c>
      <c r="F77" s="1">
        <v>38884.212</v>
      </c>
      <c r="G77" s="1">
        <v>42969.41</v>
      </c>
      <c r="H77" s="1">
        <v>38661.760000000002</v>
      </c>
      <c r="I77" s="1">
        <v>36946.94</v>
      </c>
      <c r="J77" s="1">
        <f t="shared" si="27"/>
        <v>25865.941999999999</v>
      </c>
      <c r="K77" s="1">
        <f t="shared" si="28"/>
        <v>29507.319999999992</v>
      </c>
      <c r="L77" s="1">
        <f t="shared" si="29"/>
        <v>25808.920000000002</v>
      </c>
      <c r="M77" s="1">
        <f t="shared" si="30"/>
        <v>24430.39</v>
      </c>
      <c r="N77" s="1">
        <f t="shared" si="31"/>
        <v>13018.27</v>
      </c>
      <c r="O77" s="1">
        <f t="shared" si="32"/>
        <v>13462.090000000011</v>
      </c>
      <c r="P77" s="1">
        <f t="shared" si="33"/>
        <v>12852.84</v>
      </c>
      <c r="Q77" s="1">
        <f t="shared" si="34"/>
        <v>12516.550000000003</v>
      </c>
      <c r="R77" s="1">
        <v>0</v>
      </c>
      <c r="S77" s="1">
        <v>0</v>
      </c>
      <c r="T77" s="1">
        <v>0</v>
      </c>
      <c r="U77" s="1">
        <v>0</v>
      </c>
      <c r="V77" s="1">
        <v>0</v>
      </c>
      <c r="W77" s="1">
        <v>0</v>
      </c>
      <c r="X77" s="1">
        <v>0</v>
      </c>
      <c r="Y77" s="1">
        <v>0</v>
      </c>
      <c r="Z77" s="1">
        <v>0</v>
      </c>
      <c r="AA77" s="1">
        <v>0</v>
      </c>
      <c r="AB77" s="1">
        <v>0</v>
      </c>
      <c r="AC77" s="1">
        <v>0</v>
      </c>
      <c r="AD77" s="1">
        <v>0</v>
      </c>
      <c r="AE77" s="1">
        <v>0</v>
      </c>
      <c r="AF77" s="1">
        <v>0</v>
      </c>
      <c r="AG77" s="1">
        <v>0</v>
      </c>
      <c r="AH77" s="1">
        <v>0</v>
      </c>
      <c r="AI77" s="1">
        <v>0</v>
      </c>
      <c r="AJ77" s="1">
        <v>0</v>
      </c>
      <c r="AK77" s="1">
        <v>0</v>
      </c>
      <c r="AL77" s="1">
        <v>0</v>
      </c>
      <c r="AM77" s="1">
        <v>0</v>
      </c>
      <c r="AN77" s="1">
        <v>0</v>
      </c>
      <c r="AO77" s="1">
        <v>0</v>
      </c>
      <c r="AP77" s="1">
        <v>3766.29</v>
      </c>
      <c r="AQ77" s="1">
        <v>4351.0599999999995</v>
      </c>
      <c r="AR77" s="1">
        <v>3794.41</v>
      </c>
      <c r="AS77" s="1">
        <v>3745.18</v>
      </c>
      <c r="AT77" s="1">
        <v>0</v>
      </c>
      <c r="AU77" s="1">
        <v>3766.29</v>
      </c>
      <c r="AV77" s="1">
        <v>0</v>
      </c>
      <c r="AW77" s="1">
        <v>0</v>
      </c>
      <c r="AX77" s="1">
        <v>0</v>
      </c>
      <c r="AY77" s="1">
        <v>4351.0599999999995</v>
      </c>
      <c r="AZ77" s="1">
        <v>0</v>
      </c>
      <c r="BA77" s="1">
        <v>0</v>
      </c>
      <c r="BB77" s="1">
        <v>0</v>
      </c>
      <c r="BC77" s="1">
        <v>3794.41</v>
      </c>
      <c r="BD77" s="1">
        <v>0</v>
      </c>
      <c r="BE77" s="1">
        <v>0</v>
      </c>
      <c r="BF77" s="1">
        <v>3745.18</v>
      </c>
      <c r="BG77" s="1">
        <v>0</v>
      </c>
      <c r="BH77" s="1">
        <v>0</v>
      </c>
      <c r="BI77" s="1">
        <v>0</v>
      </c>
      <c r="BJ77" s="1">
        <v>0</v>
      </c>
      <c r="BK77" s="1">
        <v>0</v>
      </c>
      <c r="BL77" s="1">
        <v>0</v>
      </c>
      <c r="BM77" s="1">
        <v>0</v>
      </c>
      <c r="BN77" s="1">
        <v>0</v>
      </c>
      <c r="BO77" s="1">
        <v>0</v>
      </c>
      <c r="BP77" s="1">
        <v>0</v>
      </c>
      <c r="BQ77" s="1">
        <v>0</v>
      </c>
      <c r="BR77" s="1">
        <v>0</v>
      </c>
      <c r="BS77" s="1">
        <v>0</v>
      </c>
      <c r="BT77" s="1">
        <v>0</v>
      </c>
      <c r="BU77" s="1">
        <v>11827.994000000001</v>
      </c>
      <c r="BV77" s="1">
        <v>13844.43</v>
      </c>
      <c r="BW77" s="1">
        <v>12130.01</v>
      </c>
      <c r="BX77" s="1">
        <v>10613.9</v>
      </c>
      <c r="BY77" s="1">
        <v>11823.824000000001</v>
      </c>
      <c r="BZ77" s="1">
        <v>13844.43</v>
      </c>
      <c r="CA77" s="1">
        <v>12130.01</v>
      </c>
      <c r="CB77" s="1">
        <v>10613.9</v>
      </c>
      <c r="CC77" s="1">
        <v>4.17</v>
      </c>
      <c r="CD77" s="1">
        <v>0</v>
      </c>
      <c r="CE77" s="1">
        <v>0</v>
      </c>
      <c r="CF77" s="1">
        <v>0</v>
      </c>
      <c r="CG77" s="1">
        <v>0</v>
      </c>
      <c r="CH77" s="1">
        <v>0</v>
      </c>
      <c r="CI77" s="1">
        <v>0</v>
      </c>
      <c r="CJ77" s="1">
        <v>0</v>
      </c>
      <c r="CK77" s="1">
        <v>0</v>
      </c>
      <c r="CL77" s="1">
        <v>0</v>
      </c>
      <c r="CM77" s="1">
        <v>0</v>
      </c>
      <c r="CN77" s="1">
        <v>0</v>
      </c>
      <c r="CO77" s="1">
        <v>0</v>
      </c>
      <c r="CP77" s="1">
        <v>0</v>
      </c>
      <c r="CQ77" s="1">
        <v>0</v>
      </c>
      <c r="CR77" s="1">
        <v>0</v>
      </c>
      <c r="CS77" s="1">
        <v>1597.8520000000001</v>
      </c>
      <c r="CT77" s="1">
        <v>1529.17</v>
      </c>
      <c r="CU77" s="1">
        <v>1440.29</v>
      </c>
      <c r="CV77" s="1">
        <v>1416.29</v>
      </c>
      <c r="CW77" s="1">
        <v>1580.0719999999999</v>
      </c>
      <c r="CX77" s="1">
        <v>1527.11</v>
      </c>
      <c r="CY77" s="1">
        <v>1337.92</v>
      </c>
      <c r="CZ77" s="1">
        <v>1273.0999999999999</v>
      </c>
      <c r="DA77" s="1">
        <v>0</v>
      </c>
      <c r="DB77" s="1">
        <v>0</v>
      </c>
      <c r="DC77" s="1">
        <v>0</v>
      </c>
      <c r="DD77" s="1">
        <v>0</v>
      </c>
      <c r="DE77" s="1">
        <v>0</v>
      </c>
      <c r="DF77" s="1">
        <v>0</v>
      </c>
      <c r="DG77" s="1">
        <v>0</v>
      </c>
      <c r="DH77" s="1">
        <v>0</v>
      </c>
      <c r="DI77" s="1">
        <v>17.78</v>
      </c>
      <c r="DJ77" s="1">
        <v>2.06</v>
      </c>
      <c r="DK77" s="1">
        <v>102.37</v>
      </c>
      <c r="DL77" s="1">
        <v>143.19</v>
      </c>
      <c r="DM77" s="1">
        <v>7401.72</v>
      </c>
      <c r="DN77" s="1">
        <v>8561.24</v>
      </c>
      <c r="DO77" s="1">
        <v>7340.32</v>
      </c>
      <c r="DP77" s="1">
        <v>7205.36</v>
      </c>
      <c r="DQ77" s="1">
        <v>7401.72</v>
      </c>
      <c r="DR77" s="1">
        <v>8561.24</v>
      </c>
      <c r="DS77" s="1">
        <v>7340.32</v>
      </c>
      <c r="DT77" s="1">
        <v>7205.36</v>
      </c>
      <c r="DU77" s="1">
        <v>0</v>
      </c>
      <c r="DV77" s="1">
        <v>0</v>
      </c>
      <c r="DW77" s="1">
        <v>0</v>
      </c>
      <c r="DX77" s="1">
        <v>0</v>
      </c>
      <c r="DY77" s="1">
        <v>0</v>
      </c>
      <c r="DZ77" s="1">
        <v>0</v>
      </c>
      <c r="EA77" s="1">
        <v>0</v>
      </c>
      <c r="EB77" s="1">
        <v>0</v>
      </c>
      <c r="EC77" s="1">
        <v>0</v>
      </c>
      <c r="ED77" s="1">
        <v>0</v>
      </c>
      <c r="EE77" s="1">
        <v>0</v>
      </c>
      <c r="EF77" s="1">
        <v>0</v>
      </c>
      <c r="EG77" s="1">
        <v>0</v>
      </c>
      <c r="EH77" s="1">
        <v>0</v>
      </c>
      <c r="EI77" s="1">
        <v>0</v>
      </c>
      <c r="EJ77" s="1">
        <v>0</v>
      </c>
      <c r="EK77" s="1">
        <v>534.24599999999998</v>
      </c>
      <c r="EL77" s="1">
        <v>497.72</v>
      </c>
      <c r="EM77" s="1">
        <v>561.24</v>
      </c>
      <c r="EN77" s="1">
        <v>439.94</v>
      </c>
      <c r="EO77" s="1">
        <v>534.24599999999998</v>
      </c>
      <c r="EP77" s="1">
        <v>497.72</v>
      </c>
      <c r="EQ77" s="1">
        <v>561.24</v>
      </c>
      <c r="ER77" s="1">
        <v>439.94</v>
      </c>
      <c r="ES77" s="1">
        <v>0</v>
      </c>
      <c r="ET77" s="1">
        <v>0</v>
      </c>
      <c r="EU77" s="1">
        <v>0</v>
      </c>
      <c r="EV77" s="1">
        <v>0</v>
      </c>
      <c r="EW77" s="1">
        <v>0</v>
      </c>
      <c r="EX77" s="1">
        <v>0</v>
      </c>
      <c r="EY77" s="1">
        <v>0</v>
      </c>
      <c r="EZ77" s="1">
        <v>0</v>
      </c>
      <c r="FA77" s="1">
        <v>0</v>
      </c>
      <c r="FB77" s="1">
        <v>0</v>
      </c>
      <c r="FC77" s="1">
        <v>0</v>
      </c>
      <c r="FD77" s="1">
        <v>0</v>
      </c>
      <c r="FE77" s="1">
        <v>232.91</v>
      </c>
      <c r="FF77" s="1">
        <v>349.57</v>
      </c>
      <c r="FG77" s="1">
        <v>238.65</v>
      </c>
      <c r="FH77" s="1">
        <v>253.9</v>
      </c>
      <c r="FI77" s="1">
        <v>173.41</v>
      </c>
      <c r="FJ77" s="1">
        <v>349.57</v>
      </c>
      <c r="FK77" s="1">
        <v>238.65</v>
      </c>
      <c r="FL77" s="1">
        <v>253.9</v>
      </c>
      <c r="FM77" s="1">
        <v>76.658000000000001</v>
      </c>
      <c r="FN77" s="1">
        <v>107.46</v>
      </c>
      <c r="FO77" s="1">
        <v>82.872</v>
      </c>
      <c r="FP77" s="1">
        <v>84.932000000000002</v>
      </c>
      <c r="FQ77" s="1">
        <v>0</v>
      </c>
      <c r="FR77" s="1">
        <v>0</v>
      </c>
      <c r="FS77" s="1">
        <v>0</v>
      </c>
      <c r="FT77" s="1">
        <v>0</v>
      </c>
      <c r="FU77" s="1">
        <v>0</v>
      </c>
      <c r="FV77" s="1">
        <v>0</v>
      </c>
      <c r="FW77" s="1">
        <v>0</v>
      </c>
      <c r="FX77" s="1">
        <v>0</v>
      </c>
      <c r="FY77" s="1">
        <v>0</v>
      </c>
      <c r="FZ77" s="1">
        <v>0</v>
      </c>
      <c r="GA77" s="1">
        <v>0</v>
      </c>
      <c r="GB77" s="1">
        <v>0</v>
      </c>
      <c r="GC77" s="1">
        <v>19.12</v>
      </c>
      <c r="GD77" s="1">
        <v>21.28</v>
      </c>
      <c r="GE77" s="1">
        <v>18.2</v>
      </c>
      <c r="GF77" s="1">
        <v>19.62</v>
      </c>
      <c r="GG77" s="1">
        <v>19.12</v>
      </c>
      <c r="GH77" s="1">
        <v>21.28</v>
      </c>
      <c r="GI77" s="1">
        <v>18.2</v>
      </c>
      <c r="GJ77" s="1">
        <v>19.62</v>
      </c>
      <c r="GK77" s="1">
        <v>0</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485.81000000000012</v>
      </c>
      <c r="IP77" s="1">
        <v>352.85</v>
      </c>
      <c r="IQ77" s="1">
        <v>285.8</v>
      </c>
      <c r="IR77" s="1">
        <v>736.2</v>
      </c>
      <c r="IS77" s="1">
        <v>485.81000000000012</v>
      </c>
      <c r="IT77" s="1">
        <v>352.85</v>
      </c>
      <c r="IU77" s="1">
        <v>285.8</v>
      </c>
      <c r="IV77" s="1">
        <v>736.2</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0</v>
      </c>
      <c r="JO77" s="1">
        <v>0</v>
      </c>
      <c r="JP77" s="1">
        <v>0</v>
      </c>
      <c r="JQ77" s="9"/>
      <c r="JR77" s="1">
        <f t="shared" si="25"/>
        <v>3514.9329000000002</v>
      </c>
      <c r="JS77" s="1">
        <f t="shared" si="25"/>
        <v>3634.764300000003</v>
      </c>
      <c r="JT77" s="1">
        <f t="shared" si="25"/>
        <v>3470.2668000000003</v>
      </c>
      <c r="JU77" s="1">
        <f t="shared" si="25"/>
        <v>3379.4685000000009</v>
      </c>
      <c r="JV77" s="1">
        <f t="shared" si="26"/>
        <v>650.91350000000011</v>
      </c>
      <c r="JW77" s="1">
        <f t="shared" si="26"/>
        <v>673.1045000000006</v>
      </c>
      <c r="JX77" s="1">
        <f t="shared" si="26"/>
        <v>642.64200000000005</v>
      </c>
      <c r="JY77" s="1">
        <f t="shared" si="26"/>
        <v>625.82750000000021</v>
      </c>
    </row>
    <row r="78" spans="1:285" x14ac:dyDescent="0.35">
      <c r="A78" s="2" t="s">
        <v>85</v>
      </c>
      <c r="B78" s="1">
        <v>149027</v>
      </c>
      <c r="C78" s="1">
        <v>150662</v>
      </c>
      <c r="D78" s="1">
        <v>151828</v>
      </c>
      <c r="E78" s="1">
        <v>153897</v>
      </c>
      <c r="F78" s="1">
        <v>45706.044999999998</v>
      </c>
      <c r="G78" s="1">
        <v>46234.391000000003</v>
      </c>
      <c r="H78" s="1">
        <v>40974.241000000002</v>
      </c>
      <c r="I78" s="1">
        <v>41767.423000000003</v>
      </c>
      <c r="J78" s="1">
        <f t="shared" si="27"/>
        <v>31820.424999999996</v>
      </c>
      <c r="K78" s="1">
        <f t="shared" si="28"/>
        <v>30957.790999999997</v>
      </c>
      <c r="L78" s="1">
        <f t="shared" si="29"/>
        <v>26470.070999999996</v>
      </c>
      <c r="M78" s="1">
        <f t="shared" si="30"/>
        <v>27202.093000000001</v>
      </c>
      <c r="N78" s="1">
        <f t="shared" si="31"/>
        <v>13885.620000000003</v>
      </c>
      <c r="O78" s="1">
        <f t="shared" si="32"/>
        <v>15276.600000000006</v>
      </c>
      <c r="P78" s="1">
        <f t="shared" si="33"/>
        <v>14504.170000000006</v>
      </c>
      <c r="Q78" s="1">
        <f t="shared" si="34"/>
        <v>14565.330000000002</v>
      </c>
      <c r="R78" s="1">
        <v>0</v>
      </c>
      <c r="S78" s="1">
        <v>0</v>
      </c>
      <c r="T78" s="1">
        <v>0</v>
      </c>
      <c r="U78" s="1">
        <v>0</v>
      </c>
      <c r="V78" s="1">
        <v>0</v>
      </c>
      <c r="W78" s="1">
        <v>0</v>
      </c>
      <c r="X78" s="1">
        <v>0</v>
      </c>
      <c r="Y78" s="1">
        <v>0</v>
      </c>
      <c r="Z78" s="1">
        <v>0</v>
      </c>
      <c r="AA78" s="1">
        <v>0</v>
      </c>
      <c r="AB78" s="1">
        <v>0</v>
      </c>
      <c r="AC78" s="1">
        <v>0</v>
      </c>
      <c r="AD78" s="1">
        <v>0</v>
      </c>
      <c r="AE78" s="1">
        <v>0</v>
      </c>
      <c r="AF78" s="1">
        <v>0</v>
      </c>
      <c r="AG78" s="1">
        <v>0</v>
      </c>
      <c r="AH78" s="1">
        <v>0</v>
      </c>
      <c r="AI78" s="1">
        <v>0</v>
      </c>
      <c r="AJ78" s="1">
        <v>0</v>
      </c>
      <c r="AK78" s="1">
        <v>0</v>
      </c>
      <c r="AL78" s="1">
        <v>0</v>
      </c>
      <c r="AM78" s="1">
        <v>0</v>
      </c>
      <c r="AN78" s="1">
        <v>0</v>
      </c>
      <c r="AO78" s="1">
        <v>0</v>
      </c>
      <c r="AP78" s="1">
        <v>13773.82</v>
      </c>
      <c r="AQ78" s="1">
        <v>12633.369999999999</v>
      </c>
      <c r="AR78" s="1">
        <v>9845.7199999999993</v>
      </c>
      <c r="AS78" s="1">
        <v>11052.26</v>
      </c>
      <c r="AT78" s="1">
        <v>13773.82</v>
      </c>
      <c r="AU78" s="1">
        <v>0</v>
      </c>
      <c r="AV78" s="1">
        <v>0</v>
      </c>
      <c r="AW78" s="1">
        <v>0</v>
      </c>
      <c r="AX78" s="1">
        <v>0</v>
      </c>
      <c r="AY78" s="1">
        <v>0</v>
      </c>
      <c r="AZ78" s="1">
        <v>0</v>
      </c>
      <c r="BA78" s="1">
        <v>0</v>
      </c>
      <c r="BB78" s="1">
        <v>9845.7199999999993</v>
      </c>
      <c r="BC78" s="1">
        <v>0</v>
      </c>
      <c r="BD78" s="1">
        <v>0</v>
      </c>
      <c r="BE78" s="1">
        <v>11052.26</v>
      </c>
      <c r="BF78" s="1">
        <v>0</v>
      </c>
      <c r="BG78" s="1">
        <v>0</v>
      </c>
      <c r="BH78" s="1">
        <v>0</v>
      </c>
      <c r="BI78" s="1">
        <v>0</v>
      </c>
      <c r="BJ78" s="1">
        <v>0</v>
      </c>
      <c r="BK78" s="1">
        <v>0</v>
      </c>
      <c r="BL78" s="1">
        <v>0</v>
      </c>
      <c r="BM78" s="1">
        <v>0</v>
      </c>
      <c r="BN78" s="1">
        <v>0</v>
      </c>
      <c r="BO78" s="1">
        <v>0</v>
      </c>
      <c r="BP78" s="1">
        <v>0</v>
      </c>
      <c r="BQ78" s="1">
        <v>0</v>
      </c>
      <c r="BR78" s="1">
        <v>0</v>
      </c>
      <c r="BS78" s="1">
        <v>0</v>
      </c>
      <c r="BT78" s="1">
        <v>0</v>
      </c>
      <c r="BU78" s="1">
        <v>9404.1899999999987</v>
      </c>
      <c r="BV78" s="1">
        <v>10120.26</v>
      </c>
      <c r="BW78" s="1">
        <v>9568.119999999999</v>
      </c>
      <c r="BX78" s="1">
        <v>9069.02</v>
      </c>
      <c r="BY78" s="1">
        <v>9404.1899999999987</v>
      </c>
      <c r="BZ78" s="1">
        <v>10120.26</v>
      </c>
      <c r="CA78" s="1">
        <v>9568.119999999999</v>
      </c>
      <c r="CB78" s="1">
        <v>9060.0299999999988</v>
      </c>
      <c r="CC78" s="1">
        <v>0</v>
      </c>
      <c r="CD78" s="1">
        <v>0</v>
      </c>
      <c r="CE78" s="1">
        <v>0</v>
      </c>
      <c r="CF78" s="1">
        <v>8.99</v>
      </c>
      <c r="CG78" s="1">
        <v>0</v>
      </c>
      <c r="CH78" s="1">
        <v>0</v>
      </c>
      <c r="CI78" s="1">
        <v>0</v>
      </c>
      <c r="CJ78" s="1">
        <v>0</v>
      </c>
      <c r="CK78" s="1">
        <v>0</v>
      </c>
      <c r="CL78" s="1">
        <v>0</v>
      </c>
      <c r="CM78" s="1">
        <v>0</v>
      </c>
      <c r="CN78" s="1">
        <v>0</v>
      </c>
      <c r="CO78" s="1">
        <v>0</v>
      </c>
      <c r="CP78" s="1">
        <v>0</v>
      </c>
      <c r="CQ78" s="1">
        <v>0</v>
      </c>
      <c r="CR78" s="1">
        <v>0</v>
      </c>
      <c r="CS78" s="1">
        <v>1814.27</v>
      </c>
      <c r="CT78" s="1">
        <v>1619.85</v>
      </c>
      <c r="CU78" s="1">
        <v>1139.9100000000001</v>
      </c>
      <c r="CV78" s="1">
        <v>1126.8599999999999</v>
      </c>
      <c r="CW78" s="1">
        <v>1814.27</v>
      </c>
      <c r="CX78" s="1">
        <v>1619.85</v>
      </c>
      <c r="CY78" s="1">
        <v>1139.8900000000001</v>
      </c>
      <c r="CZ78" s="1">
        <v>1126.8599999999999</v>
      </c>
      <c r="DA78" s="1">
        <v>0</v>
      </c>
      <c r="DB78" s="1">
        <v>0</v>
      </c>
      <c r="DC78" s="1">
        <v>0</v>
      </c>
      <c r="DD78" s="1">
        <v>0</v>
      </c>
      <c r="DE78" s="1">
        <v>0</v>
      </c>
      <c r="DF78" s="1">
        <v>0</v>
      </c>
      <c r="DG78" s="1">
        <v>0</v>
      </c>
      <c r="DH78" s="1">
        <v>0</v>
      </c>
      <c r="DI78" s="1">
        <v>0</v>
      </c>
      <c r="DJ78" s="1">
        <v>0</v>
      </c>
      <c r="DK78" s="1">
        <v>0.02</v>
      </c>
      <c r="DL78" s="1">
        <v>0</v>
      </c>
      <c r="DM78" s="1">
        <v>5683.45</v>
      </c>
      <c r="DN78" s="1">
        <v>5659.47</v>
      </c>
      <c r="DO78" s="1">
        <v>5141.8900000000003</v>
      </c>
      <c r="DP78" s="1">
        <v>5332.66</v>
      </c>
      <c r="DQ78" s="1">
        <v>5683.45</v>
      </c>
      <c r="DR78" s="1">
        <v>5659.47</v>
      </c>
      <c r="DS78" s="1">
        <v>5141.8900000000003</v>
      </c>
      <c r="DT78" s="1">
        <v>5332.66</v>
      </c>
      <c r="DU78" s="1">
        <v>0</v>
      </c>
      <c r="DV78" s="1">
        <v>0</v>
      </c>
      <c r="DW78" s="1">
        <v>0</v>
      </c>
      <c r="DX78" s="1">
        <v>0</v>
      </c>
      <c r="DY78" s="1">
        <v>0</v>
      </c>
      <c r="DZ78" s="1">
        <v>0</v>
      </c>
      <c r="EA78" s="1">
        <v>0</v>
      </c>
      <c r="EB78" s="1">
        <v>0</v>
      </c>
      <c r="EC78" s="1">
        <v>0</v>
      </c>
      <c r="ED78" s="1">
        <v>0</v>
      </c>
      <c r="EE78" s="1">
        <v>0</v>
      </c>
      <c r="EF78" s="1">
        <v>0</v>
      </c>
      <c r="EG78" s="1">
        <v>0</v>
      </c>
      <c r="EH78" s="1">
        <v>0</v>
      </c>
      <c r="EI78" s="1">
        <v>0</v>
      </c>
      <c r="EJ78" s="1">
        <v>0</v>
      </c>
      <c r="EK78" s="1">
        <v>636.32999999999993</v>
      </c>
      <c r="EL78" s="1">
        <v>619.72</v>
      </c>
      <c r="EM78" s="1">
        <v>578.95000000000005</v>
      </c>
      <c r="EN78" s="1">
        <v>550.23</v>
      </c>
      <c r="EO78" s="1">
        <v>636.32999999999993</v>
      </c>
      <c r="EP78" s="1">
        <v>619.72</v>
      </c>
      <c r="EQ78" s="1">
        <v>578.95000000000005</v>
      </c>
      <c r="ER78" s="1">
        <v>550.23</v>
      </c>
      <c r="ES78" s="1">
        <v>0</v>
      </c>
      <c r="ET78" s="1">
        <v>0</v>
      </c>
      <c r="EU78" s="1">
        <v>0</v>
      </c>
      <c r="EV78" s="1">
        <v>0</v>
      </c>
      <c r="EW78" s="1">
        <v>0</v>
      </c>
      <c r="EX78" s="1">
        <v>0</v>
      </c>
      <c r="EY78" s="1">
        <v>0</v>
      </c>
      <c r="EZ78" s="1">
        <v>0</v>
      </c>
      <c r="FA78" s="1">
        <v>0</v>
      </c>
      <c r="FB78" s="1">
        <v>0</v>
      </c>
      <c r="FC78" s="1">
        <v>0</v>
      </c>
      <c r="FD78" s="1">
        <v>0</v>
      </c>
      <c r="FE78" s="1">
        <v>188.994</v>
      </c>
      <c r="FF78" s="1">
        <v>150.56899999999999</v>
      </c>
      <c r="FG78" s="1">
        <v>130.44200000000001</v>
      </c>
      <c r="FH78" s="1">
        <v>24.097000000000001</v>
      </c>
      <c r="FI78" s="1">
        <v>80.933999999999997</v>
      </c>
      <c r="FJ78" s="1">
        <v>49.021999999999998</v>
      </c>
      <c r="FK78" s="1">
        <v>41.212000000000003</v>
      </c>
      <c r="FL78" s="1">
        <v>7.8460000000000001</v>
      </c>
      <c r="FM78" s="1">
        <v>59.5</v>
      </c>
      <c r="FN78" s="1">
        <v>0</v>
      </c>
      <c r="FO78" s="1">
        <v>0</v>
      </c>
      <c r="FP78" s="1">
        <v>0</v>
      </c>
      <c r="FQ78" s="1">
        <v>0</v>
      </c>
      <c r="FR78" s="1">
        <v>0</v>
      </c>
      <c r="FS78" s="1">
        <v>0</v>
      </c>
      <c r="FT78" s="1">
        <v>0</v>
      </c>
      <c r="FU78" s="1">
        <v>0</v>
      </c>
      <c r="FV78" s="1">
        <v>0</v>
      </c>
      <c r="FW78" s="1">
        <v>0</v>
      </c>
      <c r="FX78" s="1">
        <v>0</v>
      </c>
      <c r="FY78" s="1">
        <v>0</v>
      </c>
      <c r="FZ78" s="1">
        <v>0</v>
      </c>
      <c r="GA78" s="1">
        <v>0</v>
      </c>
      <c r="GB78" s="1">
        <v>0</v>
      </c>
      <c r="GC78" s="1">
        <v>60.920999999999999</v>
      </c>
      <c r="GD78" s="1">
        <v>65.092000000000013</v>
      </c>
      <c r="GE78" s="1">
        <v>65.039000000000001</v>
      </c>
      <c r="GF78" s="1">
        <v>46.966000000000001</v>
      </c>
      <c r="GG78" s="1">
        <v>60.920999999999999</v>
      </c>
      <c r="GH78" s="1">
        <v>65.092000000000013</v>
      </c>
      <c r="GI78" s="1">
        <v>65.039000000000001</v>
      </c>
      <c r="GJ78" s="1">
        <v>46.966000000000001</v>
      </c>
      <c r="GK78" s="1">
        <v>0</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258.45</v>
      </c>
      <c r="IP78" s="1">
        <v>89.46</v>
      </c>
      <c r="IQ78" s="1">
        <v>0</v>
      </c>
      <c r="IR78" s="1">
        <v>0</v>
      </c>
      <c r="IS78" s="1">
        <v>258.45</v>
      </c>
      <c r="IT78" s="1">
        <v>89.46</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0</v>
      </c>
      <c r="JO78" s="1">
        <v>0</v>
      </c>
      <c r="JP78" s="1">
        <v>0</v>
      </c>
      <c r="JQ78" s="9"/>
      <c r="JR78" s="1">
        <f t="shared" si="25"/>
        <v>3749.117400000001</v>
      </c>
      <c r="JS78" s="1">
        <f t="shared" si="25"/>
        <v>4124.6820000000016</v>
      </c>
      <c r="JT78" s="1">
        <f t="shared" si="25"/>
        <v>3916.1259000000018</v>
      </c>
      <c r="JU78" s="1">
        <f t="shared" si="25"/>
        <v>3932.6391000000008</v>
      </c>
      <c r="JV78" s="1">
        <f t="shared" si="26"/>
        <v>694.28100000000018</v>
      </c>
      <c r="JW78" s="1">
        <f t="shared" si="26"/>
        <v>763.83000000000038</v>
      </c>
      <c r="JX78" s="1">
        <f t="shared" si="26"/>
        <v>725.2085000000003</v>
      </c>
      <c r="JY78" s="1">
        <f t="shared" si="26"/>
        <v>728.26650000000018</v>
      </c>
    </row>
    <row r="79" spans="1:285" x14ac:dyDescent="0.35">
      <c r="A79" s="2" t="s">
        <v>86</v>
      </c>
      <c r="B79" s="1">
        <v>141665</v>
      </c>
      <c r="C79" s="1">
        <v>142916</v>
      </c>
      <c r="D79" s="1">
        <v>144227</v>
      </c>
      <c r="E79" s="1">
        <v>144971</v>
      </c>
      <c r="F79" s="1">
        <v>47259.055999999997</v>
      </c>
      <c r="G79" s="1">
        <v>47369.044000000002</v>
      </c>
      <c r="H79" s="1">
        <v>39565.493999999999</v>
      </c>
      <c r="I79" s="1">
        <v>33155.379000000001</v>
      </c>
      <c r="J79" s="1">
        <f t="shared" si="27"/>
        <v>28979.925999999992</v>
      </c>
      <c r="K79" s="1">
        <f t="shared" si="28"/>
        <v>28463.894</v>
      </c>
      <c r="L79" s="1">
        <f t="shared" si="29"/>
        <v>25805.324000000004</v>
      </c>
      <c r="M79" s="1">
        <f t="shared" si="30"/>
        <v>24293.139000000003</v>
      </c>
      <c r="N79" s="1">
        <f t="shared" si="31"/>
        <v>18279.130000000005</v>
      </c>
      <c r="O79" s="1">
        <f t="shared" si="32"/>
        <v>18905.150000000001</v>
      </c>
      <c r="P79" s="1">
        <f t="shared" si="33"/>
        <v>13760.169999999995</v>
      </c>
      <c r="Q79" s="1">
        <f t="shared" si="34"/>
        <v>8862.239999999998</v>
      </c>
      <c r="R79" s="1">
        <v>0</v>
      </c>
      <c r="S79" s="1">
        <v>0</v>
      </c>
      <c r="T79" s="1">
        <v>0</v>
      </c>
      <c r="U79" s="1">
        <v>0</v>
      </c>
      <c r="V79" s="1">
        <v>0</v>
      </c>
      <c r="W79" s="1">
        <v>0</v>
      </c>
      <c r="X79" s="1">
        <v>0</v>
      </c>
      <c r="Y79" s="1">
        <v>0</v>
      </c>
      <c r="Z79" s="1">
        <v>0</v>
      </c>
      <c r="AA79" s="1">
        <v>0</v>
      </c>
      <c r="AB79" s="1">
        <v>0</v>
      </c>
      <c r="AC79" s="1">
        <v>0</v>
      </c>
      <c r="AD79" s="1">
        <v>0</v>
      </c>
      <c r="AE79" s="1">
        <v>0</v>
      </c>
      <c r="AF79" s="1">
        <v>0</v>
      </c>
      <c r="AG79" s="1">
        <v>0</v>
      </c>
      <c r="AH79" s="1">
        <v>0</v>
      </c>
      <c r="AI79" s="1">
        <v>0</v>
      </c>
      <c r="AJ79" s="1">
        <v>0</v>
      </c>
      <c r="AK79" s="1">
        <v>0</v>
      </c>
      <c r="AL79" s="1">
        <v>0</v>
      </c>
      <c r="AM79" s="1">
        <v>0</v>
      </c>
      <c r="AN79" s="1">
        <v>0</v>
      </c>
      <c r="AO79" s="1">
        <v>0</v>
      </c>
      <c r="AP79" s="1">
        <v>14136.649999999998</v>
      </c>
      <c r="AQ79" s="1">
        <v>12764.689999999999</v>
      </c>
      <c r="AR79" s="1">
        <v>10918.11</v>
      </c>
      <c r="AS79" s="1">
        <v>11886.300000000001</v>
      </c>
      <c r="AT79" s="1">
        <v>0</v>
      </c>
      <c r="AU79" s="1">
        <v>14136.649999999998</v>
      </c>
      <c r="AV79" s="1">
        <v>0</v>
      </c>
      <c r="AW79" s="1">
        <v>0</v>
      </c>
      <c r="AX79" s="1">
        <v>0</v>
      </c>
      <c r="AY79" s="1">
        <v>12764.689999999999</v>
      </c>
      <c r="AZ79" s="1">
        <v>0</v>
      </c>
      <c r="BA79" s="1">
        <v>0</v>
      </c>
      <c r="BB79" s="1">
        <v>0</v>
      </c>
      <c r="BC79" s="1">
        <v>10918.11</v>
      </c>
      <c r="BD79" s="1">
        <v>0</v>
      </c>
      <c r="BE79" s="1">
        <v>0</v>
      </c>
      <c r="BF79" s="1">
        <v>11886.300000000001</v>
      </c>
      <c r="BG79" s="1">
        <v>0</v>
      </c>
      <c r="BH79" s="1">
        <v>0</v>
      </c>
      <c r="BI79" s="1">
        <v>0</v>
      </c>
      <c r="BJ79" s="1">
        <v>0</v>
      </c>
      <c r="BK79" s="1">
        <v>0</v>
      </c>
      <c r="BL79" s="1">
        <v>0</v>
      </c>
      <c r="BM79" s="1">
        <v>0</v>
      </c>
      <c r="BN79" s="1">
        <v>0</v>
      </c>
      <c r="BO79" s="1">
        <v>0</v>
      </c>
      <c r="BP79" s="1">
        <v>0</v>
      </c>
      <c r="BQ79" s="1">
        <v>0</v>
      </c>
      <c r="BR79" s="1">
        <v>0</v>
      </c>
      <c r="BS79" s="1">
        <v>0</v>
      </c>
      <c r="BT79" s="1">
        <v>0</v>
      </c>
      <c r="BU79" s="1">
        <v>4314.62</v>
      </c>
      <c r="BV79" s="1">
        <v>4714.6900000000014</v>
      </c>
      <c r="BW79" s="1">
        <v>4427.0600000000004</v>
      </c>
      <c r="BX79" s="1">
        <v>4539.2299999999996</v>
      </c>
      <c r="BY79" s="1">
        <v>4314.1000000000004</v>
      </c>
      <c r="BZ79" s="1">
        <v>4713.4500000000007</v>
      </c>
      <c r="CA79" s="1">
        <v>4424.97</v>
      </c>
      <c r="CB79" s="1">
        <v>4538.78</v>
      </c>
      <c r="CC79" s="1">
        <v>0.52</v>
      </c>
      <c r="CD79" s="1">
        <v>1.24</v>
      </c>
      <c r="CE79" s="1">
        <v>2.09</v>
      </c>
      <c r="CF79" s="1">
        <v>0.45</v>
      </c>
      <c r="CG79" s="1">
        <v>0</v>
      </c>
      <c r="CH79" s="1">
        <v>0</v>
      </c>
      <c r="CI79" s="1">
        <v>0</v>
      </c>
      <c r="CJ79" s="1">
        <v>0</v>
      </c>
      <c r="CK79" s="1">
        <v>0</v>
      </c>
      <c r="CL79" s="1">
        <v>0</v>
      </c>
      <c r="CM79" s="1">
        <v>0</v>
      </c>
      <c r="CN79" s="1">
        <v>0</v>
      </c>
      <c r="CO79" s="1">
        <v>0</v>
      </c>
      <c r="CP79" s="1">
        <v>0</v>
      </c>
      <c r="CQ79" s="1">
        <v>0</v>
      </c>
      <c r="CR79" s="1">
        <v>0</v>
      </c>
      <c r="CS79" s="1">
        <v>1073.01</v>
      </c>
      <c r="CT79" s="1">
        <v>1605.52</v>
      </c>
      <c r="CU79" s="1">
        <v>2235.86</v>
      </c>
      <c r="CV79" s="1">
        <v>2738.02</v>
      </c>
      <c r="CW79" s="1">
        <v>1073.01</v>
      </c>
      <c r="CX79" s="1">
        <v>1605.52</v>
      </c>
      <c r="CY79" s="1">
        <v>2235.86</v>
      </c>
      <c r="CZ79" s="1">
        <v>2738.02</v>
      </c>
      <c r="DA79" s="1">
        <v>0</v>
      </c>
      <c r="DB79" s="1">
        <v>0</v>
      </c>
      <c r="DC79" s="1">
        <v>0</v>
      </c>
      <c r="DD79" s="1">
        <v>0</v>
      </c>
      <c r="DE79" s="1">
        <v>0</v>
      </c>
      <c r="DF79" s="1">
        <v>0</v>
      </c>
      <c r="DG79" s="1">
        <v>0</v>
      </c>
      <c r="DH79" s="1">
        <v>0</v>
      </c>
      <c r="DI79" s="1">
        <v>0</v>
      </c>
      <c r="DJ79" s="1">
        <v>0</v>
      </c>
      <c r="DK79" s="1">
        <v>0</v>
      </c>
      <c r="DL79" s="1">
        <v>0</v>
      </c>
      <c r="DM79" s="1">
        <v>7766.21</v>
      </c>
      <c r="DN79" s="1">
        <v>7611.5860000000011</v>
      </c>
      <c r="DO79" s="1">
        <v>6181.6049999999996</v>
      </c>
      <c r="DP79" s="1">
        <v>3417.2930000000001</v>
      </c>
      <c r="DQ79" s="1">
        <v>7766.21</v>
      </c>
      <c r="DR79" s="1">
        <v>7611.5860000000011</v>
      </c>
      <c r="DS79" s="1">
        <v>6181.6049999999996</v>
      </c>
      <c r="DT79" s="1">
        <v>3417.2930000000001</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509.96</v>
      </c>
      <c r="EL79" s="1">
        <v>554.67000000000007</v>
      </c>
      <c r="EM79" s="1">
        <v>669.45</v>
      </c>
      <c r="EN79" s="1">
        <v>707.31</v>
      </c>
      <c r="EO79" s="1">
        <v>509.96</v>
      </c>
      <c r="EP79" s="1">
        <v>554.67000000000007</v>
      </c>
      <c r="EQ79" s="1">
        <v>669.45</v>
      </c>
      <c r="ER79" s="1">
        <v>707.31</v>
      </c>
      <c r="ES79" s="1">
        <v>0</v>
      </c>
      <c r="ET79" s="1">
        <v>0</v>
      </c>
      <c r="EU79" s="1">
        <v>0</v>
      </c>
      <c r="EV79" s="1">
        <v>0</v>
      </c>
      <c r="EW79" s="1">
        <v>0</v>
      </c>
      <c r="EX79" s="1">
        <v>0</v>
      </c>
      <c r="EY79" s="1">
        <v>0</v>
      </c>
      <c r="EZ79" s="1">
        <v>0</v>
      </c>
      <c r="FA79" s="1">
        <v>0</v>
      </c>
      <c r="FB79" s="1">
        <v>0</v>
      </c>
      <c r="FC79" s="1">
        <v>0</v>
      </c>
      <c r="FD79" s="1">
        <v>0</v>
      </c>
      <c r="FE79" s="1">
        <v>244.74600000000001</v>
      </c>
      <c r="FF79" s="1">
        <v>321.63799999999998</v>
      </c>
      <c r="FG79" s="1">
        <v>357.00900000000001</v>
      </c>
      <c r="FH79" s="1">
        <v>291.14600000000002</v>
      </c>
      <c r="FI79" s="1">
        <v>244.74600000000001</v>
      </c>
      <c r="FJ79" s="1">
        <v>321.63799999999998</v>
      </c>
      <c r="FK79" s="1">
        <v>357.00900000000001</v>
      </c>
      <c r="FL79" s="1">
        <v>291.14600000000002</v>
      </c>
      <c r="FM79" s="1">
        <v>108.06</v>
      </c>
      <c r="FN79" s="1">
        <v>101.547</v>
      </c>
      <c r="FO79" s="1">
        <v>89.22</v>
      </c>
      <c r="FP79" s="1">
        <v>16.251000000000001</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0</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19.02</v>
      </c>
      <c r="HF79" s="1">
        <v>0</v>
      </c>
      <c r="HG79" s="1">
        <v>0</v>
      </c>
      <c r="HH79" s="1">
        <v>0</v>
      </c>
      <c r="HI79" s="1">
        <v>19.02</v>
      </c>
      <c r="HJ79" s="1">
        <v>0</v>
      </c>
      <c r="HK79" s="1">
        <v>0</v>
      </c>
      <c r="HL79" s="1">
        <v>0</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915.71</v>
      </c>
      <c r="IP79" s="1">
        <v>891.1</v>
      </c>
      <c r="IQ79" s="1">
        <v>1016.23</v>
      </c>
      <c r="IR79" s="1">
        <v>713.84</v>
      </c>
      <c r="IS79" s="1">
        <v>915.71</v>
      </c>
      <c r="IT79" s="1">
        <v>891.1</v>
      </c>
      <c r="IU79" s="1">
        <v>1016.23</v>
      </c>
      <c r="IV79" s="1">
        <v>713.84</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0</v>
      </c>
      <c r="JO79" s="1">
        <v>0</v>
      </c>
      <c r="JP79" s="1">
        <v>0</v>
      </c>
      <c r="JQ79" s="9"/>
      <c r="JR79" s="1">
        <f t="shared" si="25"/>
        <v>4935.3651000000018</v>
      </c>
      <c r="JS79" s="1">
        <f t="shared" si="25"/>
        <v>5104.3905000000004</v>
      </c>
      <c r="JT79" s="1">
        <f t="shared" si="25"/>
        <v>3715.245899999999</v>
      </c>
      <c r="JU79" s="1">
        <f t="shared" si="25"/>
        <v>2392.8047999999994</v>
      </c>
      <c r="JV79" s="1">
        <f t="shared" si="26"/>
        <v>913.95650000000023</v>
      </c>
      <c r="JW79" s="1">
        <f t="shared" si="26"/>
        <v>945.25750000000016</v>
      </c>
      <c r="JX79" s="1">
        <f t="shared" si="26"/>
        <v>688.0084999999998</v>
      </c>
      <c r="JY79" s="1">
        <f t="shared" si="26"/>
        <v>443.11199999999991</v>
      </c>
    </row>
    <row r="80" spans="1:285" x14ac:dyDescent="0.35">
      <c r="A80" s="2" t="s">
        <v>87</v>
      </c>
      <c r="B80" s="1">
        <v>341050</v>
      </c>
      <c r="C80" s="1">
        <v>343145</v>
      </c>
      <c r="D80" s="1">
        <v>346600</v>
      </c>
      <c r="E80" s="1">
        <v>351237</v>
      </c>
      <c r="F80" s="1">
        <v>489922.21899999998</v>
      </c>
      <c r="G80" s="1">
        <v>497373.20500000002</v>
      </c>
      <c r="H80" s="1">
        <v>455308.86300000001</v>
      </c>
      <c r="I80" s="1">
        <v>443477.78700000001</v>
      </c>
      <c r="J80" s="1">
        <f t="shared" si="27"/>
        <v>118563.569</v>
      </c>
      <c r="K80" s="1">
        <f t="shared" si="28"/>
        <v>117877.29499999998</v>
      </c>
      <c r="L80" s="1">
        <f t="shared" si="29"/>
        <v>103055.19299999998</v>
      </c>
      <c r="M80" s="1">
        <f t="shared" si="30"/>
        <v>104977.99699999999</v>
      </c>
      <c r="N80" s="1">
        <f t="shared" ref="N80:Q83" si="35">F80-J80</f>
        <v>371358.64999999997</v>
      </c>
      <c r="O80" s="1">
        <f t="shared" si="35"/>
        <v>379495.91000000003</v>
      </c>
      <c r="P80" s="1">
        <f t="shared" si="35"/>
        <v>352253.67000000004</v>
      </c>
      <c r="Q80" s="1">
        <f t="shared" si="35"/>
        <v>338499.79000000004</v>
      </c>
      <c r="R80" s="1">
        <v>0</v>
      </c>
      <c r="S80" s="1">
        <v>0</v>
      </c>
      <c r="T80" s="1">
        <v>0</v>
      </c>
      <c r="U80" s="1">
        <v>0</v>
      </c>
      <c r="V80" s="1">
        <v>0</v>
      </c>
      <c r="W80" s="1">
        <v>0</v>
      </c>
      <c r="X80" s="1">
        <v>0</v>
      </c>
      <c r="Y80" s="1">
        <v>0</v>
      </c>
      <c r="Z80" s="1">
        <v>0</v>
      </c>
      <c r="AA80" s="1">
        <v>0</v>
      </c>
      <c r="AB80" s="1">
        <v>0</v>
      </c>
      <c r="AC80" s="1">
        <v>0</v>
      </c>
      <c r="AD80" s="1">
        <v>0</v>
      </c>
      <c r="AE80" s="1">
        <v>0</v>
      </c>
      <c r="AF80" s="1">
        <v>0</v>
      </c>
      <c r="AG80" s="1">
        <v>0</v>
      </c>
      <c r="AH80" s="1">
        <v>0</v>
      </c>
      <c r="AI80" s="1">
        <v>0</v>
      </c>
      <c r="AJ80" s="1">
        <v>0</v>
      </c>
      <c r="AK80" s="1">
        <v>0</v>
      </c>
      <c r="AL80" s="1">
        <v>0</v>
      </c>
      <c r="AM80" s="1">
        <v>0</v>
      </c>
      <c r="AN80" s="1">
        <v>0</v>
      </c>
      <c r="AO80" s="1">
        <v>0</v>
      </c>
      <c r="AP80" s="1">
        <v>55130.27</v>
      </c>
      <c r="AQ80" s="1">
        <v>54631.349999999991</v>
      </c>
      <c r="AR80" s="1">
        <v>46534.813999999998</v>
      </c>
      <c r="AS80" s="1">
        <v>46150.62</v>
      </c>
      <c r="AT80" s="1">
        <v>49655.95</v>
      </c>
      <c r="AU80" s="1">
        <v>5474.3200000000006</v>
      </c>
      <c r="AV80" s="1">
        <v>0</v>
      </c>
      <c r="AW80" s="1">
        <v>0</v>
      </c>
      <c r="AX80" s="1">
        <v>49112.75</v>
      </c>
      <c r="AY80" s="1">
        <v>5518.5999999999913</v>
      </c>
      <c r="AZ80" s="1">
        <v>0</v>
      </c>
      <c r="BA80" s="1">
        <v>0</v>
      </c>
      <c r="BB80" s="1">
        <v>41339.370000000003</v>
      </c>
      <c r="BC80" s="1">
        <v>5195.4439999999959</v>
      </c>
      <c r="BD80" s="1">
        <v>0</v>
      </c>
      <c r="BE80" s="1">
        <v>40108.730000000003</v>
      </c>
      <c r="BF80" s="1">
        <v>6041.8899999999994</v>
      </c>
      <c r="BG80" s="1">
        <v>0</v>
      </c>
      <c r="BH80" s="1">
        <v>0</v>
      </c>
      <c r="BI80" s="1">
        <v>0</v>
      </c>
      <c r="BJ80" s="1">
        <v>0</v>
      </c>
      <c r="BK80" s="1">
        <v>0</v>
      </c>
      <c r="BL80" s="1">
        <v>0</v>
      </c>
      <c r="BM80" s="1">
        <v>0</v>
      </c>
      <c r="BN80" s="1">
        <v>0</v>
      </c>
      <c r="BO80" s="1">
        <v>0</v>
      </c>
      <c r="BP80" s="1">
        <v>0</v>
      </c>
      <c r="BQ80" s="1">
        <v>0</v>
      </c>
      <c r="BR80" s="1">
        <v>0</v>
      </c>
      <c r="BS80" s="1">
        <v>0</v>
      </c>
      <c r="BT80" s="1">
        <v>0</v>
      </c>
      <c r="BU80" s="1">
        <v>16423.25</v>
      </c>
      <c r="BV80" s="1">
        <v>18099.215</v>
      </c>
      <c r="BW80" s="1">
        <v>17665.689999999999</v>
      </c>
      <c r="BX80" s="1">
        <v>17691.424999999999</v>
      </c>
      <c r="BY80" s="1">
        <v>16423.25</v>
      </c>
      <c r="BZ80" s="1">
        <v>18099.215</v>
      </c>
      <c r="CA80" s="1">
        <v>17665.689999999999</v>
      </c>
      <c r="CB80" s="1">
        <v>17691.424999999999</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10001.17</v>
      </c>
      <c r="CT80" s="1">
        <v>8428.8150000000005</v>
      </c>
      <c r="CU80" s="1">
        <v>7434.0599999999986</v>
      </c>
      <c r="CV80" s="1">
        <v>8969.0450000000001</v>
      </c>
      <c r="CW80" s="1">
        <v>10001.17</v>
      </c>
      <c r="CX80" s="1">
        <v>8428.8150000000005</v>
      </c>
      <c r="CY80" s="1">
        <v>7434.0599999999986</v>
      </c>
      <c r="CZ80" s="1">
        <v>8969.0450000000001</v>
      </c>
      <c r="DA80" s="1">
        <v>0</v>
      </c>
      <c r="DB80" s="1">
        <v>0</v>
      </c>
      <c r="DC80" s="1">
        <v>0</v>
      </c>
      <c r="DD80" s="1">
        <v>0</v>
      </c>
      <c r="DE80" s="1">
        <v>0</v>
      </c>
      <c r="DF80" s="1">
        <v>0</v>
      </c>
      <c r="DG80" s="1">
        <v>0</v>
      </c>
      <c r="DH80" s="1">
        <v>0</v>
      </c>
      <c r="DI80" s="1">
        <v>0</v>
      </c>
      <c r="DJ80" s="1">
        <v>0</v>
      </c>
      <c r="DK80" s="1">
        <v>0</v>
      </c>
      <c r="DL80" s="1">
        <v>0</v>
      </c>
      <c r="DM80" s="1">
        <v>11564.96</v>
      </c>
      <c r="DN80" s="1">
        <v>11301.69</v>
      </c>
      <c r="DO80" s="1">
        <v>9544.7900000000009</v>
      </c>
      <c r="DP80" s="1">
        <v>8144.51</v>
      </c>
      <c r="DQ80" s="1">
        <v>11564.96</v>
      </c>
      <c r="DR80" s="1">
        <v>11301.69</v>
      </c>
      <c r="DS80" s="1">
        <v>9544.7900000000009</v>
      </c>
      <c r="DT80" s="1">
        <v>8144.51</v>
      </c>
      <c r="DU80" s="1">
        <v>0</v>
      </c>
      <c r="DV80" s="1">
        <v>0</v>
      </c>
      <c r="DW80" s="1">
        <v>0</v>
      </c>
      <c r="DX80" s="1">
        <v>0</v>
      </c>
      <c r="DY80" s="1">
        <v>0</v>
      </c>
      <c r="DZ80" s="1">
        <v>0</v>
      </c>
      <c r="EA80" s="1">
        <v>0</v>
      </c>
      <c r="EB80" s="1">
        <v>0</v>
      </c>
      <c r="EC80" s="1">
        <v>0</v>
      </c>
      <c r="ED80" s="1">
        <v>0</v>
      </c>
      <c r="EE80" s="1">
        <v>0</v>
      </c>
      <c r="EF80" s="1">
        <v>0</v>
      </c>
      <c r="EG80" s="1">
        <v>0</v>
      </c>
      <c r="EH80" s="1">
        <v>0</v>
      </c>
      <c r="EI80" s="1">
        <v>0</v>
      </c>
      <c r="EJ80" s="1">
        <v>0</v>
      </c>
      <c r="EK80" s="1">
        <v>6834.3090000000002</v>
      </c>
      <c r="EL80" s="1">
        <v>7000.62</v>
      </c>
      <c r="EM80" s="1">
        <v>5956.8429999999998</v>
      </c>
      <c r="EN80" s="1">
        <v>5744.7040000000006</v>
      </c>
      <c r="EO80" s="1">
        <v>6806.8389999999999</v>
      </c>
      <c r="EP80" s="1">
        <v>6974.14</v>
      </c>
      <c r="EQ80" s="1">
        <v>5939.5230000000001</v>
      </c>
      <c r="ER80" s="1">
        <v>5729.5740000000014</v>
      </c>
      <c r="ES80" s="1">
        <v>27.47</v>
      </c>
      <c r="ET80" s="1">
        <v>26.48</v>
      </c>
      <c r="EU80" s="1">
        <v>17.32</v>
      </c>
      <c r="EV80" s="1">
        <v>15.13</v>
      </c>
      <c r="EW80" s="1">
        <v>0</v>
      </c>
      <c r="EX80" s="1">
        <v>0</v>
      </c>
      <c r="EY80" s="1">
        <v>0</v>
      </c>
      <c r="EZ80" s="1">
        <v>0</v>
      </c>
      <c r="FA80" s="1">
        <v>0</v>
      </c>
      <c r="FB80" s="1">
        <v>0</v>
      </c>
      <c r="FC80" s="1">
        <v>0</v>
      </c>
      <c r="FD80" s="1">
        <v>0</v>
      </c>
      <c r="FE80" s="1">
        <v>1189.57</v>
      </c>
      <c r="FF80" s="1">
        <v>1207.5550000000001</v>
      </c>
      <c r="FG80" s="1">
        <v>1303.98</v>
      </c>
      <c r="FH80" s="1">
        <v>2959.9250000000002</v>
      </c>
      <c r="FI80" s="1">
        <v>1189.57</v>
      </c>
      <c r="FJ80" s="1">
        <v>1207.5550000000001</v>
      </c>
      <c r="FK80" s="1">
        <v>1303.98</v>
      </c>
      <c r="FL80" s="1">
        <v>2959.9250000000002</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7033.4979999999996</v>
      </c>
      <c r="GD80" s="1">
        <v>6245.26</v>
      </c>
      <c r="GE80" s="1">
        <v>5279.4560000000001</v>
      </c>
      <c r="GF80" s="1">
        <v>5133.4679999999998</v>
      </c>
      <c r="GG80" s="1">
        <v>6982.2879999999996</v>
      </c>
      <c r="GH80" s="1">
        <v>6245.26</v>
      </c>
      <c r="GI80" s="1">
        <v>5279.4560000000001</v>
      </c>
      <c r="GJ80" s="1">
        <v>5133.4679999999998</v>
      </c>
      <c r="GK80" s="1">
        <v>51.21</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10259.870000000001</v>
      </c>
      <c r="HF80" s="1">
        <v>10831.54</v>
      </c>
      <c r="HG80" s="1">
        <v>9088.06</v>
      </c>
      <c r="HH80" s="1">
        <v>9953.2800000000007</v>
      </c>
      <c r="HI80" s="1">
        <v>10259.870000000001</v>
      </c>
      <c r="HJ80" s="1">
        <v>10831.54</v>
      </c>
      <c r="HK80" s="1">
        <v>9088.06</v>
      </c>
      <c r="HL80" s="1">
        <v>9953.2800000000007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126.672</v>
      </c>
      <c r="IP80" s="1">
        <v>131.25</v>
      </c>
      <c r="IQ80" s="1">
        <v>247.5</v>
      </c>
      <c r="IR80" s="1">
        <v>231.02</v>
      </c>
      <c r="IS80" s="1">
        <v>15.782</v>
      </c>
      <c r="IT80" s="1">
        <v>18.48</v>
      </c>
      <c r="IU80" s="1">
        <v>46.28</v>
      </c>
      <c r="IV80" s="1">
        <v>12.74</v>
      </c>
      <c r="IW80" s="1">
        <v>110.89</v>
      </c>
      <c r="IX80" s="1">
        <v>112.77</v>
      </c>
      <c r="IY80" s="1">
        <v>201.22</v>
      </c>
      <c r="IZ80" s="1">
        <v>218.28</v>
      </c>
      <c r="JA80" s="1">
        <v>0</v>
      </c>
      <c r="JB80" s="1">
        <v>0</v>
      </c>
      <c r="JC80" s="1">
        <v>0</v>
      </c>
      <c r="JD80" s="1">
        <v>0</v>
      </c>
      <c r="JE80" s="1">
        <v>0</v>
      </c>
      <c r="JF80" s="1">
        <v>0</v>
      </c>
      <c r="JG80" s="1">
        <v>0</v>
      </c>
      <c r="JH80" s="1">
        <v>0</v>
      </c>
      <c r="JI80" s="1">
        <v>0</v>
      </c>
      <c r="JJ80" s="1">
        <v>0</v>
      </c>
      <c r="JK80" s="1">
        <v>0</v>
      </c>
      <c r="JL80" s="1">
        <v>0</v>
      </c>
      <c r="JM80" s="1">
        <v>0</v>
      </c>
      <c r="JN80" s="1">
        <v>0</v>
      </c>
      <c r="JO80" s="1">
        <v>0</v>
      </c>
      <c r="JP80" s="1">
        <v>0</v>
      </c>
      <c r="JQ80" s="9"/>
      <c r="JR80" s="1">
        <f t="shared" si="25"/>
        <v>100266.8355</v>
      </c>
      <c r="JS80" s="1">
        <f t="shared" si="25"/>
        <v>102463.89570000002</v>
      </c>
      <c r="JT80" s="1">
        <f t="shared" si="25"/>
        <v>95108.490900000019</v>
      </c>
      <c r="JU80" s="1">
        <f t="shared" si="25"/>
        <v>91394.943300000014</v>
      </c>
      <c r="JV80" s="1">
        <f t="shared" si="26"/>
        <v>18567.932499999999</v>
      </c>
      <c r="JW80" s="1">
        <f t="shared" si="26"/>
        <v>18974.795500000004</v>
      </c>
      <c r="JX80" s="1">
        <f t="shared" si="26"/>
        <v>17612.683500000003</v>
      </c>
      <c r="JY80" s="1">
        <f t="shared" si="26"/>
        <v>16924.989500000003</v>
      </c>
    </row>
    <row r="81" spans="1:285" x14ac:dyDescent="0.35">
      <c r="A81" s="2" t="s">
        <v>88</v>
      </c>
      <c r="B81" s="1">
        <v>123096</v>
      </c>
      <c r="C81" s="1">
        <v>124486</v>
      </c>
      <c r="D81" s="1">
        <v>125819</v>
      </c>
      <c r="E81" s="1">
        <v>127909</v>
      </c>
      <c r="F81" s="1">
        <v>42060.512000000002</v>
      </c>
      <c r="G81" s="1">
        <v>40881.764999999999</v>
      </c>
      <c r="H81" s="1">
        <v>35038.887999999999</v>
      </c>
      <c r="I81" s="1">
        <v>34131.428</v>
      </c>
      <c r="J81" s="1">
        <f t="shared" si="27"/>
        <v>28466.149999999998</v>
      </c>
      <c r="K81" s="1">
        <f t="shared" si="28"/>
        <v>28484.065000000002</v>
      </c>
      <c r="L81" s="1">
        <f t="shared" si="29"/>
        <v>22426.465</v>
      </c>
      <c r="M81" s="1">
        <f t="shared" si="30"/>
        <v>23526.143</v>
      </c>
      <c r="N81" s="1">
        <f t="shared" si="35"/>
        <v>13594.362000000005</v>
      </c>
      <c r="O81" s="1">
        <f t="shared" si="35"/>
        <v>12397.699999999997</v>
      </c>
      <c r="P81" s="1">
        <f t="shared" si="35"/>
        <v>12612.422999999999</v>
      </c>
      <c r="Q81" s="1">
        <f t="shared" si="35"/>
        <v>10605.285</v>
      </c>
      <c r="R81" s="1">
        <v>0</v>
      </c>
      <c r="S81" s="1">
        <v>0</v>
      </c>
      <c r="T81" s="1">
        <v>0</v>
      </c>
      <c r="U81" s="1">
        <v>0</v>
      </c>
      <c r="V81" s="1">
        <v>0</v>
      </c>
      <c r="W81" s="1">
        <v>0</v>
      </c>
      <c r="X81" s="1">
        <v>0</v>
      </c>
      <c r="Y81" s="1">
        <v>0</v>
      </c>
      <c r="Z81" s="1">
        <v>0</v>
      </c>
      <c r="AA81" s="1">
        <v>0</v>
      </c>
      <c r="AB81" s="1">
        <v>0</v>
      </c>
      <c r="AC81" s="1">
        <v>0</v>
      </c>
      <c r="AD81" s="1">
        <v>0</v>
      </c>
      <c r="AE81" s="1">
        <v>0</v>
      </c>
      <c r="AF81" s="1">
        <v>0</v>
      </c>
      <c r="AG81" s="1">
        <v>0</v>
      </c>
      <c r="AH81" s="1">
        <v>0</v>
      </c>
      <c r="AI81" s="1">
        <v>0</v>
      </c>
      <c r="AJ81" s="1">
        <v>0</v>
      </c>
      <c r="AK81" s="1">
        <v>0</v>
      </c>
      <c r="AL81" s="1">
        <v>0</v>
      </c>
      <c r="AM81" s="1">
        <v>0</v>
      </c>
      <c r="AN81" s="1">
        <v>0</v>
      </c>
      <c r="AO81" s="1">
        <v>0</v>
      </c>
      <c r="AP81" s="1">
        <v>10603.939999999999</v>
      </c>
      <c r="AQ81" s="1">
        <v>10331.09</v>
      </c>
      <c r="AR81" s="1">
        <v>9243.59</v>
      </c>
      <c r="AS81" s="1">
        <v>11193.86</v>
      </c>
      <c r="AT81" s="1">
        <v>10567.939999999999</v>
      </c>
      <c r="AU81" s="1">
        <v>36</v>
      </c>
      <c r="AV81" s="1">
        <v>0</v>
      </c>
      <c r="AW81" s="1">
        <v>0</v>
      </c>
      <c r="AX81" s="1">
        <v>10304.09</v>
      </c>
      <c r="AY81" s="1">
        <v>27</v>
      </c>
      <c r="AZ81" s="1">
        <v>0</v>
      </c>
      <c r="BA81" s="1">
        <v>0</v>
      </c>
      <c r="BB81" s="1">
        <v>9216.59</v>
      </c>
      <c r="BC81" s="1">
        <v>27</v>
      </c>
      <c r="BD81" s="1">
        <v>0</v>
      </c>
      <c r="BE81" s="1">
        <v>11157.86</v>
      </c>
      <c r="BF81" s="1">
        <v>36</v>
      </c>
      <c r="BG81" s="1">
        <v>0</v>
      </c>
      <c r="BH81" s="1">
        <v>0</v>
      </c>
      <c r="BI81" s="1">
        <v>0</v>
      </c>
      <c r="BJ81" s="1">
        <v>0</v>
      </c>
      <c r="BK81" s="1">
        <v>0</v>
      </c>
      <c r="BL81" s="1">
        <v>0</v>
      </c>
      <c r="BM81" s="1">
        <v>0</v>
      </c>
      <c r="BN81" s="1">
        <v>0</v>
      </c>
      <c r="BO81" s="1">
        <v>0</v>
      </c>
      <c r="BP81" s="1">
        <v>0</v>
      </c>
      <c r="BQ81" s="1">
        <v>0</v>
      </c>
      <c r="BR81" s="1">
        <v>0</v>
      </c>
      <c r="BS81" s="1">
        <v>0</v>
      </c>
      <c r="BT81" s="1">
        <v>0</v>
      </c>
      <c r="BU81" s="1">
        <v>9846.7279999999992</v>
      </c>
      <c r="BV81" s="1">
        <v>10074.179</v>
      </c>
      <c r="BW81" s="1">
        <v>6831.8600000000006</v>
      </c>
      <c r="BX81" s="1">
        <v>5935.2000000000007</v>
      </c>
      <c r="BY81" s="1">
        <v>9846.7279999999992</v>
      </c>
      <c r="BZ81" s="1">
        <v>10074.179</v>
      </c>
      <c r="CA81" s="1">
        <v>6831.8600000000006</v>
      </c>
      <c r="CB81" s="1">
        <v>5935.2000000000007</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2912.98</v>
      </c>
      <c r="CT81" s="1">
        <v>2277.9349999999999</v>
      </c>
      <c r="CU81" s="1">
        <v>2195.5059999999999</v>
      </c>
      <c r="CV81" s="1">
        <v>2092.4029999999998</v>
      </c>
      <c r="CW81" s="1">
        <v>2912.98</v>
      </c>
      <c r="CX81" s="1">
        <v>2277.9349999999999</v>
      </c>
      <c r="CY81" s="1">
        <v>2195.5059999999999</v>
      </c>
      <c r="CZ81" s="1">
        <v>2092.4029999999998</v>
      </c>
      <c r="DA81" s="1">
        <v>0</v>
      </c>
      <c r="DB81" s="1">
        <v>0</v>
      </c>
      <c r="DC81" s="1">
        <v>0</v>
      </c>
      <c r="DD81" s="1">
        <v>0</v>
      </c>
      <c r="DE81" s="1">
        <v>0</v>
      </c>
      <c r="DF81" s="1">
        <v>0</v>
      </c>
      <c r="DG81" s="1">
        <v>0</v>
      </c>
      <c r="DH81" s="1">
        <v>0</v>
      </c>
      <c r="DI81" s="1">
        <v>0</v>
      </c>
      <c r="DJ81" s="1">
        <v>0</v>
      </c>
      <c r="DK81" s="1">
        <v>0</v>
      </c>
      <c r="DL81" s="1">
        <v>0</v>
      </c>
      <c r="DM81" s="1">
        <v>4042.9119999999998</v>
      </c>
      <c r="DN81" s="1">
        <v>4182.1489999999994</v>
      </c>
      <c r="DO81" s="1">
        <v>3101.12</v>
      </c>
      <c r="DP81" s="1">
        <v>2745.2370000000001</v>
      </c>
      <c r="DQ81" s="1">
        <v>4042.9119999999998</v>
      </c>
      <c r="DR81" s="1">
        <v>4182.1489999999994</v>
      </c>
      <c r="DS81" s="1">
        <v>3101.12</v>
      </c>
      <c r="DT81" s="1">
        <v>2745.2370000000001</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842.83299999999997</v>
      </c>
      <c r="EL81" s="1">
        <v>995.93000000000006</v>
      </c>
      <c r="EM81" s="1">
        <v>722.19299999999998</v>
      </c>
      <c r="EN81" s="1">
        <v>1069.0509999999999</v>
      </c>
      <c r="EO81" s="1">
        <v>842.83299999999997</v>
      </c>
      <c r="EP81" s="1">
        <v>995.93000000000006</v>
      </c>
      <c r="EQ81" s="1">
        <v>722.19299999999998</v>
      </c>
      <c r="ER81" s="1">
        <v>1069.0509999999999</v>
      </c>
      <c r="ES81" s="1">
        <v>0</v>
      </c>
      <c r="ET81" s="1">
        <v>0</v>
      </c>
      <c r="EU81" s="1">
        <v>0</v>
      </c>
      <c r="EV81" s="1">
        <v>0</v>
      </c>
      <c r="EW81" s="1">
        <v>0</v>
      </c>
      <c r="EX81" s="1">
        <v>0</v>
      </c>
      <c r="EY81" s="1">
        <v>0</v>
      </c>
      <c r="EZ81" s="1">
        <v>0</v>
      </c>
      <c r="FA81" s="1">
        <v>0</v>
      </c>
      <c r="FB81" s="1">
        <v>0</v>
      </c>
      <c r="FC81" s="1">
        <v>0</v>
      </c>
      <c r="FD81" s="1">
        <v>0</v>
      </c>
      <c r="FE81" s="1">
        <v>35.503</v>
      </c>
      <c r="FF81" s="1">
        <v>21.172000000000001</v>
      </c>
      <c r="FG81" s="1">
        <v>23.869</v>
      </c>
      <c r="FH81" s="1">
        <v>17.661999999999999</v>
      </c>
      <c r="FI81" s="1">
        <v>1.1499999999999999</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0</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181.25399999999999</v>
      </c>
      <c r="IP81" s="1">
        <v>601.61</v>
      </c>
      <c r="IQ81" s="1">
        <v>308.327</v>
      </c>
      <c r="IR81" s="1">
        <v>472.73</v>
      </c>
      <c r="IS81" s="1">
        <v>181.25399999999999</v>
      </c>
      <c r="IT81" s="1">
        <v>601.61</v>
      </c>
      <c r="IU81" s="1">
        <v>308.327</v>
      </c>
      <c r="IV81" s="1">
        <v>472.73</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0</v>
      </c>
      <c r="JO81" s="1">
        <v>0</v>
      </c>
      <c r="JP81" s="1">
        <v>0</v>
      </c>
      <c r="JQ81" s="9"/>
      <c r="JR81" s="1">
        <f t="shared" si="25"/>
        <v>3670.4777400000016</v>
      </c>
      <c r="JS81" s="1">
        <f t="shared" si="25"/>
        <v>3347.3789999999995</v>
      </c>
      <c r="JT81" s="1">
        <f t="shared" si="25"/>
        <v>3405.35421</v>
      </c>
      <c r="JU81" s="1">
        <f t="shared" si="25"/>
        <v>2863.42695</v>
      </c>
      <c r="JV81" s="1">
        <f t="shared" si="26"/>
        <v>679.71810000000028</v>
      </c>
      <c r="JW81" s="1">
        <f t="shared" si="26"/>
        <v>619.88499999999988</v>
      </c>
      <c r="JX81" s="1">
        <f t="shared" si="26"/>
        <v>630.62114999999994</v>
      </c>
      <c r="JY81" s="1">
        <f t="shared" si="26"/>
        <v>530.26425000000006</v>
      </c>
    </row>
    <row r="82" spans="1:285" x14ac:dyDescent="0.35">
      <c r="A82" s="2" t="s">
        <v>89</v>
      </c>
      <c r="B82" s="1">
        <v>245482</v>
      </c>
      <c r="C82" s="1">
        <v>246776</v>
      </c>
      <c r="D82" s="1">
        <v>247135</v>
      </c>
      <c r="E82" s="1">
        <v>248482</v>
      </c>
      <c r="F82" s="1">
        <v>87256.68</v>
      </c>
      <c r="G82" s="1">
        <v>91187.294000000009</v>
      </c>
      <c r="H82" s="1">
        <v>78176.81</v>
      </c>
      <c r="I82" s="1">
        <v>77301.09</v>
      </c>
      <c r="J82" s="1">
        <f t="shared" si="27"/>
        <v>56275.17</v>
      </c>
      <c r="K82" s="1">
        <f t="shared" si="28"/>
        <v>59071.103999999999</v>
      </c>
      <c r="L82" s="1">
        <f t="shared" si="29"/>
        <v>50946.21</v>
      </c>
      <c r="M82" s="1">
        <f t="shared" si="30"/>
        <v>49871.770000000011</v>
      </c>
      <c r="N82" s="1">
        <f t="shared" si="35"/>
        <v>30981.509999999995</v>
      </c>
      <c r="O82" s="1">
        <f t="shared" si="35"/>
        <v>32116.19000000001</v>
      </c>
      <c r="P82" s="1">
        <f t="shared" si="35"/>
        <v>27230.6</v>
      </c>
      <c r="Q82" s="1">
        <f t="shared" si="35"/>
        <v>27429.319999999985</v>
      </c>
      <c r="R82" s="1">
        <v>0</v>
      </c>
      <c r="S82" s="1">
        <v>0</v>
      </c>
      <c r="T82" s="1">
        <v>0</v>
      </c>
      <c r="U82" s="1">
        <v>0</v>
      </c>
      <c r="V82" s="1">
        <v>0</v>
      </c>
      <c r="W82" s="1">
        <v>0</v>
      </c>
      <c r="X82" s="1">
        <v>0</v>
      </c>
      <c r="Y82" s="1">
        <v>0</v>
      </c>
      <c r="Z82" s="1">
        <v>0</v>
      </c>
      <c r="AA82" s="1">
        <v>0</v>
      </c>
      <c r="AB82" s="1">
        <v>0</v>
      </c>
      <c r="AC82" s="1">
        <v>0</v>
      </c>
      <c r="AD82" s="1">
        <v>0</v>
      </c>
      <c r="AE82" s="1">
        <v>0</v>
      </c>
      <c r="AF82" s="1">
        <v>0</v>
      </c>
      <c r="AG82" s="1">
        <v>0</v>
      </c>
      <c r="AH82" s="1">
        <v>0</v>
      </c>
      <c r="AI82" s="1">
        <v>0</v>
      </c>
      <c r="AJ82" s="1">
        <v>0</v>
      </c>
      <c r="AK82" s="1">
        <v>0</v>
      </c>
      <c r="AL82" s="1">
        <v>0</v>
      </c>
      <c r="AM82" s="1">
        <v>0</v>
      </c>
      <c r="AN82" s="1">
        <v>0</v>
      </c>
      <c r="AO82" s="1">
        <v>0</v>
      </c>
      <c r="AP82" s="1">
        <v>20298.679999999997</v>
      </c>
      <c r="AQ82" s="1">
        <v>23287.09</v>
      </c>
      <c r="AR82" s="1">
        <v>18590.73</v>
      </c>
      <c r="AS82" s="1">
        <v>22281.16</v>
      </c>
      <c r="AT82" s="1">
        <v>20142.919999999998</v>
      </c>
      <c r="AU82" s="1">
        <v>155.76</v>
      </c>
      <c r="AV82" s="1">
        <v>0</v>
      </c>
      <c r="AW82" s="1">
        <v>0</v>
      </c>
      <c r="AX82" s="1">
        <v>23022.13</v>
      </c>
      <c r="AY82" s="1">
        <v>264.95999999999913</v>
      </c>
      <c r="AZ82" s="1">
        <v>0</v>
      </c>
      <c r="BA82" s="1">
        <v>0</v>
      </c>
      <c r="BB82" s="1">
        <v>18197.75</v>
      </c>
      <c r="BC82" s="1">
        <v>392.97999999999956</v>
      </c>
      <c r="BD82" s="1">
        <v>0</v>
      </c>
      <c r="BE82" s="1">
        <v>22075.78</v>
      </c>
      <c r="BF82" s="1">
        <v>205.38000000000102</v>
      </c>
      <c r="BG82" s="1">
        <v>0</v>
      </c>
      <c r="BH82" s="1">
        <v>0</v>
      </c>
      <c r="BI82" s="1">
        <v>0</v>
      </c>
      <c r="BJ82" s="1">
        <v>0</v>
      </c>
      <c r="BK82" s="1">
        <v>0</v>
      </c>
      <c r="BL82" s="1">
        <v>0</v>
      </c>
      <c r="BM82" s="1">
        <v>0</v>
      </c>
      <c r="BN82" s="1">
        <v>0</v>
      </c>
      <c r="BO82" s="1">
        <v>0</v>
      </c>
      <c r="BP82" s="1">
        <v>0</v>
      </c>
      <c r="BQ82" s="1">
        <v>0</v>
      </c>
      <c r="BR82" s="1">
        <v>0</v>
      </c>
      <c r="BS82" s="1">
        <v>0</v>
      </c>
      <c r="BT82" s="1">
        <v>0</v>
      </c>
      <c r="BU82" s="1">
        <v>13860.7</v>
      </c>
      <c r="BV82" s="1">
        <v>15015.912</v>
      </c>
      <c r="BW82" s="1">
        <v>12862.41</v>
      </c>
      <c r="BX82" s="1">
        <v>10731.45</v>
      </c>
      <c r="BY82" s="1">
        <v>13860.7</v>
      </c>
      <c r="BZ82" s="1">
        <v>15015.912</v>
      </c>
      <c r="CA82" s="1">
        <v>12862.41</v>
      </c>
      <c r="CB82" s="1">
        <v>10731.45</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4984.26</v>
      </c>
      <c r="CT82" s="1">
        <v>4011.1019999999999</v>
      </c>
      <c r="CU82" s="1">
        <v>4380.4399999999996</v>
      </c>
      <c r="CV82" s="1">
        <v>2522.35</v>
      </c>
      <c r="CW82" s="1">
        <v>4984.26</v>
      </c>
      <c r="CX82" s="1">
        <v>4011.1019999999999</v>
      </c>
      <c r="CY82" s="1">
        <v>4380.4399999999996</v>
      </c>
      <c r="CZ82" s="1">
        <v>2522.35</v>
      </c>
      <c r="DA82" s="1">
        <v>0</v>
      </c>
      <c r="DB82" s="1">
        <v>0</v>
      </c>
      <c r="DC82" s="1">
        <v>0</v>
      </c>
      <c r="DD82" s="1">
        <v>0</v>
      </c>
      <c r="DE82" s="1">
        <v>0</v>
      </c>
      <c r="DF82" s="1">
        <v>0</v>
      </c>
      <c r="DG82" s="1">
        <v>0</v>
      </c>
      <c r="DH82" s="1">
        <v>0</v>
      </c>
      <c r="DI82" s="1">
        <v>0</v>
      </c>
      <c r="DJ82" s="1">
        <v>0</v>
      </c>
      <c r="DK82" s="1">
        <v>0</v>
      </c>
      <c r="DL82" s="1">
        <v>0</v>
      </c>
      <c r="DM82" s="1">
        <v>13733.13</v>
      </c>
      <c r="DN82" s="1">
        <v>13883.83</v>
      </c>
      <c r="DO82" s="1">
        <v>12962.9</v>
      </c>
      <c r="DP82" s="1">
        <v>12363.84</v>
      </c>
      <c r="DQ82" s="1">
        <v>13733.13</v>
      </c>
      <c r="DR82" s="1">
        <v>13883.83</v>
      </c>
      <c r="DS82" s="1">
        <v>12962.9</v>
      </c>
      <c r="DT82" s="1">
        <v>12363.84</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2037.98</v>
      </c>
      <c r="EL82" s="1">
        <v>1708.28</v>
      </c>
      <c r="EM82" s="1">
        <v>1465.45</v>
      </c>
      <c r="EN82" s="1">
        <v>1781.3</v>
      </c>
      <c r="EO82" s="1">
        <v>2037.98</v>
      </c>
      <c r="EP82" s="1">
        <v>1708.28</v>
      </c>
      <c r="EQ82" s="1">
        <v>1465.45</v>
      </c>
      <c r="ER82" s="1">
        <v>1781.3</v>
      </c>
      <c r="ES82" s="1">
        <v>0</v>
      </c>
      <c r="ET82" s="1">
        <v>0</v>
      </c>
      <c r="EU82" s="1">
        <v>0</v>
      </c>
      <c r="EV82" s="1">
        <v>0</v>
      </c>
      <c r="EW82" s="1">
        <v>0</v>
      </c>
      <c r="EX82" s="1">
        <v>0</v>
      </c>
      <c r="EY82" s="1">
        <v>0</v>
      </c>
      <c r="EZ82" s="1">
        <v>0</v>
      </c>
      <c r="FA82" s="1">
        <v>0</v>
      </c>
      <c r="FB82" s="1">
        <v>0</v>
      </c>
      <c r="FC82" s="1">
        <v>0</v>
      </c>
      <c r="FD82" s="1">
        <v>0</v>
      </c>
      <c r="FE82" s="1">
        <v>80.110000000000014</v>
      </c>
      <c r="FF82" s="1">
        <v>43.29</v>
      </c>
      <c r="FG82" s="1">
        <v>658.75</v>
      </c>
      <c r="FH82" s="1">
        <v>37.159999999999997</v>
      </c>
      <c r="FI82" s="1">
        <v>23.92</v>
      </c>
      <c r="FJ82" s="1">
        <v>13.31</v>
      </c>
      <c r="FK82" s="1">
        <v>168.28</v>
      </c>
      <c r="FL82" s="1">
        <v>10.74</v>
      </c>
      <c r="FM82" s="1">
        <v>34.353000000000002</v>
      </c>
      <c r="FN82" s="1">
        <v>21.172000000000001</v>
      </c>
      <c r="FO82" s="1">
        <v>23.869</v>
      </c>
      <c r="FP82" s="1">
        <v>17.661999999999999</v>
      </c>
      <c r="FQ82" s="1">
        <v>0</v>
      </c>
      <c r="FR82" s="1">
        <v>0</v>
      </c>
      <c r="FS82" s="1">
        <v>0</v>
      </c>
      <c r="FT82" s="1">
        <v>0</v>
      </c>
      <c r="FU82" s="1">
        <v>0</v>
      </c>
      <c r="FV82" s="1">
        <v>0</v>
      </c>
      <c r="FW82" s="1">
        <v>0</v>
      </c>
      <c r="FX82" s="1">
        <v>0</v>
      </c>
      <c r="FY82" s="1">
        <v>0</v>
      </c>
      <c r="FZ82" s="1">
        <v>0</v>
      </c>
      <c r="GA82" s="1">
        <v>0</v>
      </c>
      <c r="GB82" s="1">
        <v>0</v>
      </c>
      <c r="GC82" s="1">
        <v>1.54</v>
      </c>
      <c r="GD82" s="1">
        <v>3.77</v>
      </c>
      <c r="GE82" s="1">
        <v>10.08</v>
      </c>
      <c r="GF82" s="1">
        <v>15.46</v>
      </c>
      <c r="GG82" s="1">
        <v>1.54</v>
      </c>
      <c r="GH82" s="1">
        <v>3.77</v>
      </c>
      <c r="GI82" s="1">
        <v>10.08</v>
      </c>
      <c r="GJ82" s="1">
        <v>15.46</v>
      </c>
      <c r="GK82" s="1">
        <v>0</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8</v>
      </c>
      <c r="HG82" s="1">
        <v>8.4499999999999993</v>
      </c>
      <c r="HH82" s="1">
        <v>4.9000000000000004</v>
      </c>
      <c r="HI82" s="1">
        <v>0</v>
      </c>
      <c r="HJ82" s="1">
        <v>8</v>
      </c>
      <c r="HK82" s="1">
        <v>8.4499999999999993</v>
      </c>
      <c r="HL82" s="1">
        <v>4.9000000000000004</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1278.77</v>
      </c>
      <c r="IP82" s="1">
        <v>1109.83</v>
      </c>
      <c r="IQ82" s="1">
        <v>7</v>
      </c>
      <c r="IR82" s="1">
        <v>134.15</v>
      </c>
      <c r="IS82" s="1">
        <v>1278.77</v>
      </c>
      <c r="IT82" s="1">
        <v>1109.83</v>
      </c>
      <c r="IU82" s="1">
        <v>7</v>
      </c>
      <c r="IV82" s="1">
        <v>134.15</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0</v>
      </c>
      <c r="JO82" s="1">
        <v>0</v>
      </c>
      <c r="JP82" s="1">
        <v>0</v>
      </c>
      <c r="JQ82" s="9"/>
      <c r="JR82" s="1">
        <f t="shared" si="25"/>
        <v>8365.0076999999983</v>
      </c>
      <c r="JS82" s="1">
        <f t="shared" si="25"/>
        <v>8671.3713000000025</v>
      </c>
      <c r="JT82" s="1">
        <f t="shared" si="25"/>
        <v>7352.2619999999997</v>
      </c>
      <c r="JU82" s="1">
        <f t="shared" si="25"/>
        <v>7405.9163999999964</v>
      </c>
      <c r="JV82" s="1">
        <f t="shared" si="26"/>
        <v>1549.0754999999999</v>
      </c>
      <c r="JW82" s="1">
        <f t="shared" si="26"/>
        <v>1605.8095000000005</v>
      </c>
      <c r="JX82" s="1">
        <f t="shared" si="26"/>
        <v>1361.53</v>
      </c>
      <c r="JY82" s="1">
        <f t="shared" si="26"/>
        <v>1371.4659999999994</v>
      </c>
    </row>
    <row r="83" spans="1:285" x14ac:dyDescent="0.35">
      <c r="A83" s="2" t="s">
        <v>90</v>
      </c>
      <c r="B83" s="1">
        <v>101984</v>
      </c>
      <c r="C83" s="1">
        <v>101601</v>
      </c>
      <c r="D83" s="1">
        <v>102304</v>
      </c>
      <c r="E83" s="1">
        <v>103862</v>
      </c>
      <c r="F83" s="1">
        <v>23867.638999999999</v>
      </c>
      <c r="G83" s="1">
        <v>28680.313999999998</v>
      </c>
      <c r="H83" s="1">
        <v>27374.307000000001</v>
      </c>
      <c r="I83" s="1">
        <v>30203.878000000001</v>
      </c>
      <c r="J83" s="1">
        <f t="shared" si="27"/>
        <v>15064.86</v>
      </c>
      <c r="K83" s="1">
        <f t="shared" si="28"/>
        <v>17309.132999999998</v>
      </c>
      <c r="L83" s="1">
        <f t="shared" si="29"/>
        <v>16265.299000000001</v>
      </c>
      <c r="M83" s="1">
        <f t="shared" si="30"/>
        <v>18324.379000000001</v>
      </c>
      <c r="N83" s="1">
        <f t="shared" si="35"/>
        <v>8802.7789999999986</v>
      </c>
      <c r="O83" s="1">
        <f t="shared" si="35"/>
        <v>11371.181</v>
      </c>
      <c r="P83" s="1">
        <f t="shared" si="35"/>
        <v>11109.008</v>
      </c>
      <c r="Q83" s="1">
        <f t="shared" si="35"/>
        <v>11879.499</v>
      </c>
      <c r="R83" s="1">
        <v>0</v>
      </c>
      <c r="S83" s="1">
        <v>0</v>
      </c>
      <c r="T83" s="1">
        <v>0</v>
      </c>
      <c r="U83" s="1">
        <v>0</v>
      </c>
      <c r="V83" s="1">
        <v>0</v>
      </c>
      <c r="W83" s="1">
        <v>0</v>
      </c>
      <c r="X83" s="1">
        <v>0</v>
      </c>
      <c r="Y83" s="1">
        <v>0</v>
      </c>
      <c r="Z83" s="1">
        <v>0</v>
      </c>
      <c r="AA83" s="1">
        <v>0</v>
      </c>
      <c r="AB83" s="1">
        <v>0</v>
      </c>
      <c r="AC83" s="1">
        <v>0</v>
      </c>
      <c r="AD83" s="1">
        <v>0</v>
      </c>
      <c r="AE83" s="1">
        <v>0</v>
      </c>
      <c r="AF83" s="1">
        <v>0</v>
      </c>
      <c r="AG83" s="1">
        <v>0</v>
      </c>
      <c r="AH83" s="1">
        <v>0</v>
      </c>
      <c r="AI83" s="1">
        <v>0</v>
      </c>
      <c r="AJ83" s="1">
        <v>0</v>
      </c>
      <c r="AK83" s="1">
        <v>0</v>
      </c>
      <c r="AL83" s="1">
        <v>0</v>
      </c>
      <c r="AM83" s="1">
        <v>0</v>
      </c>
      <c r="AN83" s="1">
        <v>0</v>
      </c>
      <c r="AO83" s="1">
        <v>0</v>
      </c>
      <c r="AP83" s="1">
        <v>4144.58</v>
      </c>
      <c r="AQ83" s="1">
        <v>4532.5199999999995</v>
      </c>
      <c r="AR83" s="1">
        <v>4075.34</v>
      </c>
      <c r="AS83" s="1">
        <v>4293.32</v>
      </c>
      <c r="AT83" s="1">
        <v>4144.58</v>
      </c>
      <c r="AU83" s="1">
        <v>0</v>
      </c>
      <c r="AV83" s="1">
        <v>0</v>
      </c>
      <c r="AW83" s="1">
        <v>0</v>
      </c>
      <c r="AX83" s="1">
        <v>4532.5199999999995</v>
      </c>
      <c r="AY83" s="1">
        <v>0</v>
      </c>
      <c r="AZ83" s="1">
        <v>0</v>
      </c>
      <c r="BA83" s="1">
        <v>0</v>
      </c>
      <c r="BB83" s="1">
        <v>1563.74</v>
      </c>
      <c r="BC83" s="1">
        <v>2511.6000000000004</v>
      </c>
      <c r="BD83" s="1">
        <v>0</v>
      </c>
      <c r="BE83" s="1">
        <v>544.34</v>
      </c>
      <c r="BF83" s="1">
        <v>3748.9799999999996</v>
      </c>
      <c r="BG83" s="1">
        <v>0</v>
      </c>
      <c r="BH83" s="1">
        <v>0</v>
      </c>
      <c r="BI83" s="1">
        <v>0</v>
      </c>
      <c r="BJ83" s="1">
        <v>0</v>
      </c>
      <c r="BK83" s="1">
        <v>0</v>
      </c>
      <c r="BL83" s="1">
        <v>0</v>
      </c>
      <c r="BM83" s="1">
        <v>0</v>
      </c>
      <c r="BN83" s="1">
        <v>0</v>
      </c>
      <c r="BO83" s="1">
        <v>0</v>
      </c>
      <c r="BP83" s="1">
        <v>0</v>
      </c>
      <c r="BQ83" s="1">
        <v>0</v>
      </c>
      <c r="BR83" s="1">
        <v>0</v>
      </c>
      <c r="BS83" s="1">
        <v>0</v>
      </c>
      <c r="BT83" s="1">
        <v>0</v>
      </c>
      <c r="BU83" s="1">
        <v>7208.1500000000005</v>
      </c>
      <c r="BV83" s="1">
        <v>8480.7780000000002</v>
      </c>
      <c r="BW83" s="1">
        <v>7253.8980000000001</v>
      </c>
      <c r="BX83" s="1">
        <v>7707.9789999999994</v>
      </c>
      <c r="BY83" s="1">
        <v>7208.1500000000005</v>
      </c>
      <c r="BZ83" s="1">
        <v>8480.7780000000002</v>
      </c>
      <c r="CA83" s="1">
        <v>7253.8980000000001</v>
      </c>
      <c r="CB83" s="1">
        <v>7707.9789999999994</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1056.24</v>
      </c>
      <c r="CT83" s="1">
        <v>1208.7539999999999</v>
      </c>
      <c r="CU83" s="1">
        <v>1241.337</v>
      </c>
      <c r="CV83" s="1">
        <v>1349.451</v>
      </c>
      <c r="CW83" s="1">
        <v>1056.24</v>
      </c>
      <c r="CX83" s="1">
        <v>1208.7539999999999</v>
      </c>
      <c r="CY83" s="1">
        <v>1241.337</v>
      </c>
      <c r="CZ83" s="1">
        <v>1349.451</v>
      </c>
      <c r="DA83" s="1">
        <v>0</v>
      </c>
      <c r="DB83" s="1">
        <v>0</v>
      </c>
      <c r="DC83" s="1">
        <v>0</v>
      </c>
      <c r="DD83" s="1">
        <v>0</v>
      </c>
      <c r="DE83" s="1">
        <v>0</v>
      </c>
      <c r="DF83" s="1">
        <v>0</v>
      </c>
      <c r="DG83" s="1">
        <v>0</v>
      </c>
      <c r="DH83" s="1">
        <v>0</v>
      </c>
      <c r="DI83" s="1">
        <v>0</v>
      </c>
      <c r="DJ83" s="1">
        <v>0</v>
      </c>
      <c r="DK83" s="1">
        <v>0</v>
      </c>
      <c r="DL83" s="1">
        <v>0</v>
      </c>
      <c r="DM83" s="1">
        <v>2019.6</v>
      </c>
      <c r="DN83" s="1">
        <v>2082.7310000000002</v>
      </c>
      <c r="DO83" s="1">
        <v>2442.4899999999998</v>
      </c>
      <c r="DP83" s="1">
        <v>2106.4169999999999</v>
      </c>
      <c r="DQ83" s="1">
        <v>2019.6</v>
      </c>
      <c r="DR83" s="1">
        <v>2082.7310000000002</v>
      </c>
      <c r="DS83" s="1">
        <v>2442.4899999999998</v>
      </c>
      <c r="DT83" s="1">
        <v>2106.4169999999999</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593.95000000000005</v>
      </c>
      <c r="EL83" s="1">
        <v>695.697</v>
      </c>
      <c r="EM83" s="1">
        <v>925.60400000000004</v>
      </c>
      <c r="EN83" s="1">
        <v>2466.212</v>
      </c>
      <c r="EO83" s="1">
        <v>593.95000000000005</v>
      </c>
      <c r="EP83" s="1">
        <v>695.697</v>
      </c>
      <c r="EQ83" s="1">
        <v>925.60400000000004</v>
      </c>
      <c r="ER83" s="1">
        <v>2466.212</v>
      </c>
      <c r="ES83" s="1">
        <v>0</v>
      </c>
      <c r="ET83" s="1">
        <v>0</v>
      </c>
      <c r="EU83" s="1">
        <v>0</v>
      </c>
      <c r="EV83" s="1">
        <v>0</v>
      </c>
      <c r="EW83" s="1">
        <v>0</v>
      </c>
      <c r="EX83" s="1">
        <v>0</v>
      </c>
      <c r="EY83" s="1">
        <v>0</v>
      </c>
      <c r="EZ83" s="1">
        <v>0</v>
      </c>
      <c r="FA83" s="1">
        <v>0</v>
      </c>
      <c r="FB83" s="1">
        <v>0</v>
      </c>
      <c r="FC83" s="1">
        <v>0</v>
      </c>
      <c r="FD83" s="1">
        <v>0</v>
      </c>
      <c r="FE83" s="1">
        <v>42.34</v>
      </c>
      <c r="FF83" s="1">
        <v>24.332999999999998</v>
      </c>
      <c r="FG83" s="1">
        <v>1.95</v>
      </c>
      <c r="FH83" s="1">
        <v>0</v>
      </c>
      <c r="FI83" s="1">
        <v>42.34</v>
      </c>
      <c r="FJ83" s="1">
        <v>24.332999999999998</v>
      </c>
      <c r="FK83" s="1">
        <v>1.95</v>
      </c>
      <c r="FL83" s="1">
        <v>0</v>
      </c>
      <c r="FM83" s="1">
        <v>56.19</v>
      </c>
      <c r="FN83" s="1">
        <v>29.98</v>
      </c>
      <c r="FO83" s="1">
        <v>490.47</v>
      </c>
      <c r="FP83" s="1">
        <v>26.42</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0</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284.32</v>
      </c>
      <c r="IQ83" s="1">
        <v>324.68</v>
      </c>
      <c r="IR83" s="1">
        <v>401</v>
      </c>
      <c r="IS83" s="1">
        <v>0</v>
      </c>
      <c r="IT83" s="1">
        <v>0</v>
      </c>
      <c r="IU83" s="1">
        <v>324.68</v>
      </c>
      <c r="IV83" s="1">
        <v>401</v>
      </c>
      <c r="IW83" s="1">
        <v>0</v>
      </c>
      <c r="IX83" s="1">
        <v>284.32</v>
      </c>
      <c r="IY83" s="1">
        <v>0</v>
      </c>
      <c r="IZ83" s="1">
        <v>0</v>
      </c>
      <c r="JA83" s="1">
        <v>0</v>
      </c>
      <c r="JB83" s="1">
        <v>0</v>
      </c>
      <c r="JC83" s="1">
        <v>0</v>
      </c>
      <c r="JD83" s="1">
        <v>0</v>
      </c>
      <c r="JE83" s="1">
        <v>0</v>
      </c>
      <c r="JF83" s="1">
        <v>0</v>
      </c>
      <c r="JG83" s="1">
        <v>0</v>
      </c>
      <c r="JH83" s="1">
        <v>0</v>
      </c>
      <c r="JI83" s="1">
        <v>0</v>
      </c>
      <c r="JJ83" s="1">
        <v>0</v>
      </c>
      <c r="JK83" s="1">
        <v>0</v>
      </c>
      <c r="JL83" s="1">
        <v>0</v>
      </c>
      <c r="JM83" s="1">
        <v>0</v>
      </c>
      <c r="JN83" s="1">
        <v>0</v>
      </c>
      <c r="JO83" s="1">
        <v>0</v>
      </c>
      <c r="JP83" s="1">
        <v>0</v>
      </c>
      <c r="JQ83" s="9"/>
      <c r="JR83" s="1">
        <f t="shared" si="25"/>
        <v>2376.7503299999998</v>
      </c>
      <c r="JS83" s="1">
        <f t="shared" si="25"/>
        <v>3070.2188700000002</v>
      </c>
      <c r="JT83" s="1">
        <f t="shared" si="25"/>
        <v>2999.4321600000003</v>
      </c>
      <c r="JU83" s="1">
        <f t="shared" si="25"/>
        <v>3207.4647300000001</v>
      </c>
      <c r="JV83" s="1">
        <f t="shared" si="26"/>
        <v>440.13894999999997</v>
      </c>
      <c r="JW83" s="1">
        <f t="shared" si="26"/>
        <v>568.55905000000007</v>
      </c>
      <c r="JX83" s="1">
        <f t="shared" si="26"/>
        <v>555.45040000000006</v>
      </c>
      <c r="JY83" s="1">
        <f t="shared" si="26"/>
        <v>593.97495000000004</v>
      </c>
    </row>
    <row r="84" spans="1:285" x14ac:dyDescent="0.35">
      <c r="A84" s="2" t="s">
        <v>91</v>
      </c>
      <c r="B84" s="1">
        <v>134090</v>
      </c>
      <c r="C84" s="1">
        <v>136963</v>
      </c>
      <c r="D84" s="1">
        <v>139124</v>
      </c>
      <c r="E84" s="1">
        <v>140997</v>
      </c>
      <c r="F84" s="1">
        <v>42432.165000000001</v>
      </c>
      <c r="G84" s="1">
        <v>47000.296000000002</v>
      </c>
      <c r="H84" s="1">
        <v>44848.385999999999</v>
      </c>
      <c r="I84" s="1">
        <v>43777.875999999997</v>
      </c>
      <c r="J84" s="1">
        <f t="shared" si="27"/>
        <v>29440.034999999996</v>
      </c>
      <c r="K84" s="1">
        <f t="shared" si="28"/>
        <v>34282.866000000009</v>
      </c>
      <c r="L84" s="1">
        <f t="shared" si="29"/>
        <v>30860.145999999997</v>
      </c>
      <c r="M84" s="1">
        <f t="shared" si="30"/>
        <v>30549.606000000003</v>
      </c>
      <c r="N84" s="1">
        <f t="shared" si="31"/>
        <v>12992.130000000005</v>
      </c>
      <c r="O84" s="1">
        <f t="shared" si="32"/>
        <v>12717.429999999993</v>
      </c>
      <c r="P84" s="1">
        <f t="shared" si="33"/>
        <v>13988.240000000002</v>
      </c>
      <c r="Q84" s="1">
        <f t="shared" si="34"/>
        <v>13228.269999999993</v>
      </c>
      <c r="R84" s="1">
        <v>907.7</v>
      </c>
      <c r="S84" s="1">
        <v>2409.6799999999998</v>
      </c>
      <c r="T84" s="1">
        <v>2336.4899999999998</v>
      </c>
      <c r="U84" s="1">
        <v>2244.9299999999998</v>
      </c>
      <c r="V84" s="1">
        <v>907.7</v>
      </c>
      <c r="W84" s="1">
        <v>0</v>
      </c>
      <c r="X84" s="1">
        <v>0</v>
      </c>
      <c r="Y84" s="1">
        <v>2409.6799999999998</v>
      </c>
      <c r="Z84" s="1">
        <v>0</v>
      </c>
      <c r="AA84" s="1">
        <v>0</v>
      </c>
      <c r="AB84" s="1">
        <v>2336.4899999999998</v>
      </c>
      <c r="AC84" s="1">
        <v>0</v>
      </c>
      <c r="AD84" s="1">
        <v>0</v>
      </c>
      <c r="AE84" s="1">
        <v>2244.9299999999998</v>
      </c>
      <c r="AF84" s="1">
        <v>0</v>
      </c>
      <c r="AG84" s="1">
        <v>0</v>
      </c>
      <c r="AH84" s="1">
        <v>0</v>
      </c>
      <c r="AI84" s="1">
        <v>0</v>
      </c>
      <c r="AJ84" s="1">
        <v>0</v>
      </c>
      <c r="AK84" s="1">
        <v>0</v>
      </c>
      <c r="AL84" s="1">
        <v>0</v>
      </c>
      <c r="AM84" s="1">
        <v>0</v>
      </c>
      <c r="AN84" s="1">
        <v>0</v>
      </c>
      <c r="AO84" s="1">
        <v>0</v>
      </c>
      <c r="AP84" s="1">
        <v>7038.7380000000003</v>
      </c>
      <c r="AQ84" s="1">
        <v>7439.8360000000002</v>
      </c>
      <c r="AR84" s="1">
        <v>6498.996000000001</v>
      </c>
      <c r="AS84" s="1">
        <v>7363.8559999999998</v>
      </c>
      <c r="AT84" s="1">
        <v>0</v>
      </c>
      <c r="AU84" s="1">
        <v>7038.7380000000003</v>
      </c>
      <c r="AV84" s="1">
        <v>0</v>
      </c>
      <c r="AW84" s="1">
        <v>0</v>
      </c>
      <c r="AX84" s="1">
        <v>0</v>
      </c>
      <c r="AY84" s="1">
        <v>7439.8360000000002</v>
      </c>
      <c r="AZ84" s="1">
        <v>0</v>
      </c>
      <c r="BA84" s="1">
        <v>0</v>
      </c>
      <c r="BB84" s="1">
        <v>0</v>
      </c>
      <c r="BC84" s="1">
        <v>6498.996000000001</v>
      </c>
      <c r="BD84" s="1">
        <v>0</v>
      </c>
      <c r="BE84" s="1">
        <v>0</v>
      </c>
      <c r="BF84" s="1">
        <v>7363.8559999999998</v>
      </c>
      <c r="BG84" s="1">
        <v>0</v>
      </c>
      <c r="BH84" s="1">
        <v>0</v>
      </c>
      <c r="BI84" s="1">
        <v>0</v>
      </c>
      <c r="BJ84" s="1">
        <v>0</v>
      </c>
      <c r="BK84" s="1">
        <v>0</v>
      </c>
      <c r="BL84" s="1">
        <v>0</v>
      </c>
      <c r="BM84" s="1">
        <v>0</v>
      </c>
      <c r="BN84" s="1">
        <v>0</v>
      </c>
      <c r="BO84" s="1">
        <v>0</v>
      </c>
      <c r="BP84" s="1">
        <v>0</v>
      </c>
      <c r="BQ84" s="1">
        <v>0</v>
      </c>
      <c r="BR84" s="1">
        <v>0</v>
      </c>
      <c r="BS84" s="1">
        <v>0</v>
      </c>
      <c r="BT84" s="1">
        <v>0</v>
      </c>
      <c r="BU84" s="1">
        <v>10588.215</v>
      </c>
      <c r="BV84" s="1">
        <v>13345.09</v>
      </c>
      <c r="BW84" s="1">
        <v>11730.07</v>
      </c>
      <c r="BX84" s="1">
        <v>10537.34</v>
      </c>
      <c r="BY84" s="1">
        <v>10588.215</v>
      </c>
      <c r="BZ84" s="1">
        <v>13345.09</v>
      </c>
      <c r="CA84" s="1">
        <v>11730.07</v>
      </c>
      <c r="CB84" s="1">
        <v>10537.34</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1424.336</v>
      </c>
      <c r="CT84" s="1">
        <v>1460.66</v>
      </c>
      <c r="CU84" s="1">
        <v>1326.62</v>
      </c>
      <c r="CV84" s="1">
        <v>1307.23</v>
      </c>
      <c r="CW84" s="1">
        <v>1408.4860000000001</v>
      </c>
      <c r="CX84" s="1">
        <v>1458.83</v>
      </c>
      <c r="CY84" s="1">
        <v>1233.17</v>
      </c>
      <c r="CZ84" s="1">
        <v>1174.96</v>
      </c>
      <c r="DA84" s="1">
        <v>0</v>
      </c>
      <c r="DB84" s="1">
        <v>0</v>
      </c>
      <c r="DC84" s="1">
        <v>0</v>
      </c>
      <c r="DD84" s="1">
        <v>0</v>
      </c>
      <c r="DE84" s="1">
        <v>0</v>
      </c>
      <c r="DF84" s="1">
        <v>0</v>
      </c>
      <c r="DG84" s="1">
        <v>0</v>
      </c>
      <c r="DH84" s="1">
        <v>0</v>
      </c>
      <c r="DI84" s="1">
        <v>15.85</v>
      </c>
      <c r="DJ84" s="1">
        <v>1.83</v>
      </c>
      <c r="DK84" s="1">
        <v>93.45</v>
      </c>
      <c r="DL84" s="1">
        <v>132.27000000000001</v>
      </c>
      <c r="DM84" s="1">
        <v>8361.84</v>
      </c>
      <c r="DN84" s="1">
        <v>8703.56</v>
      </c>
      <c r="DO84" s="1">
        <v>7804.1799999999994</v>
      </c>
      <c r="DP84" s="1">
        <v>7533.58</v>
      </c>
      <c r="DQ84" s="1">
        <v>8361.84</v>
      </c>
      <c r="DR84" s="1">
        <v>8703.56</v>
      </c>
      <c r="DS84" s="1">
        <v>7804.1799999999994</v>
      </c>
      <c r="DT84" s="1">
        <v>7533.58</v>
      </c>
      <c r="DU84" s="1">
        <v>0</v>
      </c>
      <c r="DV84" s="1">
        <v>0</v>
      </c>
      <c r="DW84" s="1">
        <v>0</v>
      </c>
      <c r="DX84" s="1">
        <v>0</v>
      </c>
      <c r="DY84" s="1">
        <v>0</v>
      </c>
      <c r="DZ84" s="1">
        <v>0</v>
      </c>
      <c r="EA84" s="1">
        <v>0</v>
      </c>
      <c r="EB84" s="1">
        <v>0</v>
      </c>
      <c r="EC84" s="1">
        <v>0</v>
      </c>
      <c r="ED84" s="1">
        <v>0</v>
      </c>
      <c r="EE84" s="1">
        <v>0</v>
      </c>
      <c r="EF84" s="1">
        <v>0</v>
      </c>
      <c r="EG84" s="1">
        <v>0</v>
      </c>
      <c r="EH84" s="1">
        <v>0</v>
      </c>
      <c r="EI84" s="1">
        <v>0</v>
      </c>
      <c r="EJ84" s="1">
        <v>0</v>
      </c>
      <c r="EK84" s="1">
        <v>488.56599999999997</v>
      </c>
      <c r="EL84" s="1">
        <v>484.93</v>
      </c>
      <c r="EM84" s="1">
        <v>435.53</v>
      </c>
      <c r="EN84" s="1">
        <v>439.83</v>
      </c>
      <c r="EO84" s="1">
        <v>488.56599999999997</v>
      </c>
      <c r="EP84" s="1">
        <v>484.93</v>
      </c>
      <c r="EQ84" s="1">
        <v>435.53</v>
      </c>
      <c r="ER84" s="1">
        <v>439.83</v>
      </c>
      <c r="ES84" s="1">
        <v>0</v>
      </c>
      <c r="ET84" s="1">
        <v>0</v>
      </c>
      <c r="EU84" s="1">
        <v>0</v>
      </c>
      <c r="EV84" s="1">
        <v>0</v>
      </c>
      <c r="EW84" s="1">
        <v>0</v>
      </c>
      <c r="EX84" s="1">
        <v>0</v>
      </c>
      <c r="EY84" s="1">
        <v>0</v>
      </c>
      <c r="EZ84" s="1">
        <v>0</v>
      </c>
      <c r="FA84" s="1">
        <v>0</v>
      </c>
      <c r="FB84" s="1">
        <v>0</v>
      </c>
      <c r="FC84" s="1">
        <v>0</v>
      </c>
      <c r="FD84" s="1">
        <v>0</v>
      </c>
      <c r="FE84" s="1">
        <v>48.51</v>
      </c>
      <c r="FF84" s="1">
        <v>126.76</v>
      </c>
      <c r="FG84" s="1">
        <v>77.17</v>
      </c>
      <c r="FH84" s="1">
        <v>68.61</v>
      </c>
      <c r="FI84" s="1">
        <v>48.51</v>
      </c>
      <c r="FJ84" s="1">
        <v>126.76</v>
      </c>
      <c r="FK84" s="1">
        <v>77.17</v>
      </c>
      <c r="FL84" s="1">
        <v>68.61</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11.88</v>
      </c>
      <c r="GD84" s="1">
        <v>13.44</v>
      </c>
      <c r="GE84" s="1">
        <v>14.78</v>
      </c>
      <c r="GF84" s="1">
        <v>16.86</v>
      </c>
      <c r="GG84" s="1">
        <v>11.88</v>
      </c>
      <c r="GH84" s="1">
        <v>13.44</v>
      </c>
      <c r="GI84" s="1">
        <v>14.78</v>
      </c>
      <c r="GJ84" s="1">
        <v>16.86</v>
      </c>
      <c r="GK84" s="1">
        <v>0</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570.25</v>
      </c>
      <c r="IP84" s="1">
        <v>298.91000000000003</v>
      </c>
      <c r="IQ84" s="1">
        <v>636.30999999999995</v>
      </c>
      <c r="IR84" s="1">
        <v>1037.3699999999999</v>
      </c>
      <c r="IS84" s="1">
        <v>570.25</v>
      </c>
      <c r="IT84" s="1">
        <v>298.91000000000003</v>
      </c>
      <c r="IU84" s="1">
        <v>636.30999999999995</v>
      </c>
      <c r="IV84" s="1">
        <v>1037.3699999999999</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0</v>
      </c>
      <c r="JO84" s="1">
        <v>0</v>
      </c>
      <c r="JP84" s="1">
        <v>0</v>
      </c>
      <c r="JQ84" s="9"/>
      <c r="JR84" s="1">
        <f t="shared" si="25"/>
        <v>3507.8751000000016</v>
      </c>
      <c r="JS84" s="1">
        <f t="shared" si="25"/>
        <v>3433.7060999999985</v>
      </c>
      <c r="JT84" s="1">
        <f t="shared" si="25"/>
        <v>3776.8248000000008</v>
      </c>
      <c r="JU84" s="1">
        <f t="shared" si="25"/>
        <v>3571.6328999999982</v>
      </c>
      <c r="JV84" s="1">
        <f t="shared" si="26"/>
        <v>649.60650000000032</v>
      </c>
      <c r="JW84" s="1">
        <f t="shared" si="26"/>
        <v>635.87149999999974</v>
      </c>
      <c r="JX84" s="1">
        <f t="shared" si="26"/>
        <v>699.41200000000015</v>
      </c>
      <c r="JY84" s="1">
        <f t="shared" si="26"/>
        <v>661.41349999999966</v>
      </c>
    </row>
    <row r="85" spans="1:285" x14ac:dyDescent="0.35">
      <c r="A85" s="2" t="s">
        <v>92</v>
      </c>
      <c r="B85" s="1">
        <v>138098</v>
      </c>
      <c r="C85" s="1">
        <v>139453</v>
      </c>
      <c r="D85" s="1">
        <v>140434</v>
      </c>
      <c r="E85" s="1">
        <v>141193</v>
      </c>
      <c r="F85" s="1">
        <v>59228.461000000003</v>
      </c>
      <c r="G85" s="1">
        <v>51706.597999999998</v>
      </c>
      <c r="H85" s="1">
        <v>44782.956000000013</v>
      </c>
      <c r="I85" s="1">
        <v>46754.237999999998</v>
      </c>
      <c r="J85" s="1">
        <f t="shared" si="27"/>
        <v>38807.694000000003</v>
      </c>
      <c r="K85" s="1">
        <f t="shared" si="28"/>
        <v>32601.922000000002</v>
      </c>
      <c r="L85" s="1">
        <f t="shared" si="29"/>
        <v>27742.036999999997</v>
      </c>
      <c r="M85" s="1">
        <f t="shared" si="30"/>
        <v>30495.985000000001</v>
      </c>
      <c r="N85" s="1">
        <f t="shared" si="31"/>
        <v>20420.767</v>
      </c>
      <c r="O85" s="1">
        <f t="shared" si="32"/>
        <v>19104.675999999996</v>
      </c>
      <c r="P85" s="1">
        <f t="shared" si="33"/>
        <v>17040.919000000016</v>
      </c>
      <c r="Q85" s="1">
        <f t="shared" si="34"/>
        <v>16258.252999999997</v>
      </c>
      <c r="R85" s="1">
        <v>5878.4930000000004</v>
      </c>
      <c r="S85" s="1">
        <v>5185.9170000000004</v>
      </c>
      <c r="T85" s="1">
        <v>4538.21</v>
      </c>
      <c r="U85" s="1">
        <v>4248.0549999999994</v>
      </c>
      <c r="V85" s="1">
        <v>0</v>
      </c>
      <c r="W85" s="1">
        <v>0</v>
      </c>
      <c r="X85" s="1">
        <v>5878.4930000000004</v>
      </c>
      <c r="Y85" s="1">
        <v>0</v>
      </c>
      <c r="Z85" s="1">
        <v>0</v>
      </c>
      <c r="AA85" s="1">
        <v>5185.9170000000004</v>
      </c>
      <c r="AB85" s="1">
        <v>0</v>
      </c>
      <c r="AC85" s="1">
        <v>0</v>
      </c>
      <c r="AD85" s="1">
        <v>4538.21</v>
      </c>
      <c r="AE85" s="1">
        <v>0</v>
      </c>
      <c r="AF85" s="1">
        <v>0</v>
      </c>
      <c r="AG85" s="1">
        <v>4248.0549999999994</v>
      </c>
      <c r="AH85" s="1">
        <v>0</v>
      </c>
      <c r="AI85" s="1">
        <v>0</v>
      </c>
      <c r="AJ85" s="1">
        <v>0</v>
      </c>
      <c r="AK85" s="1">
        <v>0</v>
      </c>
      <c r="AL85" s="1">
        <v>0</v>
      </c>
      <c r="AM85" s="1">
        <v>0</v>
      </c>
      <c r="AN85" s="1">
        <v>0</v>
      </c>
      <c r="AO85" s="1">
        <v>0</v>
      </c>
      <c r="AP85" s="1">
        <v>12626.633999999998</v>
      </c>
      <c r="AQ85" s="1">
        <v>9244.1769999999997</v>
      </c>
      <c r="AR85" s="1">
        <v>9694.8070000000007</v>
      </c>
      <c r="AS85" s="1">
        <v>11985.971000000001</v>
      </c>
      <c r="AT85" s="1">
        <v>0</v>
      </c>
      <c r="AU85" s="1">
        <v>12626.633999999998</v>
      </c>
      <c r="AV85" s="1">
        <v>0</v>
      </c>
      <c r="AW85" s="1">
        <v>0</v>
      </c>
      <c r="AX85" s="1">
        <v>0</v>
      </c>
      <c r="AY85" s="1">
        <v>9244.1769999999997</v>
      </c>
      <c r="AZ85" s="1">
        <v>0</v>
      </c>
      <c r="BA85" s="1">
        <v>0</v>
      </c>
      <c r="BB85" s="1">
        <v>0</v>
      </c>
      <c r="BC85" s="1">
        <v>9694.8070000000007</v>
      </c>
      <c r="BD85" s="1">
        <v>0</v>
      </c>
      <c r="BE85" s="1">
        <v>0</v>
      </c>
      <c r="BF85" s="1">
        <v>11985.971000000001</v>
      </c>
      <c r="BG85" s="1">
        <v>0</v>
      </c>
      <c r="BH85" s="1">
        <v>0</v>
      </c>
      <c r="BI85" s="1">
        <v>0</v>
      </c>
      <c r="BJ85" s="1">
        <v>0</v>
      </c>
      <c r="BK85" s="1">
        <v>0</v>
      </c>
      <c r="BL85" s="1">
        <v>0</v>
      </c>
      <c r="BM85" s="1">
        <v>0</v>
      </c>
      <c r="BN85" s="1">
        <v>0</v>
      </c>
      <c r="BO85" s="1">
        <v>0</v>
      </c>
      <c r="BP85" s="1">
        <v>0</v>
      </c>
      <c r="BQ85" s="1">
        <v>0</v>
      </c>
      <c r="BR85" s="1">
        <v>0</v>
      </c>
      <c r="BS85" s="1">
        <v>0</v>
      </c>
      <c r="BT85" s="1">
        <v>0</v>
      </c>
      <c r="BU85" s="1">
        <v>8469.7250000000004</v>
      </c>
      <c r="BV85" s="1">
        <v>9872.5300000000007</v>
      </c>
      <c r="BW85" s="1">
        <v>6178.0429999999997</v>
      </c>
      <c r="BX85" s="1">
        <v>7017.3190000000004</v>
      </c>
      <c r="BY85" s="1">
        <v>8469.7250000000004</v>
      </c>
      <c r="BZ85" s="1">
        <v>9715.851999999999</v>
      </c>
      <c r="CA85" s="1">
        <v>6178.0429999999997</v>
      </c>
      <c r="CB85" s="1">
        <v>7017.3190000000004</v>
      </c>
      <c r="CC85" s="1">
        <v>0</v>
      </c>
      <c r="CD85" s="1">
        <v>156.678</v>
      </c>
      <c r="CE85" s="1">
        <v>0</v>
      </c>
      <c r="CF85" s="1">
        <v>0</v>
      </c>
      <c r="CG85" s="1">
        <v>0</v>
      </c>
      <c r="CH85" s="1">
        <v>0</v>
      </c>
      <c r="CI85" s="1">
        <v>0</v>
      </c>
      <c r="CJ85" s="1">
        <v>0</v>
      </c>
      <c r="CK85" s="1">
        <v>0</v>
      </c>
      <c r="CL85" s="1">
        <v>0</v>
      </c>
      <c r="CM85" s="1">
        <v>0</v>
      </c>
      <c r="CN85" s="1">
        <v>0</v>
      </c>
      <c r="CO85" s="1">
        <v>0</v>
      </c>
      <c r="CP85" s="1">
        <v>0</v>
      </c>
      <c r="CQ85" s="1">
        <v>0</v>
      </c>
      <c r="CR85" s="1">
        <v>0</v>
      </c>
      <c r="CS85" s="1">
        <v>5762.076</v>
      </c>
      <c r="CT85" s="1">
        <v>3062.89</v>
      </c>
      <c r="CU85" s="1">
        <v>1523.547</v>
      </c>
      <c r="CV85" s="1">
        <v>3553.761</v>
      </c>
      <c r="CW85" s="1">
        <v>5762.076</v>
      </c>
      <c r="CX85" s="1">
        <v>3062.89</v>
      </c>
      <c r="CY85" s="1">
        <v>1523.547</v>
      </c>
      <c r="CZ85" s="1">
        <v>3553.761</v>
      </c>
      <c r="DA85" s="1">
        <v>0</v>
      </c>
      <c r="DB85" s="1">
        <v>0</v>
      </c>
      <c r="DC85" s="1">
        <v>0</v>
      </c>
      <c r="DD85" s="1">
        <v>0</v>
      </c>
      <c r="DE85" s="1">
        <v>0</v>
      </c>
      <c r="DF85" s="1">
        <v>0</v>
      </c>
      <c r="DG85" s="1">
        <v>0</v>
      </c>
      <c r="DH85" s="1">
        <v>0</v>
      </c>
      <c r="DI85" s="1">
        <v>0</v>
      </c>
      <c r="DJ85" s="1">
        <v>0</v>
      </c>
      <c r="DK85" s="1">
        <v>0</v>
      </c>
      <c r="DL85" s="1">
        <v>0</v>
      </c>
      <c r="DM85" s="1">
        <v>3720.3510000000001</v>
      </c>
      <c r="DN85" s="1">
        <v>3645.1909999999998</v>
      </c>
      <c r="DO85" s="1">
        <v>4197.7649999999994</v>
      </c>
      <c r="DP85" s="1">
        <v>2209.422</v>
      </c>
      <c r="DQ85" s="1">
        <v>3720.3510000000001</v>
      </c>
      <c r="DR85" s="1">
        <v>3645.1909999999998</v>
      </c>
      <c r="DS85" s="1">
        <v>4197.7649999999994</v>
      </c>
      <c r="DT85" s="1">
        <v>2209.422</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1744.048</v>
      </c>
      <c r="EL85" s="1">
        <v>1016.0359999999999</v>
      </c>
      <c r="EM85" s="1">
        <v>916.31</v>
      </c>
      <c r="EN85" s="1">
        <v>789.65</v>
      </c>
      <c r="EO85" s="1">
        <v>1744.048</v>
      </c>
      <c r="EP85" s="1">
        <v>1016.0359999999999</v>
      </c>
      <c r="EQ85" s="1">
        <v>916.31</v>
      </c>
      <c r="ER85" s="1">
        <v>789.65</v>
      </c>
      <c r="ES85" s="1">
        <v>0</v>
      </c>
      <c r="ET85" s="1">
        <v>0</v>
      </c>
      <c r="EU85" s="1">
        <v>0</v>
      </c>
      <c r="EV85" s="1">
        <v>0</v>
      </c>
      <c r="EW85" s="1">
        <v>0</v>
      </c>
      <c r="EX85" s="1">
        <v>0</v>
      </c>
      <c r="EY85" s="1">
        <v>0</v>
      </c>
      <c r="EZ85" s="1">
        <v>0</v>
      </c>
      <c r="FA85" s="1">
        <v>0</v>
      </c>
      <c r="FB85" s="1">
        <v>0</v>
      </c>
      <c r="FC85" s="1">
        <v>0</v>
      </c>
      <c r="FD85" s="1">
        <v>0</v>
      </c>
      <c r="FE85" s="1">
        <v>7.9560000000000004</v>
      </c>
      <c r="FF85" s="1">
        <v>29.222000000000001</v>
      </c>
      <c r="FG85" s="1">
        <v>16.302</v>
      </c>
      <c r="FH85" s="1">
        <v>6.0569999999999986</v>
      </c>
      <c r="FI85" s="1">
        <v>7.9560000000000004</v>
      </c>
      <c r="FJ85" s="1">
        <v>29.222000000000001</v>
      </c>
      <c r="FK85" s="1">
        <v>16.302</v>
      </c>
      <c r="FL85" s="1">
        <v>6.0569999999999986</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47.274999999999999</v>
      </c>
      <c r="GD85" s="1">
        <v>45.761000000000003</v>
      </c>
      <c r="GE85" s="1">
        <v>82.039999999999992</v>
      </c>
      <c r="GF85" s="1">
        <v>91.728999999999985</v>
      </c>
      <c r="GG85" s="1">
        <v>47.274999999999999</v>
      </c>
      <c r="GH85" s="1">
        <v>40.023000000000003</v>
      </c>
      <c r="GI85" s="1">
        <v>49.046000000000006</v>
      </c>
      <c r="GJ85" s="1">
        <v>72.467999999999989</v>
      </c>
      <c r="GK85" s="1">
        <v>0</v>
      </c>
      <c r="GL85" s="1">
        <v>5.7380000000000004</v>
      </c>
      <c r="GM85" s="1">
        <v>32.994</v>
      </c>
      <c r="GN85" s="1">
        <v>19.260999999999999</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551.13599999999997</v>
      </c>
      <c r="IP85" s="1">
        <v>500.19799999999998</v>
      </c>
      <c r="IQ85" s="1">
        <v>595.01300000000003</v>
      </c>
      <c r="IR85" s="1">
        <v>594.02099999999996</v>
      </c>
      <c r="IS85" s="1">
        <v>551.13599999999997</v>
      </c>
      <c r="IT85" s="1">
        <v>500.19799999999998</v>
      </c>
      <c r="IU85" s="1">
        <v>581.43799999999999</v>
      </c>
      <c r="IV85" s="1">
        <v>574.76</v>
      </c>
      <c r="IW85" s="1">
        <v>0</v>
      </c>
      <c r="IX85" s="1">
        <v>0</v>
      </c>
      <c r="IY85" s="1">
        <v>13.574999999999999</v>
      </c>
      <c r="IZ85" s="1">
        <v>19.260999999999999</v>
      </c>
      <c r="JA85" s="1">
        <v>0</v>
      </c>
      <c r="JB85" s="1">
        <v>0</v>
      </c>
      <c r="JC85" s="1">
        <v>0</v>
      </c>
      <c r="JD85" s="1">
        <v>0</v>
      </c>
      <c r="JE85" s="1">
        <v>0</v>
      </c>
      <c r="JF85" s="1">
        <v>0</v>
      </c>
      <c r="JG85" s="1">
        <v>0</v>
      </c>
      <c r="JH85" s="1">
        <v>0</v>
      </c>
      <c r="JI85" s="1">
        <v>0</v>
      </c>
      <c r="JJ85" s="1">
        <v>0</v>
      </c>
      <c r="JK85" s="1">
        <v>0</v>
      </c>
      <c r="JL85" s="1">
        <v>0</v>
      </c>
      <c r="JM85" s="1">
        <v>0</v>
      </c>
      <c r="JN85" s="1">
        <v>0</v>
      </c>
      <c r="JO85" s="1">
        <v>0</v>
      </c>
      <c r="JP85" s="1">
        <v>0</v>
      </c>
      <c r="JQ85" s="9"/>
      <c r="JR85" s="1">
        <f t="shared" si="25"/>
        <v>5513.6070900000004</v>
      </c>
      <c r="JS85" s="1">
        <f t="shared" si="25"/>
        <v>5158.2625199999993</v>
      </c>
      <c r="JT85" s="1">
        <f t="shared" si="25"/>
        <v>4601.0481300000047</v>
      </c>
      <c r="JU85" s="1">
        <f t="shared" si="25"/>
        <v>4389.7283099999995</v>
      </c>
      <c r="JV85" s="1">
        <f t="shared" si="26"/>
        <v>1021.03835</v>
      </c>
      <c r="JW85" s="1">
        <f t="shared" si="26"/>
        <v>955.23379999999986</v>
      </c>
      <c r="JX85" s="1">
        <f t="shared" si="26"/>
        <v>852.04595000000086</v>
      </c>
      <c r="JY85" s="1">
        <f t="shared" si="26"/>
        <v>812.91264999999987</v>
      </c>
    </row>
    <row r="86" spans="1:285" x14ac:dyDescent="0.35">
      <c r="A86" s="2" t="s">
        <v>93</v>
      </c>
      <c r="B86" s="1">
        <v>333149</v>
      </c>
      <c r="C86" s="1">
        <v>329876</v>
      </c>
      <c r="D86" s="1">
        <v>326867</v>
      </c>
      <c r="E86" s="1">
        <v>328014</v>
      </c>
      <c r="F86" s="1">
        <v>61715.625999999997</v>
      </c>
      <c r="G86" s="1">
        <v>79301.987999999998</v>
      </c>
      <c r="H86" s="1">
        <v>74981.56</v>
      </c>
      <c r="I86" s="1">
        <v>69136.069999999992</v>
      </c>
      <c r="J86" s="1">
        <f t="shared" si="27"/>
        <v>37933.08600000001</v>
      </c>
      <c r="K86" s="1">
        <f t="shared" si="28"/>
        <v>42114.558000000005</v>
      </c>
      <c r="L86" s="1">
        <f t="shared" si="29"/>
        <v>41552.959999999999</v>
      </c>
      <c r="M86" s="1">
        <f t="shared" si="30"/>
        <v>39802.92</v>
      </c>
      <c r="N86" s="1">
        <f t="shared" si="31"/>
        <v>23782.539999999986</v>
      </c>
      <c r="O86" s="1">
        <f t="shared" si="32"/>
        <v>37187.429999999993</v>
      </c>
      <c r="P86" s="1">
        <f t="shared" si="33"/>
        <v>33428.6</v>
      </c>
      <c r="Q86" s="1">
        <f t="shared" si="34"/>
        <v>29333.149999999994</v>
      </c>
      <c r="R86" s="1">
        <v>8514.18</v>
      </c>
      <c r="S86" s="1">
        <v>8712.84</v>
      </c>
      <c r="T86" s="1">
        <v>7530.91</v>
      </c>
      <c r="U86" s="1">
        <v>6965.84</v>
      </c>
      <c r="V86" s="1">
        <v>0</v>
      </c>
      <c r="W86" s="1">
        <v>0</v>
      </c>
      <c r="X86" s="1">
        <v>8514.18</v>
      </c>
      <c r="Y86" s="1">
        <v>0</v>
      </c>
      <c r="Z86" s="1">
        <v>0</v>
      </c>
      <c r="AA86" s="1">
        <v>8712.84</v>
      </c>
      <c r="AB86" s="1">
        <v>0</v>
      </c>
      <c r="AC86" s="1">
        <v>0</v>
      </c>
      <c r="AD86" s="1">
        <v>7530.91</v>
      </c>
      <c r="AE86" s="1">
        <v>0</v>
      </c>
      <c r="AF86" s="1">
        <v>0</v>
      </c>
      <c r="AG86" s="1">
        <v>6965.84</v>
      </c>
      <c r="AH86" s="1">
        <v>0</v>
      </c>
      <c r="AI86" s="1">
        <v>0</v>
      </c>
      <c r="AJ86" s="1">
        <v>0</v>
      </c>
      <c r="AK86" s="1">
        <v>0</v>
      </c>
      <c r="AL86" s="1">
        <v>0</v>
      </c>
      <c r="AM86" s="1">
        <v>0</v>
      </c>
      <c r="AN86" s="1">
        <v>0</v>
      </c>
      <c r="AO86" s="1">
        <v>0</v>
      </c>
      <c r="AP86" s="1">
        <v>8137.6500000000005</v>
      </c>
      <c r="AQ86" s="1">
        <v>9348.42</v>
      </c>
      <c r="AR86" s="1">
        <v>8137.5099999999993</v>
      </c>
      <c r="AS86" s="1">
        <v>8795.99</v>
      </c>
      <c r="AT86" s="1">
        <v>0</v>
      </c>
      <c r="AU86" s="1">
        <v>8137.6500000000005</v>
      </c>
      <c r="AV86" s="1">
        <v>0</v>
      </c>
      <c r="AW86" s="1">
        <v>0</v>
      </c>
      <c r="AX86" s="1">
        <v>0.22</v>
      </c>
      <c r="AY86" s="1">
        <v>9348.2000000000007</v>
      </c>
      <c r="AZ86" s="1">
        <v>0</v>
      </c>
      <c r="BA86" s="1">
        <v>0</v>
      </c>
      <c r="BB86" s="1">
        <v>0</v>
      </c>
      <c r="BC86" s="1">
        <v>8137.5099999999993</v>
      </c>
      <c r="BD86" s="1">
        <v>0</v>
      </c>
      <c r="BE86" s="1">
        <v>0</v>
      </c>
      <c r="BF86" s="1">
        <v>8746.0499999999993</v>
      </c>
      <c r="BG86" s="1">
        <v>0</v>
      </c>
      <c r="BH86" s="1">
        <v>0</v>
      </c>
      <c r="BI86" s="1">
        <v>0</v>
      </c>
      <c r="BJ86" s="1">
        <v>0</v>
      </c>
      <c r="BK86" s="1">
        <v>0</v>
      </c>
      <c r="BL86" s="1">
        <v>0</v>
      </c>
      <c r="BM86" s="1">
        <v>0</v>
      </c>
      <c r="BN86" s="1">
        <v>0</v>
      </c>
      <c r="BO86" s="1">
        <v>0</v>
      </c>
      <c r="BP86" s="1">
        <v>0</v>
      </c>
      <c r="BQ86" s="1">
        <v>0</v>
      </c>
      <c r="BR86" s="1">
        <v>49.940000000000005</v>
      </c>
      <c r="BS86" s="1">
        <v>0</v>
      </c>
      <c r="BT86" s="1">
        <v>0</v>
      </c>
      <c r="BU86" s="1">
        <v>9025.39</v>
      </c>
      <c r="BV86" s="1">
        <v>9124.08</v>
      </c>
      <c r="BW86" s="1">
        <v>10122.620000000001</v>
      </c>
      <c r="BX86" s="1">
        <v>9912.130000000001</v>
      </c>
      <c r="BY86" s="1">
        <v>8986.58</v>
      </c>
      <c r="BZ86" s="1">
        <v>9083.75</v>
      </c>
      <c r="CA86" s="1">
        <v>10040.1</v>
      </c>
      <c r="CB86" s="1">
        <v>9825.33</v>
      </c>
      <c r="CC86" s="1">
        <v>38.81</v>
      </c>
      <c r="CD86" s="1">
        <v>40.330000000000013</v>
      </c>
      <c r="CE86" s="1">
        <v>82.52</v>
      </c>
      <c r="CF86" s="1">
        <v>86.8</v>
      </c>
      <c r="CG86" s="1">
        <v>0</v>
      </c>
      <c r="CH86" s="1">
        <v>0</v>
      </c>
      <c r="CI86" s="1">
        <v>0</v>
      </c>
      <c r="CJ86" s="1">
        <v>0</v>
      </c>
      <c r="CK86" s="1">
        <v>0</v>
      </c>
      <c r="CL86" s="1">
        <v>0</v>
      </c>
      <c r="CM86" s="1">
        <v>0</v>
      </c>
      <c r="CN86" s="1">
        <v>0</v>
      </c>
      <c r="CO86" s="1">
        <v>0</v>
      </c>
      <c r="CP86" s="1">
        <v>0</v>
      </c>
      <c r="CQ86" s="1">
        <v>0</v>
      </c>
      <c r="CR86" s="1">
        <v>0</v>
      </c>
      <c r="CS86" s="1">
        <v>1890.67</v>
      </c>
      <c r="CT86" s="1">
        <v>2582.2399999999998</v>
      </c>
      <c r="CU86" s="1">
        <v>3417.23</v>
      </c>
      <c r="CV86" s="1">
        <v>2588.87</v>
      </c>
      <c r="CW86" s="1">
        <v>1890.67</v>
      </c>
      <c r="CX86" s="1">
        <v>2582.2399999999998</v>
      </c>
      <c r="CY86" s="1">
        <v>3417.23</v>
      </c>
      <c r="CZ86" s="1">
        <v>2588.87</v>
      </c>
      <c r="DA86" s="1">
        <v>0</v>
      </c>
      <c r="DB86" s="1">
        <v>0</v>
      </c>
      <c r="DC86" s="1">
        <v>0</v>
      </c>
      <c r="DD86" s="1">
        <v>0</v>
      </c>
      <c r="DE86" s="1">
        <v>0</v>
      </c>
      <c r="DF86" s="1">
        <v>0</v>
      </c>
      <c r="DG86" s="1">
        <v>0</v>
      </c>
      <c r="DH86" s="1">
        <v>0</v>
      </c>
      <c r="DI86" s="1">
        <v>0</v>
      </c>
      <c r="DJ86" s="1">
        <v>0</v>
      </c>
      <c r="DK86" s="1">
        <v>0</v>
      </c>
      <c r="DL86" s="1">
        <v>0</v>
      </c>
      <c r="DM86" s="1">
        <v>4667.62</v>
      </c>
      <c r="DN86" s="1">
        <v>3535.55</v>
      </c>
      <c r="DO86" s="1">
        <v>4678.99</v>
      </c>
      <c r="DP86" s="1">
        <v>4356.4500000000007</v>
      </c>
      <c r="DQ86" s="1">
        <v>4667.62</v>
      </c>
      <c r="DR86" s="1">
        <v>3535.55</v>
      </c>
      <c r="DS86" s="1">
        <v>4678.99</v>
      </c>
      <c r="DT86" s="1">
        <v>4356.4500000000007</v>
      </c>
      <c r="DU86" s="1">
        <v>0</v>
      </c>
      <c r="DV86" s="1">
        <v>0</v>
      </c>
      <c r="DW86" s="1">
        <v>0</v>
      </c>
      <c r="DX86" s="1">
        <v>0</v>
      </c>
      <c r="DY86" s="1">
        <v>0</v>
      </c>
      <c r="DZ86" s="1">
        <v>0</v>
      </c>
      <c r="EA86" s="1">
        <v>0</v>
      </c>
      <c r="EB86" s="1">
        <v>0</v>
      </c>
      <c r="EC86" s="1">
        <v>0</v>
      </c>
      <c r="ED86" s="1">
        <v>0</v>
      </c>
      <c r="EE86" s="1">
        <v>0</v>
      </c>
      <c r="EF86" s="1">
        <v>0</v>
      </c>
      <c r="EG86" s="1">
        <v>0</v>
      </c>
      <c r="EH86" s="1">
        <v>0</v>
      </c>
      <c r="EI86" s="1">
        <v>0</v>
      </c>
      <c r="EJ86" s="1">
        <v>0</v>
      </c>
      <c r="EK86" s="1">
        <v>1369.89</v>
      </c>
      <c r="EL86" s="1">
        <v>1848.99</v>
      </c>
      <c r="EM86" s="1">
        <v>1898.6</v>
      </c>
      <c r="EN86" s="1">
        <v>1828.64</v>
      </c>
      <c r="EO86" s="1">
        <v>1369.65</v>
      </c>
      <c r="EP86" s="1">
        <v>1848.48</v>
      </c>
      <c r="EQ86" s="1">
        <v>1897.86</v>
      </c>
      <c r="ER86" s="1">
        <v>1828.13</v>
      </c>
      <c r="ES86" s="1">
        <v>0.24</v>
      </c>
      <c r="ET86" s="1">
        <v>0.51</v>
      </c>
      <c r="EU86" s="1">
        <v>0.74</v>
      </c>
      <c r="EV86" s="1">
        <v>0.51</v>
      </c>
      <c r="EW86" s="1">
        <v>0</v>
      </c>
      <c r="EX86" s="1">
        <v>0</v>
      </c>
      <c r="EY86" s="1">
        <v>0</v>
      </c>
      <c r="EZ86" s="1">
        <v>0</v>
      </c>
      <c r="FA86" s="1">
        <v>0</v>
      </c>
      <c r="FB86" s="1">
        <v>0</v>
      </c>
      <c r="FC86" s="1">
        <v>0</v>
      </c>
      <c r="FD86" s="1">
        <v>0</v>
      </c>
      <c r="FE86" s="1">
        <v>406.17599999999999</v>
      </c>
      <c r="FF86" s="1">
        <v>1029.33</v>
      </c>
      <c r="FG86" s="1">
        <v>1292.5</v>
      </c>
      <c r="FH86" s="1">
        <v>1277.4000000000001</v>
      </c>
      <c r="FI86" s="1">
        <v>209.1</v>
      </c>
      <c r="FJ86" s="1">
        <v>957.02</v>
      </c>
      <c r="FK86" s="1">
        <v>1193.02</v>
      </c>
      <c r="FL86" s="1">
        <v>1164.83</v>
      </c>
      <c r="FM86" s="1">
        <v>197.07599999999999</v>
      </c>
      <c r="FN86" s="1">
        <v>72.31</v>
      </c>
      <c r="FO86" s="1">
        <v>99.47999999999999</v>
      </c>
      <c r="FP86" s="1">
        <v>112.57</v>
      </c>
      <c r="FQ86" s="1">
        <v>0</v>
      </c>
      <c r="FR86" s="1">
        <v>0</v>
      </c>
      <c r="FS86" s="1">
        <v>0</v>
      </c>
      <c r="FT86" s="1">
        <v>0</v>
      </c>
      <c r="FU86" s="1">
        <v>0</v>
      </c>
      <c r="FV86" s="1">
        <v>0</v>
      </c>
      <c r="FW86" s="1">
        <v>0</v>
      </c>
      <c r="FX86" s="1">
        <v>0</v>
      </c>
      <c r="FY86" s="1">
        <v>0</v>
      </c>
      <c r="FZ86" s="1">
        <v>0</v>
      </c>
      <c r="GA86" s="1">
        <v>0</v>
      </c>
      <c r="GB86" s="1">
        <v>0</v>
      </c>
      <c r="GC86" s="1">
        <v>2231.23</v>
      </c>
      <c r="GD86" s="1">
        <v>2750.32</v>
      </c>
      <c r="GE86" s="1">
        <v>1449.85</v>
      </c>
      <c r="GF86" s="1">
        <v>1509.82</v>
      </c>
      <c r="GG86" s="1">
        <v>2231.23</v>
      </c>
      <c r="GH86" s="1">
        <v>2750.32</v>
      </c>
      <c r="GI86" s="1">
        <v>1449.85</v>
      </c>
      <c r="GJ86" s="1">
        <v>1509.82</v>
      </c>
      <c r="GK86" s="1">
        <v>0</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1631.8</v>
      </c>
      <c r="HF86" s="1">
        <v>3117.48</v>
      </c>
      <c r="HG86" s="1">
        <v>2968.11</v>
      </c>
      <c r="HH86" s="1">
        <v>2510.75</v>
      </c>
      <c r="HI86" s="1">
        <v>1631.8</v>
      </c>
      <c r="HJ86" s="1">
        <v>2749.47</v>
      </c>
      <c r="HK86" s="1">
        <v>2751.51</v>
      </c>
      <c r="HL86" s="1">
        <v>2371.4699999999998</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368.01</v>
      </c>
      <c r="IE86" s="1">
        <v>206.01</v>
      </c>
      <c r="IF86" s="1">
        <v>139.28</v>
      </c>
      <c r="IG86" s="1">
        <v>0</v>
      </c>
      <c r="IH86" s="1">
        <v>0</v>
      </c>
      <c r="II86" s="1">
        <v>10.59</v>
      </c>
      <c r="IJ86" s="1">
        <v>0</v>
      </c>
      <c r="IK86" s="1">
        <v>0</v>
      </c>
      <c r="IL86" s="1">
        <v>0</v>
      </c>
      <c r="IM86" s="1">
        <v>0</v>
      </c>
      <c r="IN86" s="1">
        <v>0</v>
      </c>
      <c r="IO86" s="1">
        <v>58.48</v>
      </c>
      <c r="IP86" s="1">
        <v>65.308000000000007</v>
      </c>
      <c r="IQ86" s="1">
        <v>56.64</v>
      </c>
      <c r="IR86" s="1">
        <v>57.03</v>
      </c>
      <c r="IS86" s="1">
        <v>44.44</v>
      </c>
      <c r="IT86" s="1">
        <v>27.97</v>
      </c>
      <c r="IU86" s="1">
        <v>4.3600000000000003</v>
      </c>
      <c r="IV86" s="1">
        <v>2.21</v>
      </c>
      <c r="IW86" s="1">
        <v>14.04</v>
      </c>
      <c r="IX86" s="1">
        <v>31.488</v>
      </c>
      <c r="IY86" s="1">
        <v>52.28</v>
      </c>
      <c r="IZ86" s="1">
        <v>54.82</v>
      </c>
      <c r="JA86" s="1">
        <v>0</v>
      </c>
      <c r="JB86" s="1">
        <v>0</v>
      </c>
      <c r="JC86" s="1">
        <v>0</v>
      </c>
      <c r="JD86" s="1">
        <v>0</v>
      </c>
      <c r="JE86" s="1">
        <v>0</v>
      </c>
      <c r="JF86" s="1">
        <v>5.85</v>
      </c>
      <c r="JG86" s="1">
        <v>0</v>
      </c>
      <c r="JH86" s="1">
        <v>0</v>
      </c>
      <c r="JI86" s="1">
        <v>0</v>
      </c>
      <c r="JJ86" s="1">
        <v>0</v>
      </c>
      <c r="JK86" s="1">
        <v>0</v>
      </c>
      <c r="JL86" s="1">
        <v>0</v>
      </c>
      <c r="JM86" s="1">
        <v>0</v>
      </c>
      <c r="JN86" s="1">
        <v>0</v>
      </c>
      <c r="JO86" s="1">
        <v>0</v>
      </c>
      <c r="JP86" s="1">
        <v>0</v>
      </c>
      <c r="JQ86" s="9"/>
      <c r="JR86" s="1">
        <f t="shared" si="25"/>
        <v>6421.2857999999969</v>
      </c>
      <c r="JS86" s="1">
        <f t="shared" si="25"/>
        <v>10040.606099999999</v>
      </c>
      <c r="JT86" s="1">
        <f t="shared" si="25"/>
        <v>9025.7219999999998</v>
      </c>
      <c r="JU86" s="1">
        <f t="shared" si="25"/>
        <v>7919.950499999999</v>
      </c>
      <c r="JV86" s="1">
        <f t="shared" si="26"/>
        <v>1189.1269999999993</v>
      </c>
      <c r="JW86" s="1">
        <f t="shared" si="26"/>
        <v>1859.3714999999997</v>
      </c>
      <c r="JX86" s="1">
        <f t="shared" si="26"/>
        <v>1671.43</v>
      </c>
      <c r="JY86" s="1">
        <f t="shared" si="26"/>
        <v>1466.6574999999998</v>
      </c>
    </row>
    <row r="87" spans="1:285" x14ac:dyDescent="0.35">
      <c r="A87" s="2" t="s">
        <v>94</v>
      </c>
      <c r="B87" s="1">
        <v>134569</v>
      </c>
      <c r="C87" s="1">
        <v>134941</v>
      </c>
      <c r="D87" s="1">
        <v>134889</v>
      </c>
      <c r="E87" s="1">
        <v>136176</v>
      </c>
      <c r="F87" s="1">
        <v>49148.516000000003</v>
      </c>
      <c r="G87" s="1">
        <v>48974.832999999999</v>
      </c>
      <c r="H87" s="1">
        <v>42457.476000000002</v>
      </c>
      <c r="I87" s="1">
        <v>42565.106</v>
      </c>
      <c r="J87" s="1">
        <f t="shared" si="27"/>
        <v>33500.245999999999</v>
      </c>
      <c r="K87" s="1">
        <f t="shared" si="28"/>
        <v>32777.476999999999</v>
      </c>
      <c r="L87" s="1">
        <f t="shared" si="29"/>
        <v>27977.644</v>
      </c>
      <c r="M87" s="1">
        <f t="shared" si="30"/>
        <v>28650.880000000001</v>
      </c>
      <c r="N87" s="1">
        <f t="shared" si="31"/>
        <v>15648.270000000004</v>
      </c>
      <c r="O87" s="1">
        <f t="shared" si="32"/>
        <v>16197.356</v>
      </c>
      <c r="P87" s="1">
        <f t="shared" si="33"/>
        <v>14479.832000000002</v>
      </c>
      <c r="Q87" s="1">
        <f t="shared" si="34"/>
        <v>13914.225999999999</v>
      </c>
      <c r="R87" s="1">
        <v>0</v>
      </c>
      <c r="S87" s="1">
        <v>0</v>
      </c>
      <c r="T87" s="1">
        <v>0</v>
      </c>
      <c r="U87" s="1">
        <v>0</v>
      </c>
      <c r="V87" s="1">
        <v>0</v>
      </c>
      <c r="W87" s="1">
        <v>0</v>
      </c>
      <c r="X87" s="1">
        <v>0</v>
      </c>
      <c r="Y87" s="1">
        <v>0</v>
      </c>
      <c r="Z87" s="1">
        <v>0</v>
      </c>
      <c r="AA87" s="1">
        <v>0</v>
      </c>
      <c r="AB87" s="1">
        <v>0</v>
      </c>
      <c r="AC87" s="1">
        <v>0</v>
      </c>
      <c r="AD87" s="1">
        <v>0</v>
      </c>
      <c r="AE87" s="1">
        <v>0</v>
      </c>
      <c r="AF87" s="1">
        <v>0</v>
      </c>
      <c r="AG87" s="1">
        <v>0</v>
      </c>
      <c r="AH87" s="1">
        <v>0</v>
      </c>
      <c r="AI87" s="1">
        <v>0</v>
      </c>
      <c r="AJ87" s="1">
        <v>0</v>
      </c>
      <c r="AK87" s="1">
        <v>0</v>
      </c>
      <c r="AL87" s="1">
        <v>0</v>
      </c>
      <c r="AM87" s="1">
        <v>0</v>
      </c>
      <c r="AN87" s="1">
        <v>0</v>
      </c>
      <c r="AO87" s="1">
        <v>0</v>
      </c>
      <c r="AP87" s="1">
        <v>18544.22</v>
      </c>
      <c r="AQ87" s="1">
        <v>17993.54</v>
      </c>
      <c r="AR87" s="1">
        <v>14893.279999999999</v>
      </c>
      <c r="AS87" s="1">
        <v>16435.7</v>
      </c>
      <c r="AT87" s="1">
        <v>0</v>
      </c>
      <c r="AU87" s="1">
        <v>18544.22</v>
      </c>
      <c r="AV87" s="1">
        <v>0</v>
      </c>
      <c r="AW87" s="1">
        <v>0</v>
      </c>
      <c r="AX87" s="1">
        <v>0</v>
      </c>
      <c r="AY87" s="1">
        <v>17993.54</v>
      </c>
      <c r="AZ87" s="1">
        <v>0</v>
      </c>
      <c r="BA87" s="1">
        <v>0</v>
      </c>
      <c r="BB87" s="1">
        <v>14893.279999999999</v>
      </c>
      <c r="BC87" s="1">
        <v>0</v>
      </c>
      <c r="BD87" s="1">
        <v>0</v>
      </c>
      <c r="BE87" s="1">
        <v>16435.7</v>
      </c>
      <c r="BF87" s="1">
        <v>0</v>
      </c>
      <c r="BG87" s="1">
        <v>0</v>
      </c>
      <c r="BH87" s="1">
        <v>0</v>
      </c>
      <c r="BI87" s="1">
        <v>0</v>
      </c>
      <c r="BJ87" s="1">
        <v>0</v>
      </c>
      <c r="BK87" s="1">
        <v>0</v>
      </c>
      <c r="BL87" s="1">
        <v>0</v>
      </c>
      <c r="BM87" s="1">
        <v>0</v>
      </c>
      <c r="BN87" s="1">
        <v>0</v>
      </c>
      <c r="BO87" s="1">
        <v>0</v>
      </c>
      <c r="BP87" s="1">
        <v>0</v>
      </c>
      <c r="BQ87" s="1">
        <v>0</v>
      </c>
      <c r="BR87" s="1">
        <v>0</v>
      </c>
      <c r="BS87" s="1">
        <v>0</v>
      </c>
      <c r="BT87" s="1">
        <v>0</v>
      </c>
      <c r="BU87" s="1">
        <v>8825.6830000000009</v>
      </c>
      <c r="BV87" s="1">
        <v>8743.4850000000006</v>
      </c>
      <c r="BW87" s="1">
        <v>7820.5609999999997</v>
      </c>
      <c r="BX87" s="1">
        <v>7496.0590000000002</v>
      </c>
      <c r="BY87" s="1">
        <v>8825.6830000000009</v>
      </c>
      <c r="BZ87" s="1">
        <v>8743.4850000000006</v>
      </c>
      <c r="CA87" s="1">
        <v>7820.5609999999997</v>
      </c>
      <c r="CB87" s="1">
        <v>7496.0590000000002</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1560.778</v>
      </c>
      <c r="CT87" s="1">
        <v>1525.2619999999999</v>
      </c>
      <c r="CU87" s="1">
        <v>1803.462</v>
      </c>
      <c r="CV87" s="1">
        <v>1108.433</v>
      </c>
      <c r="CW87" s="1">
        <v>1560.778</v>
      </c>
      <c r="CX87" s="1">
        <v>1525.2619999999999</v>
      </c>
      <c r="CY87" s="1">
        <v>1803.462</v>
      </c>
      <c r="CZ87" s="1">
        <v>1108.433</v>
      </c>
      <c r="DA87" s="1">
        <v>0</v>
      </c>
      <c r="DB87" s="1">
        <v>0</v>
      </c>
      <c r="DC87" s="1">
        <v>0</v>
      </c>
      <c r="DD87" s="1">
        <v>0</v>
      </c>
      <c r="DE87" s="1">
        <v>0</v>
      </c>
      <c r="DF87" s="1">
        <v>0</v>
      </c>
      <c r="DG87" s="1">
        <v>0</v>
      </c>
      <c r="DH87" s="1">
        <v>0</v>
      </c>
      <c r="DI87" s="1">
        <v>0</v>
      </c>
      <c r="DJ87" s="1">
        <v>0</v>
      </c>
      <c r="DK87" s="1">
        <v>0</v>
      </c>
      <c r="DL87" s="1">
        <v>0</v>
      </c>
      <c r="DM87" s="1">
        <v>3457.6950000000002</v>
      </c>
      <c r="DN87" s="1">
        <v>3364.6179999999999</v>
      </c>
      <c r="DO87" s="1">
        <v>2426.73</v>
      </c>
      <c r="DP87" s="1">
        <v>2327.2890000000002</v>
      </c>
      <c r="DQ87" s="1">
        <v>3457.6950000000002</v>
      </c>
      <c r="DR87" s="1">
        <v>3364.6179999999999</v>
      </c>
      <c r="DS87" s="1">
        <v>2426.73</v>
      </c>
      <c r="DT87" s="1">
        <v>2327.2890000000002</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821.18000000000006</v>
      </c>
      <c r="EL87" s="1">
        <v>878.59899999999993</v>
      </c>
      <c r="EM87" s="1">
        <v>861.04399999999998</v>
      </c>
      <c r="EN87" s="1">
        <v>1048.0830000000001</v>
      </c>
      <c r="EO87" s="1">
        <v>821.18000000000006</v>
      </c>
      <c r="EP87" s="1">
        <v>878.59899999999993</v>
      </c>
      <c r="EQ87" s="1">
        <v>861.04399999999998</v>
      </c>
      <c r="ER87" s="1">
        <v>1048.0830000000001</v>
      </c>
      <c r="ES87" s="1">
        <v>0</v>
      </c>
      <c r="ET87" s="1">
        <v>0</v>
      </c>
      <c r="EU87" s="1">
        <v>0</v>
      </c>
      <c r="EV87" s="1">
        <v>0</v>
      </c>
      <c r="EW87" s="1">
        <v>0</v>
      </c>
      <c r="EX87" s="1">
        <v>0</v>
      </c>
      <c r="EY87" s="1">
        <v>0</v>
      </c>
      <c r="EZ87" s="1">
        <v>0</v>
      </c>
      <c r="FA87" s="1">
        <v>0</v>
      </c>
      <c r="FB87" s="1">
        <v>0</v>
      </c>
      <c r="FC87" s="1">
        <v>0</v>
      </c>
      <c r="FD87" s="1">
        <v>0</v>
      </c>
      <c r="FE87" s="1">
        <v>75.924999999999997</v>
      </c>
      <c r="FF87" s="1">
        <v>72.844999999999999</v>
      </c>
      <c r="FG87" s="1">
        <v>49.28</v>
      </c>
      <c r="FH87" s="1">
        <v>62.002000000000002</v>
      </c>
      <c r="FI87" s="1">
        <v>75.924999999999997</v>
      </c>
      <c r="FJ87" s="1">
        <v>72.844999999999999</v>
      </c>
      <c r="FK87" s="1">
        <v>49.28</v>
      </c>
      <c r="FL87" s="1">
        <v>62.002000000000002</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214.76499999999999</v>
      </c>
      <c r="GD87" s="1">
        <v>199.12799999999999</v>
      </c>
      <c r="GE87" s="1">
        <v>123.28700000000001</v>
      </c>
      <c r="GF87" s="1">
        <v>173.31399999999999</v>
      </c>
      <c r="GG87" s="1">
        <v>123.44199999999999</v>
      </c>
      <c r="GH87" s="1">
        <v>114.282</v>
      </c>
      <c r="GI87" s="1">
        <v>71.314999999999998</v>
      </c>
      <c r="GJ87" s="1">
        <v>63.134</v>
      </c>
      <c r="GK87" s="1">
        <v>91.323000000000008</v>
      </c>
      <c r="GL87" s="1">
        <v>84.846000000000004</v>
      </c>
      <c r="GM87" s="1">
        <v>51.972000000000008</v>
      </c>
      <c r="GN87" s="1">
        <v>110.18</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0</v>
      </c>
      <c r="JO87" s="1">
        <v>0</v>
      </c>
      <c r="JP87" s="1">
        <v>0</v>
      </c>
      <c r="JQ87" s="9"/>
      <c r="JR87" s="1">
        <f t="shared" si="25"/>
        <v>4225.0329000000011</v>
      </c>
      <c r="JS87" s="1">
        <f t="shared" si="25"/>
        <v>4373.2861200000007</v>
      </c>
      <c r="JT87" s="1">
        <f t="shared" si="25"/>
        <v>3909.5546400000007</v>
      </c>
      <c r="JU87" s="1">
        <f t="shared" si="25"/>
        <v>3756.8410199999998</v>
      </c>
      <c r="JV87" s="1">
        <f t="shared" si="26"/>
        <v>782.41350000000023</v>
      </c>
      <c r="JW87" s="1">
        <f t="shared" si="26"/>
        <v>809.86779999999999</v>
      </c>
      <c r="JX87" s="1">
        <f t="shared" si="26"/>
        <v>723.99160000000018</v>
      </c>
      <c r="JY87" s="1">
        <f t="shared" si="26"/>
        <v>695.71129999999994</v>
      </c>
    </row>
    <row r="88" spans="1:285" x14ac:dyDescent="0.35">
      <c r="A88" s="2" t="s">
        <v>95</v>
      </c>
      <c r="B88" s="1">
        <v>81197</v>
      </c>
      <c r="C88" s="1">
        <v>81006</v>
      </c>
      <c r="D88" s="1">
        <v>81386</v>
      </c>
      <c r="E88" s="1">
        <v>82614</v>
      </c>
      <c r="F88" s="1">
        <v>28670.799999999999</v>
      </c>
      <c r="G88" s="1">
        <v>28006.400000000001</v>
      </c>
      <c r="H88" s="1">
        <v>24819.37</v>
      </c>
      <c r="I88" s="1">
        <v>24303.14</v>
      </c>
      <c r="J88" s="1">
        <f t="shared" si="27"/>
        <v>17209.400000000001</v>
      </c>
      <c r="K88" s="1">
        <f t="shared" si="28"/>
        <v>19554.400000000001</v>
      </c>
      <c r="L88" s="1">
        <f t="shared" si="29"/>
        <v>16826.84</v>
      </c>
      <c r="M88" s="1">
        <f t="shared" si="30"/>
        <v>16156.330000000002</v>
      </c>
      <c r="N88" s="1">
        <f t="shared" si="31"/>
        <v>11461.399999999998</v>
      </c>
      <c r="O88" s="1">
        <f t="shared" si="32"/>
        <v>8452</v>
      </c>
      <c r="P88" s="1">
        <f t="shared" si="33"/>
        <v>7992.5299999999988</v>
      </c>
      <c r="Q88" s="1">
        <f t="shared" si="34"/>
        <v>8146.8099999999977</v>
      </c>
      <c r="R88" s="1">
        <v>2591</v>
      </c>
      <c r="S88" s="1">
        <v>2627</v>
      </c>
      <c r="T88" s="1">
        <v>2297.3000000000002</v>
      </c>
      <c r="U88" s="1">
        <v>2318.33</v>
      </c>
      <c r="V88" s="1">
        <v>0</v>
      </c>
      <c r="W88" s="1">
        <v>0</v>
      </c>
      <c r="X88" s="1">
        <v>2591</v>
      </c>
      <c r="Y88" s="1">
        <v>0</v>
      </c>
      <c r="Z88" s="1">
        <v>0</v>
      </c>
      <c r="AA88" s="1">
        <v>2627</v>
      </c>
      <c r="AB88" s="1">
        <v>0</v>
      </c>
      <c r="AC88" s="1">
        <v>0</v>
      </c>
      <c r="AD88" s="1">
        <v>2297.3000000000002</v>
      </c>
      <c r="AE88" s="1">
        <v>0</v>
      </c>
      <c r="AF88" s="1">
        <v>0</v>
      </c>
      <c r="AG88" s="1">
        <v>2318.33</v>
      </c>
      <c r="AH88" s="1">
        <v>0</v>
      </c>
      <c r="AI88" s="1">
        <v>0</v>
      </c>
      <c r="AJ88" s="1">
        <v>0</v>
      </c>
      <c r="AK88" s="1">
        <v>0</v>
      </c>
      <c r="AL88" s="1">
        <v>0</v>
      </c>
      <c r="AM88" s="1">
        <v>0</v>
      </c>
      <c r="AN88" s="1">
        <v>0</v>
      </c>
      <c r="AO88" s="1">
        <v>0</v>
      </c>
      <c r="AP88" s="1">
        <v>3225</v>
      </c>
      <c r="AQ88" s="1">
        <v>5693</v>
      </c>
      <c r="AR88" s="1">
        <v>4521.5</v>
      </c>
      <c r="AS88" s="1">
        <v>5128.5</v>
      </c>
      <c r="AT88" s="1">
        <v>0</v>
      </c>
      <c r="AU88" s="1">
        <v>3225</v>
      </c>
      <c r="AV88" s="1">
        <v>0</v>
      </c>
      <c r="AW88" s="1">
        <v>0</v>
      </c>
      <c r="AX88" s="1">
        <v>0</v>
      </c>
      <c r="AY88" s="1">
        <v>5693</v>
      </c>
      <c r="AZ88" s="1">
        <v>0</v>
      </c>
      <c r="BA88" s="1">
        <v>0</v>
      </c>
      <c r="BB88" s="1">
        <v>4521.5</v>
      </c>
      <c r="BC88" s="1">
        <v>0</v>
      </c>
      <c r="BD88" s="1">
        <v>0</v>
      </c>
      <c r="BE88" s="1">
        <v>4107.42</v>
      </c>
      <c r="BF88" s="1">
        <v>1021.08</v>
      </c>
      <c r="BG88" s="1">
        <v>0</v>
      </c>
      <c r="BH88" s="1">
        <v>0</v>
      </c>
      <c r="BI88" s="1">
        <v>0</v>
      </c>
      <c r="BJ88" s="1">
        <v>0</v>
      </c>
      <c r="BK88" s="1">
        <v>0</v>
      </c>
      <c r="BL88" s="1">
        <v>0</v>
      </c>
      <c r="BM88" s="1">
        <v>0</v>
      </c>
      <c r="BN88" s="1">
        <v>0</v>
      </c>
      <c r="BO88" s="1">
        <v>0</v>
      </c>
      <c r="BP88" s="1">
        <v>0</v>
      </c>
      <c r="BQ88" s="1">
        <v>0</v>
      </c>
      <c r="BR88" s="1">
        <v>0</v>
      </c>
      <c r="BS88" s="1">
        <v>0</v>
      </c>
      <c r="BT88" s="1">
        <v>0</v>
      </c>
      <c r="BU88" s="1">
        <v>4364</v>
      </c>
      <c r="BV88" s="1">
        <v>4409</v>
      </c>
      <c r="BW88" s="1">
        <v>3776.99</v>
      </c>
      <c r="BX88" s="1">
        <v>3410.58</v>
      </c>
      <c r="BY88" s="1">
        <v>4364</v>
      </c>
      <c r="BZ88" s="1">
        <v>4409</v>
      </c>
      <c r="CA88" s="1">
        <v>3776.99</v>
      </c>
      <c r="CB88" s="1">
        <v>3410.58</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1037</v>
      </c>
      <c r="CT88" s="1">
        <v>983</v>
      </c>
      <c r="CU88" s="1">
        <v>883.5</v>
      </c>
      <c r="CV88" s="1">
        <v>872.6</v>
      </c>
      <c r="CW88" s="1">
        <v>1037</v>
      </c>
      <c r="CX88" s="1">
        <v>983</v>
      </c>
      <c r="CY88" s="1">
        <v>883.5</v>
      </c>
      <c r="CZ88" s="1">
        <v>872.6</v>
      </c>
      <c r="DA88" s="1">
        <v>0</v>
      </c>
      <c r="DB88" s="1">
        <v>0</v>
      </c>
      <c r="DC88" s="1">
        <v>0</v>
      </c>
      <c r="DD88" s="1">
        <v>0</v>
      </c>
      <c r="DE88" s="1">
        <v>0</v>
      </c>
      <c r="DF88" s="1">
        <v>0</v>
      </c>
      <c r="DG88" s="1">
        <v>0</v>
      </c>
      <c r="DH88" s="1">
        <v>0</v>
      </c>
      <c r="DI88" s="1">
        <v>0</v>
      </c>
      <c r="DJ88" s="1">
        <v>0</v>
      </c>
      <c r="DK88" s="1">
        <v>0</v>
      </c>
      <c r="DL88" s="1">
        <v>0</v>
      </c>
      <c r="DM88" s="1">
        <v>5114</v>
      </c>
      <c r="DN88" s="1">
        <v>4977</v>
      </c>
      <c r="DO88" s="1">
        <v>4464.01</v>
      </c>
      <c r="DP88" s="1">
        <v>3759.1</v>
      </c>
      <c r="DQ88" s="1">
        <v>5114</v>
      </c>
      <c r="DR88" s="1">
        <v>4977</v>
      </c>
      <c r="DS88" s="1">
        <v>4464.01</v>
      </c>
      <c r="DT88" s="1">
        <v>3759.1</v>
      </c>
      <c r="DU88" s="1">
        <v>0</v>
      </c>
      <c r="DV88" s="1">
        <v>0</v>
      </c>
      <c r="DW88" s="1">
        <v>0</v>
      </c>
      <c r="DX88" s="1">
        <v>0</v>
      </c>
      <c r="DY88" s="1">
        <v>0</v>
      </c>
      <c r="DZ88" s="1">
        <v>0</v>
      </c>
      <c r="EA88" s="1">
        <v>0</v>
      </c>
      <c r="EB88" s="1">
        <v>0</v>
      </c>
      <c r="EC88" s="1">
        <v>0</v>
      </c>
      <c r="ED88" s="1">
        <v>0</v>
      </c>
      <c r="EE88" s="1">
        <v>0</v>
      </c>
      <c r="EF88" s="1">
        <v>0</v>
      </c>
      <c r="EG88" s="1">
        <v>0</v>
      </c>
      <c r="EH88" s="1">
        <v>0</v>
      </c>
      <c r="EI88" s="1">
        <v>0</v>
      </c>
      <c r="EJ88" s="1">
        <v>0</v>
      </c>
      <c r="EK88" s="1">
        <v>417.4</v>
      </c>
      <c r="EL88" s="1">
        <v>418</v>
      </c>
      <c r="EM88" s="1">
        <v>463.38</v>
      </c>
      <c r="EN88" s="1">
        <v>302.42</v>
      </c>
      <c r="EO88" s="1">
        <v>417.4</v>
      </c>
      <c r="EP88" s="1">
        <v>418</v>
      </c>
      <c r="EQ88" s="1">
        <v>463.38</v>
      </c>
      <c r="ER88" s="1">
        <v>302.42</v>
      </c>
      <c r="ES88" s="1">
        <v>0</v>
      </c>
      <c r="ET88" s="1">
        <v>0</v>
      </c>
      <c r="EU88" s="1">
        <v>0</v>
      </c>
      <c r="EV88" s="1">
        <v>0</v>
      </c>
      <c r="EW88" s="1">
        <v>0</v>
      </c>
      <c r="EX88" s="1">
        <v>0</v>
      </c>
      <c r="EY88" s="1">
        <v>0</v>
      </c>
      <c r="EZ88" s="1">
        <v>0</v>
      </c>
      <c r="FA88" s="1">
        <v>0</v>
      </c>
      <c r="FB88" s="1">
        <v>0</v>
      </c>
      <c r="FC88" s="1">
        <v>0</v>
      </c>
      <c r="FD88" s="1">
        <v>0</v>
      </c>
      <c r="FE88" s="1">
        <v>54</v>
      </c>
      <c r="FF88" s="1">
        <v>53</v>
      </c>
      <c r="FG88" s="1">
        <v>44.84</v>
      </c>
      <c r="FH88" s="1">
        <v>41.27</v>
      </c>
      <c r="FI88" s="1">
        <v>27</v>
      </c>
      <c r="FJ88" s="1">
        <v>28</v>
      </c>
      <c r="FK88" s="1">
        <v>22.8</v>
      </c>
      <c r="FL88" s="1">
        <v>21.2</v>
      </c>
      <c r="FM88" s="1">
        <v>27</v>
      </c>
      <c r="FN88" s="1">
        <v>25</v>
      </c>
      <c r="FO88" s="1">
        <v>22.04</v>
      </c>
      <c r="FP88" s="1">
        <v>20.07</v>
      </c>
      <c r="FQ88" s="1">
        <v>0</v>
      </c>
      <c r="FR88" s="1">
        <v>0</v>
      </c>
      <c r="FS88" s="1">
        <v>0</v>
      </c>
      <c r="FT88" s="1">
        <v>0</v>
      </c>
      <c r="FU88" s="1">
        <v>0</v>
      </c>
      <c r="FV88" s="1">
        <v>0</v>
      </c>
      <c r="FW88" s="1">
        <v>0</v>
      </c>
      <c r="FX88" s="1">
        <v>0</v>
      </c>
      <c r="FY88" s="1">
        <v>0</v>
      </c>
      <c r="FZ88" s="1">
        <v>0</v>
      </c>
      <c r="GA88" s="1">
        <v>0</v>
      </c>
      <c r="GB88" s="1">
        <v>0</v>
      </c>
      <c r="GC88" s="1">
        <v>26</v>
      </c>
      <c r="GD88" s="1">
        <v>50.4</v>
      </c>
      <c r="GE88" s="1">
        <v>32.909999999999997</v>
      </c>
      <c r="GF88" s="1">
        <v>30.68</v>
      </c>
      <c r="GG88" s="1">
        <v>26</v>
      </c>
      <c r="GH88" s="1">
        <v>50.4</v>
      </c>
      <c r="GI88" s="1">
        <v>32.909999999999997</v>
      </c>
      <c r="GJ88" s="1">
        <v>30.68</v>
      </c>
      <c r="GK88" s="1">
        <v>0</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381</v>
      </c>
      <c r="IP88" s="1">
        <v>344</v>
      </c>
      <c r="IQ88" s="1">
        <v>342.41</v>
      </c>
      <c r="IR88" s="1">
        <v>292.85000000000002</v>
      </c>
      <c r="IS88" s="1">
        <v>381</v>
      </c>
      <c r="IT88" s="1">
        <v>344</v>
      </c>
      <c r="IU88" s="1">
        <v>342.41</v>
      </c>
      <c r="IV88" s="1">
        <v>292.85000000000002</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0</v>
      </c>
      <c r="JO88" s="1">
        <v>0</v>
      </c>
      <c r="JP88" s="1">
        <v>0</v>
      </c>
      <c r="JQ88" s="9"/>
      <c r="JR88" s="1">
        <f t="shared" si="25"/>
        <v>3094.5779999999995</v>
      </c>
      <c r="JS88" s="1">
        <f t="shared" si="25"/>
        <v>2282.04</v>
      </c>
      <c r="JT88" s="1">
        <f t="shared" si="25"/>
        <v>2157.9830999999999</v>
      </c>
      <c r="JU88" s="1">
        <f t="shared" si="25"/>
        <v>2199.6386999999995</v>
      </c>
      <c r="JV88" s="1">
        <f t="shared" si="26"/>
        <v>573.06999999999994</v>
      </c>
      <c r="JW88" s="1">
        <f t="shared" si="26"/>
        <v>422.6</v>
      </c>
      <c r="JX88" s="1">
        <f t="shared" si="26"/>
        <v>399.62649999999996</v>
      </c>
      <c r="JY88" s="1">
        <f t="shared" si="26"/>
        <v>407.34049999999991</v>
      </c>
    </row>
    <row r="89" spans="1:285" x14ac:dyDescent="0.35">
      <c r="A89" s="2" t="s">
        <v>96</v>
      </c>
      <c r="B89" s="1">
        <v>113348</v>
      </c>
      <c r="C89" s="1">
        <v>113039</v>
      </c>
      <c r="D89" s="1">
        <v>112997</v>
      </c>
      <c r="E89" s="1">
        <v>114156</v>
      </c>
      <c r="F89" s="1">
        <v>51848.95</v>
      </c>
      <c r="G89" s="1">
        <v>46116.89</v>
      </c>
      <c r="H89" s="1">
        <v>39744.089999999997</v>
      </c>
      <c r="I89" s="1">
        <v>48043.474000000002</v>
      </c>
      <c r="J89" s="1">
        <f t="shared" si="27"/>
        <v>39256.22</v>
      </c>
      <c r="K89" s="1">
        <f t="shared" si="28"/>
        <v>33905.800000000003</v>
      </c>
      <c r="L89" s="1">
        <f t="shared" si="29"/>
        <v>28434.836999999996</v>
      </c>
      <c r="M89" s="1">
        <f t="shared" si="30"/>
        <v>37402.974000000002</v>
      </c>
      <c r="N89" s="1">
        <f t="shared" si="31"/>
        <v>12592.729999999996</v>
      </c>
      <c r="O89" s="1">
        <f t="shared" si="32"/>
        <v>12211.089999999997</v>
      </c>
      <c r="P89" s="1">
        <f t="shared" si="33"/>
        <v>11309.253000000001</v>
      </c>
      <c r="Q89" s="1">
        <f t="shared" si="34"/>
        <v>10640.5</v>
      </c>
      <c r="R89" s="1">
        <v>0</v>
      </c>
      <c r="S89" s="1">
        <v>0</v>
      </c>
      <c r="T89" s="1">
        <v>0</v>
      </c>
      <c r="U89" s="1">
        <v>0</v>
      </c>
      <c r="V89" s="1">
        <v>0</v>
      </c>
      <c r="W89" s="1">
        <v>0</v>
      </c>
      <c r="X89" s="1">
        <v>0</v>
      </c>
      <c r="Y89" s="1">
        <v>0</v>
      </c>
      <c r="Z89" s="1">
        <v>0</v>
      </c>
      <c r="AA89" s="1">
        <v>0</v>
      </c>
      <c r="AB89" s="1">
        <v>0</v>
      </c>
      <c r="AC89" s="1">
        <v>0</v>
      </c>
      <c r="AD89" s="1">
        <v>0</v>
      </c>
      <c r="AE89" s="1">
        <v>0</v>
      </c>
      <c r="AF89" s="1">
        <v>0</v>
      </c>
      <c r="AG89" s="1">
        <v>0</v>
      </c>
      <c r="AH89" s="1">
        <v>0</v>
      </c>
      <c r="AI89" s="1">
        <v>0</v>
      </c>
      <c r="AJ89" s="1">
        <v>0</v>
      </c>
      <c r="AK89" s="1">
        <v>0</v>
      </c>
      <c r="AL89" s="1">
        <v>0</v>
      </c>
      <c r="AM89" s="1">
        <v>0</v>
      </c>
      <c r="AN89" s="1">
        <v>0</v>
      </c>
      <c r="AO89" s="1">
        <v>0</v>
      </c>
      <c r="AP89" s="1">
        <v>9178.5299999999988</v>
      </c>
      <c r="AQ89" s="1">
        <v>9358.65</v>
      </c>
      <c r="AR89" s="1">
        <v>7980.91</v>
      </c>
      <c r="AS89" s="1">
        <v>9265.18</v>
      </c>
      <c r="AT89" s="1">
        <v>0</v>
      </c>
      <c r="AU89" s="1">
        <v>9178.5299999999988</v>
      </c>
      <c r="AV89" s="1">
        <v>0</v>
      </c>
      <c r="AW89" s="1">
        <v>0</v>
      </c>
      <c r="AX89" s="1">
        <v>0</v>
      </c>
      <c r="AY89" s="1">
        <v>9358.65</v>
      </c>
      <c r="AZ89" s="1">
        <v>0</v>
      </c>
      <c r="BA89" s="1">
        <v>0</v>
      </c>
      <c r="BB89" s="1">
        <v>0</v>
      </c>
      <c r="BC89" s="1">
        <v>7980.91</v>
      </c>
      <c r="BD89" s="1">
        <v>0</v>
      </c>
      <c r="BE89" s="1">
        <v>0</v>
      </c>
      <c r="BF89" s="1">
        <v>9265.18</v>
      </c>
      <c r="BG89" s="1">
        <v>0</v>
      </c>
      <c r="BH89" s="1">
        <v>0</v>
      </c>
      <c r="BI89" s="1">
        <v>0</v>
      </c>
      <c r="BJ89" s="1">
        <v>0</v>
      </c>
      <c r="BK89" s="1">
        <v>0</v>
      </c>
      <c r="BL89" s="1">
        <v>0</v>
      </c>
      <c r="BM89" s="1">
        <v>0</v>
      </c>
      <c r="BN89" s="1">
        <v>0</v>
      </c>
      <c r="BO89" s="1">
        <v>0</v>
      </c>
      <c r="BP89" s="1">
        <v>0</v>
      </c>
      <c r="BQ89" s="1">
        <v>0</v>
      </c>
      <c r="BR89" s="1">
        <v>0</v>
      </c>
      <c r="BS89" s="1">
        <v>0</v>
      </c>
      <c r="BT89" s="1">
        <v>0</v>
      </c>
      <c r="BU89" s="1">
        <v>10350.35</v>
      </c>
      <c r="BV89" s="1">
        <v>10482.81</v>
      </c>
      <c r="BW89" s="1">
        <v>8509.4180000000015</v>
      </c>
      <c r="BX89" s="1">
        <v>9396.2620000000006</v>
      </c>
      <c r="BY89" s="1">
        <v>10350.35</v>
      </c>
      <c r="BZ89" s="1">
        <v>10482.81</v>
      </c>
      <c r="CA89" s="1">
        <v>8509.4180000000015</v>
      </c>
      <c r="CB89" s="1">
        <v>9396.2620000000006</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10240.6</v>
      </c>
      <c r="CT89" s="1">
        <v>5341.82</v>
      </c>
      <c r="CU89" s="1">
        <v>4263.0959999999995</v>
      </c>
      <c r="CV89" s="1">
        <v>7394.7620000000006</v>
      </c>
      <c r="CW89" s="1">
        <v>10240.6</v>
      </c>
      <c r="CX89" s="1">
        <v>5341.82</v>
      </c>
      <c r="CY89" s="1">
        <v>4263.0959999999995</v>
      </c>
      <c r="CZ89" s="1">
        <v>7394.7620000000006</v>
      </c>
      <c r="DA89" s="1">
        <v>0</v>
      </c>
      <c r="DB89" s="1">
        <v>0</v>
      </c>
      <c r="DC89" s="1">
        <v>0</v>
      </c>
      <c r="DD89" s="1">
        <v>0</v>
      </c>
      <c r="DE89" s="1">
        <v>0</v>
      </c>
      <c r="DF89" s="1">
        <v>0</v>
      </c>
      <c r="DG89" s="1">
        <v>0</v>
      </c>
      <c r="DH89" s="1">
        <v>0</v>
      </c>
      <c r="DI89" s="1">
        <v>0</v>
      </c>
      <c r="DJ89" s="1">
        <v>0</v>
      </c>
      <c r="DK89" s="1">
        <v>0</v>
      </c>
      <c r="DL89" s="1">
        <v>0</v>
      </c>
      <c r="DM89" s="1">
        <v>3391.41</v>
      </c>
      <c r="DN89" s="1">
        <v>3420.79</v>
      </c>
      <c r="DO89" s="1">
        <v>3422.973</v>
      </c>
      <c r="DP89" s="1">
        <v>2764.509</v>
      </c>
      <c r="DQ89" s="1">
        <v>3391.41</v>
      </c>
      <c r="DR89" s="1">
        <v>3420.79</v>
      </c>
      <c r="DS89" s="1">
        <v>3422.973</v>
      </c>
      <c r="DT89" s="1">
        <v>2764.509</v>
      </c>
      <c r="DU89" s="1">
        <v>0</v>
      </c>
      <c r="DV89" s="1">
        <v>0</v>
      </c>
      <c r="DW89" s="1">
        <v>0</v>
      </c>
      <c r="DX89" s="1">
        <v>0</v>
      </c>
      <c r="DY89" s="1">
        <v>0</v>
      </c>
      <c r="DZ89" s="1">
        <v>0</v>
      </c>
      <c r="EA89" s="1">
        <v>0</v>
      </c>
      <c r="EB89" s="1">
        <v>0</v>
      </c>
      <c r="EC89" s="1">
        <v>0</v>
      </c>
      <c r="ED89" s="1">
        <v>0</v>
      </c>
      <c r="EE89" s="1">
        <v>0</v>
      </c>
      <c r="EF89" s="1">
        <v>0</v>
      </c>
      <c r="EG89" s="1">
        <v>0</v>
      </c>
      <c r="EH89" s="1">
        <v>0</v>
      </c>
      <c r="EI89" s="1">
        <v>0</v>
      </c>
      <c r="EJ89" s="1">
        <v>0</v>
      </c>
      <c r="EK89" s="1">
        <v>5878.130000000001</v>
      </c>
      <c r="EL89" s="1">
        <v>5062.9799999999996</v>
      </c>
      <c r="EM89" s="1">
        <v>4124.1000000000004</v>
      </c>
      <c r="EN89" s="1">
        <v>8250.4660000000003</v>
      </c>
      <c r="EO89" s="1">
        <v>5878.130000000001</v>
      </c>
      <c r="EP89" s="1">
        <v>5062.9799999999996</v>
      </c>
      <c r="EQ89" s="1">
        <v>4124.1000000000004</v>
      </c>
      <c r="ER89" s="1">
        <v>8250.4660000000003</v>
      </c>
      <c r="ES89" s="1">
        <v>0</v>
      </c>
      <c r="ET89" s="1">
        <v>0</v>
      </c>
      <c r="EU89" s="1">
        <v>0</v>
      </c>
      <c r="EV89" s="1">
        <v>0</v>
      </c>
      <c r="EW89" s="1">
        <v>0</v>
      </c>
      <c r="EX89" s="1">
        <v>0</v>
      </c>
      <c r="EY89" s="1">
        <v>0</v>
      </c>
      <c r="EZ89" s="1">
        <v>0</v>
      </c>
      <c r="FA89" s="1">
        <v>0</v>
      </c>
      <c r="FB89" s="1">
        <v>0</v>
      </c>
      <c r="FC89" s="1">
        <v>0</v>
      </c>
      <c r="FD89" s="1">
        <v>0</v>
      </c>
      <c r="FE89" s="1">
        <v>61.14</v>
      </c>
      <c r="FF89" s="1">
        <v>48.35</v>
      </c>
      <c r="FG89" s="1">
        <v>2.87</v>
      </c>
      <c r="FH89" s="1">
        <v>104.61499999999999</v>
      </c>
      <c r="FI89" s="1">
        <v>61.14</v>
      </c>
      <c r="FJ89" s="1">
        <v>48.35</v>
      </c>
      <c r="FK89" s="1">
        <v>2.87</v>
      </c>
      <c r="FL89" s="1">
        <v>104.61499999999999</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156.06</v>
      </c>
      <c r="GD89" s="1">
        <v>190.4</v>
      </c>
      <c r="GE89" s="1">
        <v>131.47</v>
      </c>
      <c r="GF89" s="1">
        <v>227.18</v>
      </c>
      <c r="GG89" s="1">
        <v>156.06</v>
      </c>
      <c r="GH89" s="1">
        <v>190.4</v>
      </c>
      <c r="GI89" s="1">
        <v>131.47</v>
      </c>
      <c r="GJ89" s="1">
        <v>227.18</v>
      </c>
      <c r="GK89" s="1">
        <v>0</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0</v>
      </c>
      <c r="JO89" s="1">
        <v>0</v>
      </c>
      <c r="JP89" s="1">
        <v>0</v>
      </c>
      <c r="JQ89" s="9"/>
      <c r="JR89" s="1">
        <f t="shared" si="25"/>
        <v>3400.0370999999991</v>
      </c>
      <c r="JS89" s="1">
        <f t="shared" si="25"/>
        <v>3296.9942999999994</v>
      </c>
      <c r="JT89" s="1">
        <f t="shared" si="25"/>
        <v>3053.4983100000004</v>
      </c>
      <c r="JU89" s="1">
        <f t="shared" si="25"/>
        <v>2872.9350000000004</v>
      </c>
      <c r="JV89" s="1">
        <f t="shared" si="26"/>
        <v>629.63649999999984</v>
      </c>
      <c r="JW89" s="1">
        <f t="shared" si="26"/>
        <v>610.55449999999985</v>
      </c>
      <c r="JX89" s="1">
        <f t="shared" si="26"/>
        <v>565.46265000000005</v>
      </c>
      <c r="JY89" s="1">
        <f t="shared" si="26"/>
        <v>532.02499999999998</v>
      </c>
    </row>
    <row r="90" spans="1:285" x14ac:dyDescent="0.35">
      <c r="A90" s="2" t="s">
        <v>97</v>
      </c>
      <c r="B90" s="1">
        <v>127345</v>
      </c>
      <c r="C90" s="1">
        <v>129527</v>
      </c>
      <c r="D90" s="1">
        <v>134458</v>
      </c>
      <c r="E90" s="1">
        <v>135708</v>
      </c>
      <c r="F90" s="1">
        <v>28193.170999999998</v>
      </c>
      <c r="G90" s="1">
        <v>27846.388999999999</v>
      </c>
      <c r="H90" s="1">
        <v>24223.296999999999</v>
      </c>
      <c r="I90" s="1">
        <v>27770.614000000001</v>
      </c>
      <c r="J90" s="1">
        <f t="shared" si="27"/>
        <v>12034.117</v>
      </c>
      <c r="K90" s="1">
        <f t="shared" si="28"/>
        <v>11737.116999999998</v>
      </c>
      <c r="L90" s="1">
        <f t="shared" si="29"/>
        <v>11132.289000000001</v>
      </c>
      <c r="M90" s="1">
        <f t="shared" si="30"/>
        <v>11940.046000000002</v>
      </c>
      <c r="N90" s="1">
        <f t="shared" si="31"/>
        <v>16159.053999999998</v>
      </c>
      <c r="O90" s="1">
        <f t="shared" si="32"/>
        <v>16109.272000000001</v>
      </c>
      <c r="P90" s="1">
        <f t="shared" si="33"/>
        <v>13091.007999999998</v>
      </c>
      <c r="Q90" s="1">
        <f t="shared" si="34"/>
        <v>15830.567999999999</v>
      </c>
      <c r="R90" s="1">
        <v>0</v>
      </c>
      <c r="S90" s="1">
        <v>24.44</v>
      </c>
      <c r="T90" s="1">
        <v>1334.68</v>
      </c>
      <c r="U90" s="1">
        <v>1202.3200000000002</v>
      </c>
      <c r="V90" s="1">
        <v>0</v>
      </c>
      <c r="W90" s="1">
        <v>0</v>
      </c>
      <c r="X90" s="1">
        <v>0</v>
      </c>
      <c r="Y90" s="1">
        <v>0</v>
      </c>
      <c r="Z90" s="1">
        <v>0</v>
      </c>
      <c r="AA90" s="1">
        <v>24.44</v>
      </c>
      <c r="AB90" s="1">
        <v>0</v>
      </c>
      <c r="AC90" s="1">
        <v>0</v>
      </c>
      <c r="AD90" s="1">
        <v>1334.68</v>
      </c>
      <c r="AE90" s="1">
        <v>0</v>
      </c>
      <c r="AF90" s="1">
        <v>0</v>
      </c>
      <c r="AG90" s="1">
        <v>1202.3200000000002</v>
      </c>
      <c r="AH90" s="1">
        <v>0</v>
      </c>
      <c r="AI90" s="1">
        <v>0</v>
      </c>
      <c r="AJ90" s="1">
        <v>0</v>
      </c>
      <c r="AK90" s="1">
        <v>0</v>
      </c>
      <c r="AL90" s="1">
        <v>0</v>
      </c>
      <c r="AM90" s="1">
        <v>0</v>
      </c>
      <c r="AN90" s="1">
        <v>0</v>
      </c>
      <c r="AO90" s="1">
        <v>0</v>
      </c>
      <c r="AP90" s="1">
        <v>3374.25</v>
      </c>
      <c r="AQ90" s="1">
        <v>3395.8500000000004</v>
      </c>
      <c r="AR90" s="1">
        <v>2662.1400000000003</v>
      </c>
      <c r="AS90" s="1">
        <v>3308.55</v>
      </c>
      <c r="AT90" s="1">
        <v>0</v>
      </c>
      <c r="AU90" s="1">
        <v>3374.25</v>
      </c>
      <c r="AV90" s="1">
        <v>0</v>
      </c>
      <c r="AW90" s="1">
        <v>0</v>
      </c>
      <c r="AX90" s="1">
        <v>0</v>
      </c>
      <c r="AY90" s="1">
        <v>3395.8500000000004</v>
      </c>
      <c r="AZ90" s="1">
        <v>0</v>
      </c>
      <c r="BA90" s="1">
        <v>0</v>
      </c>
      <c r="BB90" s="1">
        <v>0</v>
      </c>
      <c r="BC90" s="1">
        <v>2662.1400000000003</v>
      </c>
      <c r="BD90" s="1">
        <v>0</v>
      </c>
      <c r="BE90" s="1">
        <v>0</v>
      </c>
      <c r="BF90" s="1">
        <v>3308.55</v>
      </c>
      <c r="BG90" s="1">
        <v>0</v>
      </c>
      <c r="BH90" s="1">
        <v>0</v>
      </c>
      <c r="BI90" s="1">
        <v>0</v>
      </c>
      <c r="BJ90" s="1">
        <v>0</v>
      </c>
      <c r="BK90" s="1">
        <v>0</v>
      </c>
      <c r="BL90" s="1">
        <v>0</v>
      </c>
      <c r="BM90" s="1">
        <v>0</v>
      </c>
      <c r="BN90" s="1">
        <v>0</v>
      </c>
      <c r="BO90" s="1">
        <v>0</v>
      </c>
      <c r="BP90" s="1">
        <v>0</v>
      </c>
      <c r="BQ90" s="1">
        <v>0</v>
      </c>
      <c r="BR90" s="1">
        <v>0</v>
      </c>
      <c r="BS90" s="1">
        <v>0</v>
      </c>
      <c r="BT90" s="1">
        <v>0</v>
      </c>
      <c r="BU90" s="1">
        <v>3216.232</v>
      </c>
      <c r="BV90" s="1">
        <v>3040.66</v>
      </c>
      <c r="BW90" s="1">
        <v>2750.83</v>
      </c>
      <c r="BX90" s="1">
        <v>2731.16</v>
      </c>
      <c r="BY90" s="1">
        <v>3216.232</v>
      </c>
      <c r="BZ90" s="1">
        <v>3040.66</v>
      </c>
      <c r="CA90" s="1">
        <v>2750.83</v>
      </c>
      <c r="CB90" s="1">
        <v>2731.16</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1718.72</v>
      </c>
      <c r="CT90" s="1">
        <v>1759.12</v>
      </c>
      <c r="CU90" s="1">
        <v>1193.3900000000001</v>
      </c>
      <c r="CV90" s="1">
        <v>1405.85</v>
      </c>
      <c r="CW90" s="1">
        <v>1718.72</v>
      </c>
      <c r="CX90" s="1">
        <v>1759.12</v>
      </c>
      <c r="CY90" s="1">
        <v>1193.3900000000001</v>
      </c>
      <c r="CZ90" s="1">
        <v>1404.46</v>
      </c>
      <c r="DA90" s="1">
        <v>0</v>
      </c>
      <c r="DB90" s="1">
        <v>0</v>
      </c>
      <c r="DC90" s="1">
        <v>0</v>
      </c>
      <c r="DD90" s="1">
        <v>1.39</v>
      </c>
      <c r="DE90" s="1">
        <v>0</v>
      </c>
      <c r="DF90" s="1">
        <v>0</v>
      </c>
      <c r="DG90" s="1">
        <v>0</v>
      </c>
      <c r="DH90" s="1">
        <v>0</v>
      </c>
      <c r="DI90" s="1">
        <v>0</v>
      </c>
      <c r="DJ90" s="1">
        <v>0</v>
      </c>
      <c r="DK90" s="1">
        <v>0</v>
      </c>
      <c r="DL90" s="1">
        <v>0</v>
      </c>
      <c r="DM90" s="1">
        <v>3048.87</v>
      </c>
      <c r="DN90" s="1">
        <v>2859.66</v>
      </c>
      <c r="DO90" s="1">
        <v>2580.29</v>
      </c>
      <c r="DP90" s="1">
        <v>2742.09</v>
      </c>
      <c r="DQ90" s="1">
        <v>3048.87</v>
      </c>
      <c r="DR90" s="1">
        <v>2859.66</v>
      </c>
      <c r="DS90" s="1">
        <v>2580.29</v>
      </c>
      <c r="DT90" s="1">
        <v>2742.09</v>
      </c>
      <c r="DU90" s="1">
        <v>0</v>
      </c>
      <c r="DV90" s="1">
        <v>0</v>
      </c>
      <c r="DW90" s="1">
        <v>0</v>
      </c>
      <c r="DX90" s="1">
        <v>0</v>
      </c>
      <c r="DY90" s="1">
        <v>0</v>
      </c>
      <c r="DZ90" s="1">
        <v>0</v>
      </c>
      <c r="EA90" s="1">
        <v>0</v>
      </c>
      <c r="EB90" s="1">
        <v>0</v>
      </c>
      <c r="EC90" s="1">
        <v>0</v>
      </c>
      <c r="ED90" s="1">
        <v>0</v>
      </c>
      <c r="EE90" s="1">
        <v>0</v>
      </c>
      <c r="EF90" s="1">
        <v>0</v>
      </c>
      <c r="EG90" s="1">
        <v>0</v>
      </c>
      <c r="EH90" s="1">
        <v>0</v>
      </c>
      <c r="EI90" s="1">
        <v>0</v>
      </c>
      <c r="EJ90" s="1">
        <v>0</v>
      </c>
      <c r="EK90" s="1">
        <v>586.41000000000008</v>
      </c>
      <c r="EL90" s="1">
        <v>471.3</v>
      </c>
      <c r="EM90" s="1">
        <v>452.81200000000001</v>
      </c>
      <c r="EN90" s="1">
        <v>395.12</v>
      </c>
      <c r="EO90" s="1">
        <v>586.41000000000008</v>
      </c>
      <c r="EP90" s="1">
        <v>471.3</v>
      </c>
      <c r="EQ90" s="1">
        <v>452.81200000000001</v>
      </c>
      <c r="ER90" s="1">
        <v>395.12</v>
      </c>
      <c r="ES90" s="1">
        <v>0</v>
      </c>
      <c r="ET90" s="1">
        <v>0</v>
      </c>
      <c r="EU90" s="1">
        <v>0</v>
      </c>
      <c r="EV90" s="1">
        <v>0</v>
      </c>
      <c r="EW90" s="1">
        <v>0</v>
      </c>
      <c r="EX90" s="1">
        <v>0</v>
      </c>
      <c r="EY90" s="1">
        <v>0</v>
      </c>
      <c r="EZ90" s="1">
        <v>0</v>
      </c>
      <c r="FA90" s="1">
        <v>0</v>
      </c>
      <c r="FB90" s="1">
        <v>0</v>
      </c>
      <c r="FC90" s="1">
        <v>0</v>
      </c>
      <c r="FD90" s="1">
        <v>0</v>
      </c>
      <c r="FE90" s="1">
        <v>75.64</v>
      </c>
      <c r="FF90" s="1">
        <v>173.08199999999999</v>
      </c>
      <c r="FG90" s="1">
        <v>143.88200000000001</v>
      </c>
      <c r="FH90" s="1">
        <v>143.52600000000001</v>
      </c>
      <c r="FI90" s="1">
        <v>75.64</v>
      </c>
      <c r="FJ90" s="1">
        <v>173.08199999999999</v>
      </c>
      <c r="FK90" s="1">
        <v>143.88200000000001</v>
      </c>
      <c r="FL90" s="1">
        <v>143.52600000000001</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13.994999999999999</v>
      </c>
      <c r="GD90" s="1">
        <v>13.005000000000001</v>
      </c>
      <c r="GE90" s="1">
        <v>14.265000000000001</v>
      </c>
      <c r="GF90" s="1">
        <v>11.43</v>
      </c>
      <c r="GG90" s="1">
        <v>13.994999999999999</v>
      </c>
      <c r="GH90" s="1">
        <v>13.005000000000001</v>
      </c>
      <c r="GI90" s="1">
        <v>14.265000000000001</v>
      </c>
      <c r="GJ90" s="1">
        <v>11.43</v>
      </c>
      <c r="GK90" s="1">
        <v>0</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0</v>
      </c>
      <c r="JO90" s="1">
        <v>0</v>
      </c>
      <c r="JP90" s="1">
        <v>0</v>
      </c>
      <c r="JQ90" s="9"/>
      <c r="JR90" s="1">
        <f t="shared" si="25"/>
        <v>4362.9445799999994</v>
      </c>
      <c r="JS90" s="1">
        <f t="shared" si="25"/>
        <v>4349.5034400000004</v>
      </c>
      <c r="JT90" s="1">
        <f t="shared" si="25"/>
        <v>3534.5721599999997</v>
      </c>
      <c r="JU90" s="1">
        <f t="shared" si="25"/>
        <v>4274.2533599999997</v>
      </c>
      <c r="JV90" s="1">
        <f t="shared" si="26"/>
        <v>807.95269999999994</v>
      </c>
      <c r="JW90" s="1">
        <f t="shared" si="26"/>
        <v>805.46360000000004</v>
      </c>
      <c r="JX90" s="1">
        <f t="shared" si="26"/>
        <v>654.55039999999997</v>
      </c>
      <c r="JY90" s="1">
        <f t="shared" si="26"/>
        <v>791.52840000000003</v>
      </c>
    </row>
    <row r="91" spans="1:285" x14ac:dyDescent="0.35">
      <c r="A91" s="2" t="s">
        <v>98</v>
      </c>
      <c r="B91" s="1">
        <v>114777</v>
      </c>
      <c r="C91" s="1">
        <v>114952</v>
      </c>
      <c r="D91" s="1">
        <v>114626</v>
      </c>
      <c r="E91" s="1">
        <v>114776</v>
      </c>
      <c r="F91" s="1">
        <v>33518.557999999997</v>
      </c>
      <c r="G91" s="1">
        <v>35003.146999999997</v>
      </c>
      <c r="H91" s="1">
        <v>33800.991999999998</v>
      </c>
      <c r="I91" s="1">
        <v>32520.975999999999</v>
      </c>
      <c r="J91" s="1">
        <f t="shared" si="27"/>
        <v>22935.348000000002</v>
      </c>
      <c r="K91" s="1">
        <f t="shared" si="28"/>
        <v>23829.677000000003</v>
      </c>
      <c r="L91" s="1">
        <f t="shared" si="29"/>
        <v>23121.612000000001</v>
      </c>
      <c r="M91" s="1">
        <f t="shared" si="30"/>
        <v>22106.601000000002</v>
      </c>
      <c r="N91" s="1">
        <f t="shared" si="31"/>
        <v>10583.209999999995</v>
      </c>
      <c r="O91" s="1">
        <f t="shared" si="32"/>
        <v>11173.469999999994</v>
      </c>
      <c r="P91" s="1">
        <f t="shared" si="33"/>
        <v>10679.379999999997</v>
      </c>
      <c r="Q91" s="1">
        <f t="shared" si="34"/>
        <v>10414.374999999996</v>
      </c>
      <c r="R91" s="1">
        <v>0</v>
      </c>
      <c r="S91" s="1">
        <v>0</v>
      </c>
      <c r="T91" s="1">
        <v>0</v>
      </c>
      <c r="U91" s="1">
        <v>0</v>
      </c>
      <c r="V91" s="1">
        <v>0</v>
      </c>
      <c r="W91" s="1">
        <v>0</v>
      </c>
      <c r="X91" s="1">
        <v>0</v>
      </c>
      <c r="Y91" s="1">
        <v>0</v>
      </c>
      <c r="Z91" s="1">
        <v>0</v>
      </c>
      <c r="AA91" s="1">
        <v>0</v>
      </c>
      <c r="AB91" s="1">
        <v>0</v>
      </c>
      <c r="AC91" s="1">
        <v>0</v>
      </c>
      <c r="AD91" s="1">
        <v>0</v>
      </c>
      <c r="AE91" s="1">
        <v>0</v>
      </c>
      <c r="AF91" s="1">
        <v>0</v>
      </c>
      <c r="AG91" s="1">
        <v>0</v>
      </c>
      <c r="AH91" s="1">
        <v>0</v>
      </c>
      <c r="AI91" s="1">
        <v>0</v>
      </c>
      <c r="AJ91" s="1">
        <v>0</v>
      </c>
      <c r="AK91" s="1">
        <v>0</v>
      </c>
      <c r="AL91" s="1">
        <v>0</v>
      </c>
      <c r="AM91" s="1">
        <v>0</v>
      </c>
      <c r="AN91" s="1">
        <v>0</v>
      </c>
      <c r="AO91" s="1">
        <v>0</v>
      </c>
      <c r="AP91" s="1">
        <v>4065.567</v>
      </c>
      <c r="AQ91" s="1">
        <v>4510.4770000000008</v>
      </c>
      <c r="AR91" s="1">
        <v>5202.192</v>
      </c>
      <c r="AS91" s="1">
        <v>6348.0710000000008</v>
      </c>
      <c r="AT91" s="1">
        <v>0</v>
      </c>
      <c r="AU91" s="1">
        <v>4065.567</v>
      </c>
      <c r="AV91" s="1">
        <v>0</v>
      </c>
      <c r="AW91" s="1">
        <v>0</v>
      </c>
      <c r="AX91" s="1">
        <v>0</v>
      </c>
      <c r="AY91" s="1">
        <v>4510.4770000000008</v>
      </c>
      <c r="AZ91" s="1">
        <v>0</v>
      </c>
      <c r="BA91" s="1">
        <v>0</v>
      </c>
      <c r="BB91" s="1">
        <v>0</v>
      </c>
      <c r="BC91" s="1">
        <v>5202.192</v>
      </c>
      <c r="BD91" s="1">
        <v>0</v>
      </c>
      <c r="BE91" s="1">
        <v>0</v>
      </c>
      <c r="BF91" s="1">
        <v>6348.0710000000008</v>
      </c>
      <c r="BG91" s="1">
        <v>0</v>
      </c>
      <c r="BH91" s="1">
        <v>0</v>
      </c>
      <c r="BI91" s="1">
        <v>0</v>
      </c>
      <c r="BJ91" s="1">
        <v>0</v>
      </c>
      <c r="BK91" s="1">
        <v>0</v>
      </c>
      <c r="BL91" s="1">
        <v>0</v>
      </c>
      <c r="BM91" s="1">
        <v>0</v>
      </c>
      <c r="BN91" s="1">
        <v>0</v>
      </c>
      <c r="BO91" s="1">
        <v>0</v>
      </c>
      <c r="BP91" s="1">
        <v>0</v>
      </c>
      <c r="BQ91" s="1">
        <v>0</v>
      </c>
      <c r="BR91" s="1">
        <v>0</v>
      </c>
      <c r="BS91" s="1">
        <v>0</v>
      </c>
      <c r="BT91" s="1">
        <v>0</v>
      </c>
      <c r="BU91" s="1">
        <v>11248.507</v>
      </c>
      <c r="BV91" s="1">
        <v>11775.41</v>
      </c>
      <c r="BW91" s="1">
        <v>10636.52</v>
      </c>
      <c r="BX91" s="1">
        <v>8508.630000000001</v>
      </c>
      <c r="BY91" s="1">
        <v>11237.787</v>
      </c>
      <c r="BZ91" s="1">
        <v>11765.86</v>
      </c>
      <c r="CA91" s="1">
        <v>10629.05</v>
      </c>
      <c r="CB91" s="1">
        <v>8493.77</v>
      </c>
      <c r="CC91" s="1">
        <v>10.72</v>
      </c>
      <c r="CD91" s="1">
        <v>9.5500000000000007</v>
      </c>
      <c r="CE91" s="1">
        <v>7.4700000000000006</v>
      </c>
      <c r="CF91" s="1">
        <v>14.86</v>
      </c>
      <c r="CG91" s="1">
        <v>0</v>
      </c>
      <c r="CH91" s="1">
        <v>0</v>
      </c>
      <c r="CI91" s="1">
        <v>0</v>
      </c>
      <c r="CJ91" s="1">
        <v>0</v>
      </c>
      <c r="CK91" s="1">
        <v>0</v>
      </c>
      <c r="CL91" s="1">
        <v>0</v>
      </c>
      <c r="CM91" s="1">
        <v>0</v>
      </c>
      <c r="CN91" s="1">
        <v>0</v>
      </c>
      <c r="CO91" s="1">
        <v>0</v>
      </c>
      <c r="CP91" s="1">
        <v>0</v>
      </c>
      <c r="CQ91" s="1">
        <v>0</v>
      </c>
      <c r="CR91" s="1">
        <v>0</v>
      </c>
      <c r="CS91" s="1">
        <v>1498.48</v>
      </c>
      <c r="CT91" s="1">
        <v>1404.16</v>
      </c>
      <c r="CU91" s="1">
        <v>1352.87</v>
      </c>
      <c r="CV91" s="1">
        <v>1288.1099999999999</v>
      </c>
      <c r="CW91" s="1">
        <v>1481.79</v>
      </c>
      <c r="CX91" s="1">
        <v>1402.26</v>
      </c>
      <c r="CY91" s="1">
        <v>1257.97</v>
      </c>
      <c r="CZ91" s="1">
        <v>1158.1600000000001</v>
      </c>
      <c r="DA91" s="1">
        <v>0</v>
      </c>
      <c r="DB91" s="1">
        <v>0</v>
      </c>
      <c r="DC91" s="1">
        <v>0</v>
      </c>
      <c r="DD91" s="1">
        <v>0</v>
      </c>
      <c r="DE91" s="1">
        <v>0</v>
      </c>
      <c r="DF91" s="1">
        <v>0</v>
      </c>
      <c r="DG91" s="1">
        <v>0</v>
      </c>
      <c r="DH91" s="1">
        <v>0</v>
      </c>
      <c r="DI91" s="1">
        <v>16.690000000000001</v>
      </c>
      <c r="DJ91" s="1">
        <v>1.9</v>
      </c>
      <c r="DK91" s="1">
        <v>94.9</v>
      </c>
      <c r="DL91" s="1">
        <v>129.94999999999999</v>
      </c>
      <c r="DM91" s="1">
        <v>4763.2800000000007</v>
      </c>
      <c r="DN91" s="1">
        <v>4845.96</v>
      </c>
      <c r="DO91" s="1">
        <v>4557.1000000000004</v>
      </c>
      <c r="DP91" s="1">
        <v>4454.7199999999993</v>
      </c>
      <c r="DQ91" s="1">
        <v>4763.2800000000007</v>
      </c>
      <c r="DR91" s="1">
        <v>4845.96</v>
      </c>
      <c r="DS91" s="1">
        <v>4557.1000000000004</v>
      </c>
      <c r="DT91" s="1">
        <v>4454.7199999999993</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478.23399999999998</v>
      </c>
      <c r="EL91" s="1">
        <v>453.62</v>
      </c>
      <c r="EM91" s="1">
        <v>651.41999999999996</v>
      </c>
      <c r="EN91" s="1">
        <v>364.3</v>
      </c>
      <c r="EO91" s="1">
        <v>478.23399999999998</v>
      </c>
      <c r="EP91" s="1">
        <v>453.62</v>
      </c>
      <c r="EQ91" s="1">
        <v>651.41999999999996</v>
      </c>
      <c r="ER91" s="1">
        <v>364.3</v>
      </c>
      <c r="ES91" s="1">
        <v>0</v>
      </c>
      <c r="ET91" s="1">
        <v>0</v>
      </c>
      <c r="EU91" s="1">
        <v>0</v>
      </c>
      <c r="EV91" s="1">
        <v>0</v>
      </c>
      <c r="EW91" s="1">
        <v>0</v>
      </c>
      <c r="EX91" s="1">
        <v>0</v>
      </c>
      <c r="EY91" s="1">
        <v>0</v>
      </c>
      <c r="EZ91" s="1">
        <v>0</v>
      </c>
      <c r="FA91" s="1">
        <v>0</v>
      </c>
      <c r="FB91" s="1">
        <v>0</v>
      </c>
      <c r="FC91" s="1">
        <v>0</v>
      </c>
      <c r="FD91" s="1">
        <v>0</v>
      </c>
      <c r="FE91" s="1">
        <v>270.3</v>
      </c>
      <c r="FF91" s="1">
        <v>299.45</v>
      </c>
      <c r="FG91" s="1">
        <v>196.61</v>
      </c>
      <c r="FH91" s="1">
        <v>233.18</v>
      </c>
      <c r="FI91" s="1">
        <v>269.98</v>
      </c>
      <c r="FJ91" s="1">
        <v>294.77999999999997</v>
      </c>
      <c r="FK91" s="1">
        <v>196.46</v>
      </c>
      <c r="FL91" s="1">
        <v>233.03</v>
      </c>
      <c r="FM91" s="1">
        <v>0.32</v>
      </c>
      <c r="FN91" s="1">
        <v>4.67</v>
      </c>
      <c r="FO91" s="1">
        <v>0.15</v>
      </c>
      <c r="FP91" s="1">
        <v>0.15</v>
      </c>
      <c r="FQ91" s="1">
        <v>0</v>
      </c>
      <c r="FR91" s="1">
        <v>0</v>
      </c>
      <c r="FS91" s="1">
        <v>0</v>
      </c>
      <c r="FT91" s="1">
        <v>0</v>
      </c>
      <c r="FU91" s="1">
        <v>0</v>
      </c>
      <c r="FV91" s="1">
        <v>0</v>
      </c>
      <c r="FW91" s="1">
        <v>0</v>
      </c>
      <c r="FX91" s="1">
        <v>0</v>
      </c>
      <c r="FY91" s="1">
        <v>0</v>
      </c>
      <c r="FZ91" s="1">
        <v>0</v>
      </c>
      <c r="GA91" s="1">
        <v>0</v>
      </c>
      <c r="GB91" s="1">
        <v>0</v>
      </c>
      <c r="GC91" s="1">
        <v>22.64</v>
      </c>
      <c r="GD91" s="1">
        <v>19.54</v>
      </c>
      <c r="GE91" s="1">
        <v>16.399999999999999</v>
      </c>
      <c r="GF91" s="1">
        <v>15.34</v>
      </c>
      <c r="GG91" s="1">
        <v>22.64</v>
      </c>
      <c r="GH91" s="1">
        <v>19.54</v>
      </c>
      <c r="GI91" s="1">
        <v>16.399999999999999</v>
      </c>
      <c r="GJ91" s="1">
        <v>15.34</v>
      </c>
      <c r="GK91" s="1">
        <v>0</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588.33999999999992</v>
      </c>
      <c r="IP91" s="1">
        <v>521.05999999999995</v>
      </c>
      <c r="IQ91" s="1">
        <v>508.49999999999989</v>
      </c>
      <c r="IR91" s="1">
        <v>894.25</v>
      </c>
      <c r="IS91" s="1">
        <v>588.33999999999992</v>
      </c>
      <c r="IT91" s="1">
        <v>521.05999999999995</v>
      </c>
      <c r="IU91" s="1">
        <v>508.49999999999989</v>
      </c>
      <c r="IV91" s="1">
        <v>894.25</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0</v>
      </c>
      <c r="JO91" s="1">
        <v>0</v>
      </c>
      <c r="JP91" s="1">
        <v>0</v>
      </c>
      <c r="JQ91" s="9"/>
      <c r="JR91" s="1">
        <f t="shared" si="25"/>
        <v>2857.466699999999</v>
      </c>
      <c r="JS91" s="1">
        <f t="shared" si="25"/>
        <v>3016.8368999999984</v>
      </c>
      <c r="JT91" s="1">
        <f t="shared" si="25"/>
        <v>2883.4325999999996</v>
      </c>
      <c r="JU91" s="1">
        <f t="shared" si="25"/>
        <v>2811.881249999999</v>
      </c>
      <c r="JV91" s="1">
        <f t="shared" si="26"/>
        <v>529.16049999999984</v>
      </c>
      <c r="JW91" s="1">
        <f t="shared" si="26"/>
        <v>558.67349999999976</v>
      </c>
      <c r="JX91" s="1">
        <f t="shared" si="26"/>
        <v>533.96899999999994</v>
      </c>
      <c r="JY91" s="1">
        <f t="shared" si="26"/>
        <v>520.71874999999989</v>
      </c>
    </row>
    <row r="92" spans="1:285" x14ac:dyDescent="0.35">
      <c r="A92" s="2" t="s">
        <v>99</v>
      </c>
      <c r="B92" s="1">
        <v>102228</v>
      </c>
      <c r="C92" s="1">
        <v>102731</v>
      </c>
      <c r="D92" s="1">
        <v>103019</v>
      </c>
      <c r="E92" s="1">
        <v>103700</v>
      </c>
      <c r="F92" s="1">
        <v>32010.309000000001</v>
      </c>
      <c r="G92" s="1">
        <v>30667.188999999998</v>
      </c>
      <c r="H92" s="1">
        <v>28978.375</v>
      </c>
      <c r="I92" s="1">
        <v>30240.127</v>
      </c>
      <c r="J92" s="1">
        <f t="shared" si="27"/>
        <v>20091.429</v>
      </c>
      <c r="K92" s="1">
        <f t="shared" si="28"/>
        <v>18586.806</v>
      </c>
      <c r="L92" s="1">
        <f t="shared" si="29"/>
        <v>17623.640999999996</v>
      </c>
      <c r="M92" s="1">
        <f t="shared" si="30"/>
        <v>18769.711000000003</v>
      </c>
      <c r="N92" s="1">
        <f t="shared" si="31"/>
        <v>11918.880000000001</v>
      </c>
      <c r="O92" s="1">
        <f t="shared" si="32"/>
        <v>12080.382999999998</v>
      </c>
      <c r="P92" s="1">
        <f t="shared" si="33"/>
        <v>11354.734000000004</v>
      </c>
      <c r="Q92" s="1">
        <f t="shared" si="34"/>
        <v>11470.415999999997</v>
      </c>
      <c r="R92" s="1">
        <v>0</v>
      </c>
      <c r="S92" s="1">
        <v>0</v>
      </c>
      <c r="T92" s="1">
        <v>0</v>
      </c>
      <c r="U92" s="1">
        <v>92.039999999999992</v>
      </c>
      <c r="V92" s="1">
        <v>0</v>
      </c>
      <c r="W92" s="1">
        <v>0</v>
      </c>
      <c r="X92" s="1">
        <v>0</v>
      </c>
      <c r="Y92" s="1">
        <v>0</v>
      </c>
      <c r="Z92" s="1">
        <v>0</v>
      </c>
      <c r="AA92" s="1">
        <v>0</v>
      </c>
      <c r="AB92" s="1">
        <v>0</v>
      </c>
      <c r="AC92" s="1">
        <v>0</v>
      </c>
      <c r="AD92" s="1">
        <v>0</v>
      </c>
      <c r="AE92" s="1">
        <v>0</v>
      </c>
      <c r="AF92" s="1">
        <v>0</v>
      </c>
      <c r="AG92" s="1">
        <v>92.039999999999992</v>
      </c>
      <c r="AH92" s="1">
        <v>0</v>
      </c>
      <c r="AI92" s="1">
        <v>0</v>
      </c>
      <c r="AJ92" s="1">
        <v>0</v>
      </c>
      <c r="AK92" s="1">
        <v>0</v>
      </c>
      <c r="AL92" s="1">
        <v>0</v>
      </c>
      <c r="AM92" s="1">
        <v>0</v>
      </c>
      <c r="AN92" s="1">
        <v>0</v>
      </c>
      <c r="AO92" s="1">
        <v>0</v>
      </c>
      <c r="AP92" s="1">
        <v>7999.4089999999997</v>
      </c>
      <c r="AQ92" s="1">
        <v>7952.7999999999993</v>
      </c>
      <c r="AR92" s="1">
        <v>7006.9199999999992</v>
      </c>
      <c r="AS92" s="1">
        <v>8000.22</v>
      </c>
      <c r="AT92" s="1">
        <v>7999.4089999999997</v>
      </c>
      <c r="AU92" s="1">
        <v>0</v>
      </c>
      <c r="AV92" s="1">
        <v>0</v>
      </c>
      <c r="AW92" s="1">
        <v>0</v>
      </c>
      <c r="AX92" s="1">
        <v>7952.7999999999993</v>
      </c>
      <c r="AY92" s="1">
        <v>0</v>
      </c>
      <c r="AZ92" s="1">
        <v>0</v>
      </c>
      <c r="BA92" s="1">
        <v>0</v>
      </c>
      <c r="BB92" s="1">
        <v>7006.9199999999992</v>
      </c>
      <c r="BC92" s="1">
        <v>0</v>
      </c>
      <c r="BD92" s="1">
        <v>0</v>
      </c>
      <c r="BE92" s="1">
        <v>8000.22</v>
      </c>
      <c r="BF92" s="1">
        <v>0</v>
      </c>
      <c r="BG92" s="1">
        <v>0</v>
      </c>
      <c r="BH92" s="1">
        <v>0</v>
      </c>
      <c r="BI92" s="1">
        <v>0</v>
      </c>
      <c r="BJ92" s="1">
        <v>0</v>
      </c>
      <c r="BK92" s="1">
        <v>0</v>
      </c>
      <c r="BL92" s="1">
        <v>0</v>
      </c>
      <c r="BM92" s="1">
        <v>0</v>
      </c>
      <c r="BN92" s="1">
        <v>0</v>
      </c>
      <c r="BO92" s="1">
        <v>0</v>
      </c>
      <c r="BP92" s="1">
        <v>0</v>
      </c>
      <c r="BQ92" s="1">
        <v>0</v>
      </c>
      <c r="BR92" s="1">
        <v>0</v>
      </c>
      <c r="BS92" s="1">
        <v>0</v>
      </c>
      <c r="BT92" s="1">
        <v>0</v>
      </c>
      <c r="BU92" s="1">
        <v>4839.4610000000002</v>
      </c>
      <c r="BV92" s="1">
        <v>4429.7359999999999</v>
      </c>
      <c r="BW92" s="1">
        <v>4353.6589999999997</v>
      </c>
      <c r="BX92" s="1">
        <v>4361.2780000000002</v>
      </c>
      <c r="BY92" s="1">
        <v>4839.4610000000002</v>
      </c>
      <c r="BZ92" s="1">
        <v>4429.7359999999999</v>
      </c>
      <c r="CA92" s="1">
        <v>4353.6589999999997</v>
      </c>
      <c r="CB92" s="1">
        <v>4361.2780000000002</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2585.058</v>
      </c>
      <c r="CT92" s="1">
        <v>1836.6959999999999</v>
      </c>
      <c r="CU92" s="1">
        <v>2012.0640000000001</v>
      </c>
      <c r="CV92" s="1">
        <v>2055.1950000000002</v>
      </c>
      <c r="CW92" s="1">
        <v>2585.058</v>
      </c>
      <c r="CX92" s="1">
        <v>1836.6959999999999</v>
      </c>
      <c r="CY92" s="1">
        <v>2012.0640000000001</v>
      </c>
      <c r="CZ92" s="1">
        <v>2055.1950000000002</v>
      </c>
      <c r="DA92" s="1">
        <v>0</v>
      </c>
      <c r="DB92" s="1">
        <v>0</v>
      </c>
      <c r="DC92" s="1">
        <v>0</v>
      </c>
      <c r="DD92" s="1">
        <v>0</v>
      </c>
      <c r="DE92" s="1">
        <v>0</v>
      </c>
      <c r="DF92" s="1">
        <v>0</v>
      </c>
      <c r="DG92" s="1">
        <v>0</v>
      </c>
      <c r="DH92" s="1">
        <v>0</v>
      </c>
      <c r="DI92" s="1">
        <v>0</v>
      </c>
      <c r="DJ92" s="1">
        <v>0</v>
      </c>
      <c r="DK92" s="1">
        <v>0</v>
      </c>
      <c r="DL92" s="1">
        <v>0</v>
      </c>
      <c r="DM92" s="1">
        <v>3485.6860000000001</v>
      </c>
      <c r="DN92" s="1">
        <v>3540.5749999999998</v>
      </c>
      <c r="DO92" s="1">
        <v>3356.2860000000001</v>
      </c>
      <c r="DP92" s="1">
        <v>3124.895</v>
      </c>
      <c r="DQ92" s="1">
        <v>3485.6860000000001</v>
      </c>
      <c r="DR92" s="1">
        <v>3540.5749999999998</v>
      </c>
      <c r="DS92" s="1">
        <v>3356.2860000000001</v>
      </c>
      <c r="DT92" s="1">
        <v>3124.895</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1012.206</v>
      </c>
      <c r="EL92" s="1">
        <v>609.24099999999999</v>
      </c>
      <c r="EM92" s="1">
        <v>692.12900000000002</v>
      </c>
      <c r="EN92" s="1">
        <v>844.35699999999997</v>
      </c>
      <c r="EO92" s="1">
        <v>1012.206</v>
      </c>
      <c r="EP92" s="1">
        <v>609.24099999999999</v>
      </c>
      <c r="EQ92" s="1">
        <v>692.12900000000002</v>
      </c>
      <c r="ER92" s="1">
        <v>844.35699999999997</v>
      </c>
      <c r="ES92" s="1">
        <v>0</v>
      </c>
      <c r="ET92" s="1">
        <v>0</v>
      </c>
      <c r="EU92" s="1">
        <v>0</v>
      </c>
      <c r="EV92" s="1">
        <v>0</v>
      </c>
      <c r="EW92" s="1">
        <v>0</v>
      </c>
      <c r="EX92" s="1">
        <v>0</v>
      </c>
      <c r="EY92" s="1">
        <v>0</v>
      </c>
      <c r="EZ92" s="1">
        <v>0</v>
      </c>
      <c r="FA92" s="1">
        <v>0</v>
      </c>
      <c r="FB92" s="1">
        <v>0</v>
      </c>
      <c r="FC92" s="1">
        <v>0</v>
      </c>
      <c r="FD92" s="1">
        <v>0</v>
      </c>
      <c r="FE92" s="1">
        <v>128.52500000000001</v>
      </c>
      <c r="FF92" s="1">
        <v>183.512</v>
      </c>
      <c r="FG92" s="1">
        <v>162.785</v>
      </c>
      <c r="FH92" s="1">
        <v>227.238</v>
      </c>
      <c r="FI92" s="1">
        <v>128.52500000000001</v>
      </c>
      <c r="FJ92" s="1">
        <v>183.512</v>
      </c>
      <c r="FK92" s="1">
        <v>162.785</v>
      </c>
      <c r="FL92" s="1">
        <v>227.238</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41.084000000000003</v>
      </c>
      <c r="GD92" s="1">
        <v>34.246000000000002</v>
      </c>
      <c r="GE92" s="1">
        <v>39.798000000000002</v>
      </c>
      <c r="GF92" s="1">
        <v>64.488</v>
      </c>
      <c r="GG92" s="1">
        <v>41.084000000000003</v>
      </c>
      <c r="GH92" s="1">
        <v>34.246000000000002</v>
      </c>
      <c r="GI92" s="1">
        <v>39.798000000000002</v>
      </c>
      <c r="GJ92" s="1">
        <v>64.488</v>
      </c>
      <c r="GK92" s="1">
        <v>0</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0</v>
      </c>
      <c r="JO92" s="1">
        <v>0</v>
      </c>
      <c r="JP92" s="1">
        <v>0</v>
      </c>
      <c r="JQ92" s="9"/>
      <c r="JR92" s="1">
        <f t="shared" si="25"/>
        <v>3218.0976000000005</v>
      </c>
      <c r="JS92" s="1">
        <f t="shared" si="25"/>
        <v>3261.7034099999996</v>
      </c>
      <c r="JT92" s="1">
        <f t="shared" si="25"/>
        <v>3065.7781800000012</v>
      </c>
      <c r="JU92" s="1">
        <f t="shared" si="25"/>
        <v>3097.0123199999994</v>
      </c>
      <c r="JV92" s="1">
        <f t="shared" si="26"/>
        <v>595.94400000000007</v>
      </c>
      <c r="JW92" s="1">
        <f t="shared" si="26"/>
        <v>604.01914999999997</v>
      </c>
      <c r="JX92" s="1">
        <f t="shared" si="26"/>
        <v>567.73670000000027</v>
      </c>
      <c r="JY92" s="1">
        <f t="shared" si="26"/>
        <v>573.52079999999989</v>
      </c>
    </row>
    <row r="93" spans="1:285" x14ac:dyDescent="0.35">
      <c r="A93" s="2" t="s">
        <v>100</v>
      </c>
      <c r="B93" s="1">
        <v>109587</v>
      </c>
      <c r="C93" s="1">
        <v>110040</v>
      </c>
      <c r="D93" s="1">
        <v>110372</v>
      </c>
      <c r="E93" s="1">
        <v>111486</v>
      </c>
      <c r="F93" s="1">
        <v>30555.83</v>
      </c>
      <c r="G93" s="1">
        <v>32153.23</v>
      </c>
      <c r="H93" s="1">
        <v>31688.01</v>
      </c>
      <c r="I93" s="1">
        <v>32499.05</v>
      </c>
      <c r="J93" s="1">
        <f t="shared" si="27"/>
        <v>21045.15</v>
      </c>
      <c r="K93" s="1">
        <f t="shared" si="28"/>
        <v>23163.94</v>
      </c>
      <c r="L93" s="1">
        <f t="shared" si="29"/>
        <v>22967.38</v>
      </c>
      <c r="M93" s="1">
        <f t="shared" si="30"/>
        <v>23281.170000000006</v>
      </c>
      <c r="N93" s="1">
        <f t="shared" si="31"/>
        <v>9510.68</v>
      </c>
      <c r="O93" s="1">
        <f t="shared" si="32"/>
        <v>8989.2900000000009</v>
      </c>
      <c r="P93" s="1">
        <f t="shared" si="33"/>
        <v>8720.6299999999974</v>
      </c>
      <c r="Q93" s="1">
        <f t="shared" si="34"/>
        <v>9217.8799999999937</v>
      </c>
      <c r="R93" s="1">
        <v>4019.34</v>
      </c>
      <c r="S93" s="1">
        <v>3352.66</v>
      </c>
      <c r="T93" s="1">
        <v>2828.8</v>
      </c>
      <c r="U93" s="1">
        <v>2609.6800000000003</v>
      </c>
      <c r="V93" s="1">
        <v>4019.34</v>
      </c>
      <c r="W93" s="1">
        <v>0</v>
      </c>
      <c r="X93" s="1">
        <v>0</v>
      </c>
      <c r="Y93" s="1">
        <v>3352.66</v>
      </c>
      <c r="Z93" s="1">
        <v>0</v>
      </c>
      <c r="AA93" s="1">
        <v>0</v>
      </c>
      <c r="AB93" s="1">
        <v>2828.8</v>
      </c>
      <c r="AC93" s="1">
        <v>0</v>
      </c>
      <c r="AD93" s="1">
        <v>0</v>
      </c>
      <c r="AE93" s="1">
        <v>2609.6800000000003</v>
      </c>
      <c r="AF93" s="1">
        <v>0</v>
      </c>
      <c r="AG93" s="1">
        <v>0</v>
      </c>
      <c r="AH93" s="1">
        <v>0</v>
      </c>
      <c r="AI93" s="1">
        <v>0</v>
      </c>
      <c r="AJ93" s="1">
        <v>0</v>
      </c>
      <c r="AK93" s="1">
        <v>0</v>
      </c>
      <c r="AL93" s="1">
        <v>0</v>
      </c>
      <c r="AM93" s="1">
        <v>0</v>
      </c>
      <c r="AN93" s="1">
        <v>0</v>
      </c>
      <c r="AO93" s="1">
        <v>0</v>
      </c>
      <c r="AP93" s="1">
        <v>4508.88</v>
      </c>
      <c r="AQ93" s="1">
        <v>4441.3999999999996</v>
      </c>
      <c r="AR93" s="1">
        <v>4750.04</v>
      </c>
      <c r="AS93" s="1">
        <v>5209.58</v>
      </c>
      <c r="AT93" s="1">
        <v>0</v>
      </c>
      <c r="AU93" s="1">
        <v>4508.88</v>
      </c>
      <c r="AV93" s="1">
        <v>0</v>
      </c>
      <c r="AW93" s="1">
        <v>0</v>
      </c>
      <c r="AX93" s="1">
        <v>0</v>
      </c>
      <c r="AY93" s="1">
        <v>4441.3999999999996</v>
      </c>
      <c r="AZ93" s="1">
        <v>0</v>
      </c>
      <c r="BA93" s="1">
        <v>0</v>
      </c>
      <c r="BB93" s="1">
        <v>0</v>
      </c>
      <c r="BC93" s="1">
        <v>4750.04</v>
      </c>
      <c r="BD93" s="1">
        <v>0</v>
      </c>
      <c r="BE93" s="1">
        <v>0</v>
      </c>
      <c r="BF93" s="1">
        <v>5209.58</v>
      </c>
      <c r="BG93" s="1">
        <v>0</v>
      </c>
      <c r="BH93" s="1">
        <v>0</v>
      </c>
      <c r="BI93" s="1">
        <v>0</v>
      </c>
      <c r="BJ93" s="1">
        <v>0</v>
      </c>
      <c r="BK93" s="1">
        <v>0</v>
      </c>
      <c r="BL93" s="1">
        <v>0</v>
      </c>
      <c r="BM93" s="1">
        <v>0</v>
      </c>
      <c r="BN93" s="1">
        <v>0</v>
      </c>
      <c r="BO93" s="1">
        <v>0</v>
      </c>
      <c r="BP93" s="1">
        <v>0</v>
      </c>
      <c r="BQ93" s="1">
        <v>0</v>
      </c>
      <c r="BR93" s="1">
        <v>0</v>
      </c>
      <c r="BS93" s="1">
        <v>0</v>
      </c>
      <c r="BT93" s="1">
        <v>0</v>
      </c>
      <c r="BU93" s="1">
        <v>4033.94</v>
      </c>
      <c r="BV93" s="1">
        <v>5053.43</v>
      </c>
      <c r="BW93" s="1">
        <v>4858.3</v>
      </c>
      <c r="BX93" s="1">
        <v>4998.8599999999997</v>
      </c>
      <c r="BY93" s="1">
        <v>4033.94</v>
      </c>
      <c r="BZ93" s="1">
        <v>5053.43</v>
      </c>
      <c r="CA93" s="1">
        <v>4858.3</v>
      </c>
      <c r="CB93" s="1">
        <v>4998.8599999999997</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2364.13</v>
      </c>
      <c r="CT93" s="1">
        <v>2238.66</v>
      </c>
      <c r="CU93" s="1">
        <v>2244.14</v>
      </c>
      <c r="CV93" s="1">
        <v>2533.9499999999998</v>
      </c>
      <c r="CW93" s="1">
        <v>2364.13</v>
      </c>
      <c r="CX93" s="1">
        <v>2238.66</v>
      </c>
      <c r="CY93" s="1">
        <v>2244.14</v>
      </c>
      <c r="CZ93" s="1">
        <v>2533.9499999999998</v>
      </c>
      <c r="DA93" s="1">
        <v>0</v>
      </c>
      <c r="DB93" s="1">
        <v>0</v>
      </c>
      <c r="DC93" s="1">
        <v>0</v>
      </c>
      <c r="DD93" s="1">
        <v>0</v>
      </c>
      <c r="DE93" s="1">
        <v>0</v>
      </c>
      <c r="DF93" s="1">
        <v>0</v>
      </c>
      <c r="DG93" s="1">
        <v>0</v>
      </c>
      <c r="DH93" s="1">
        <v>0</v>
      </c>
      <c r="DI93" s="1">
        <v>0</v>
      </c>
      <c r="DJ93" s="1">
        <v>0</v>
      </c>
      <c r="DK93" s="1">
        <v>0</v>
      </c>
      <c r="DL93" s="1">
        <v>0</v>
      </c>
      <c r="DM93" s="1">
        <v>3634.67</v>
      </c>
      <c r="DN93" s="1">
        <v>4910.13</v>
      </c>
      <c r="DO93" s="1">
        <v>4732.16</v>
      </c>
      <c r="DP93" s="1">
        <v>3857.45</v>
      </c>
      <c r="DQ93" s="1">
        <v>3634.67</v>
      </c>
      <c r="DR93" s="1">
        <v>4910.13</v>
      </c>
      <c r="DS93" s="1">
        <v>4732.16</v>
      </c>
      <c r="DT93" s="1">
        <v>3857.45</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1700.72</v>
      </c>
      <c r="EL93" s="1">
        <v>2292.8000000000002</v>
      </c>
      <c r="EM93" s="1">
        <v>2078.69</v>
      </c>
      <c r="EN93" s="1">
        <v>2372.17</v>
      </c>
      <c r="EO93" s="1">
        <v>1700.72</v>
      </c>
      <c r="EP93" s="1">
        <v>2292.8000000000002</v>
      </c>
      <c r="EQ93" s="1">
        <v>2078.69</v>
      </c>
      <c r="ER93" s="1">
        <v>2372.17</v>
      </c>
      <c r="ES93" s="1">
        <v>0</v>
      </c>
      <c r="ET93" s="1">
        <v>0</v>
      </c>
      <c r="EU93" s="1">
        <v>0</v>
      </c>
      <c r="EV93" s="1">
        <v>0</v>
      </c>
      <c r="EW93" s="1">
        <v>0</v>
      </c>
      <c r="EX93" s="1">
        <v>0</v>
      </c>
      <c r="EY93" s="1">
        <v>0</v>
      </c>
      <c r="EZ93" s="1">
        <v>0</v>
      </c>
      <c r="FA93" s="1">
        <v>0</v>
      </c>
      <c r="FB93" s="1">
        <v>0</v>
      </c>
      <c r="FC93" s="1">
        <v>0</v>
      </c>
      <c r="FD93" s="1">
        <v>0</v>
      </c>
      <c r="FE93" s="1">
        <v>156.80000000000001</v>
      </c>
      <c r="FF93" s="1">
        <v>22.61</v>
      </c>
      <c r="FG93" s="1">
        <v>26.61</v>
      </c>
      <c r="FH93" s="1">
        <v>23.63</v>
      </c>
      <c r="FI93" s="1">
        <v>156.80000000000001</v>
      </c>
      <c r="FJ93" s="1">
        <v>22.61</v>
      </c>
      <c r="FK93" s="1">
        <v>26.61</v>
      </c>
      <c r="FL93" s="1">
        <v>23.63</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34.06</v>
      </c>
      <c r="GD93" s="1">
        <v>5.76</v>
      </c>
      <c r="GE93" s="1">
        <v>28.99</v>
      </c>
      <c r="GF93" s="1">
        <v>44.489999999999988</v>
      </c>
      <c r="GG93" s="1">
        <v>34.06</v>
      </c>
      <c r="GH93" s="1">
        <v>5.76</v>
      </c>
      <c r="GI93" s="1">
        <v>28.99</v>
      </c>
      <c r="GJ93" s="1">
        <v>44.489999999999988</v>
      </c>
      <c r="GK93" s="1">
        <v>0</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592.61</v>
      </c>
      <c r="IP93" s="1">
        <v>846.49</v>
      </c>
      <c r="IQ93" s="1">
        <v>1419.65</v>
      </c>
      <c r="IR93" s="1">
        <v>1631.36</v>
      </c>
      <c r="IS93" s="1">
        <v>592.61</v>
      </c>
      <c r="IT93" s="1">
        <v>846.49</v>
      </c>
      <c r="IU93" s="1">
        <v>1419.65</v>
      </c>
      <c r="IV93" s="1">
        <v>1631.36</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0</v>
      </c>
      <c r="JO93" s="1">
        <v>0</v>
      </c>
      <c r="JP93" s="1">
        <v>0</v>
      </c>
      <c r="JQ93" s="9"/>
      <c r="JR93" s="1">
        <f t="shared" si="25"/>
        <v>2567.8836000000001</v>
      </c>
      <c r="JS93" s="1">
        <f t="shared" si="25"/>
        <v>2427.1083000000003</v>
      </c>
      <c r="JT93" s="1">
        <f t="shared" si="25"/>
        <v>2354.5700999999995</v>
      </c>
      <c r="JU93" s="1">
        <f t="shared" si="25"/>
        <v>2488.8275999999983</v>
      </c>
      <c r="JV93" s="1">
        <f t="shared" si="26"/>
        <v>475.53400000000005</v>
      </c>
      <c r="JW93" s="1">
        <f t="shared" si="26"/>
        <v>449.46450000000004</v>
      </c>
      <c r="JX93" s="1">
        <f t="shared" si="26"/>
        <v>436.03149999999988</v>
      </c>
      <c r="JY93" s="1">
        <f t="shared" si="26"/>
        <v>460.89399999999972</v>
      </c>
    </row>
    <row r="94" spans="1:285" x14ac:dyDescent="0.35">
      <c r="A94" s="2" t="s">
        <v>101</v>
      </c>
      <c r="B94" s="1">
        <v>86454</v>
      </c>
      <c r="C94" s="1">
        <v>87114</v>
      </c>
      <c r="D94" s="1">
        <v>87931</v>
      </c>
      <c r="E94" s="1">
        <v>89050</v>
      </c>
      <c r="F94" s="1">
        <v>23398.437000000002</v>
      </c>
      <c r="G94" s="1">
        <v>22748.74</v>
      </c>
      <c r="H94" s="1">
        <v>23673.113000000001</v>
      </c>
      <c r="I94" s="1">
        <v>24036.23</v>
      </c>
      <c r="J94" s="1">
        <f t="shared" si="27"/>
        <v>23064.965</v>
      </c>
      <c r="K94" s="1">
        <f t="shared" si="28"/>
        <v>22237.997000000003</v>
      </c>
      <c r="L94" s="1">
        <f t="shared" si="29"/>
        <v>23309.834999999999</v>
      </c>
      <c r="M94" s="1">
        <f t="shared" si="30"/>
        <v>23519.224999999999</v>
      </c>
      <c r="N94" s="1">
        <f t="shared" si="31"/>
        <v>333.47200000000157</v>
      </c>
      <c r="O94" s="1">
        <f t="shared" si="32"/>
        <v>510.74299999999857</v>
      </c>
      <c r="P94" s="1">
        <f t="shared" si="33"/>
        <v>363.27800000000207</v>
      </c>
      <c r="Q94" s="1">
        <f t="shared" si="34"/>
        <v>517.00500000000102</v>
      </c>
      <c r="R94" s="1">
        <v>2810.5</v>
      </c>
      <c r="S94" s="1">
        <v>2796.64</v>
      </c>
      <c r="T94" s="1">
        <v>2603.4</v>
      </c>
      <c r="U94" s="1">
        <v>2468.96</v>
      </c>
      <c r="V94" s="1">
        <v>0</v>
      </c>
      <c r="W94" s="1">
        <v>0</v>
      </c>
      <c r="X94" s="1">
        <v>2810.5</v>
      </c>
      <c r="Y94" s="1">
        <v>0</v>
      </c>
      <c r="Z94" s="1">
        <v>0</v>
      </c>
      <c r="AA94" s="1">
        <v>2796.64</v>
      </c>
      <c r="AB94" s="1">
        <v>0</v>
      </c>
      <c r="AC94" s="1">
        <v>0</v>
      </c>
      <c r="AD94" s="1">
        <v>2603.4</v>
      </c>
      <c r="AE94" s="1">
        <v>0</v>
      </c>
      <c r="AF94" s="1">
        <v>0</v>
      </c>
      <c r="AG94" s="1">
        <v>2468.96</v>
      </c>
      <c r="AH94" s="1">
        <v>0</v>
      </c>
      <c r="AI94" s="1">
        <v>0</v>
      </c>
      <c r="AJ94" s="1">
        <v>0</v>
      </c>
      <c r="AK94" s="1">
        <v>0</v>
      </c>
      <c r="AL94" s="1">
        <v>0</v>
      </c>
      <c r="AM94" s="1">
        <v>0</v>
      </c>
      <c r="AN94" s="1">
        <v>0</v>
      </c>
      <c r="AO94" s="1">
        <v>0</v>
      </c>
      <c r="AP94" s="1">
        <v>8016.57</v>
      </c>
      <c r="AQ94" s="1">
        <v>7748.1600000000008</v>
      </c>
      <c r="AR94" s="1">
        <v>6854.4900000000007</v>
      </c>
      <c r="AS94" s="1">
        <v>7613.18</v>
      </c>
      <c r="AT94" s="1">
        <v>0</v>
      </c>
      <c r="AU94" s="1">
        <v>8016.57</v>
      </c>
      <c r="AV94" s="1">
        <v>0</v>
      </c>
      <c r="AW94" s="1">
        <v>0</v>
      </c>
      <c r="AX94" s="1">
        <v>0</v>
      </c>
      <c r="AY94" s="1">
        <v>7748.1600000000008</v>
      </c>
      <c r="AZ94" s="1">
        <v>0</v>
      </c>
      <c r="BA94" s="1">
        <v>0</v>
      </c>
      <c r="BB94" s="1">
        <v>0</v>
      </c>
      <c r="BC94" s="1">
        <v>6854.4900000000007</v>
      </c>
      <c r="BD94" s="1">
        <v>0</v>
      </c>
      <c r="BE94" s="1">
        <v>0</v>
      </c>
      <c r="BF94" s="1">
        <v>7613.18</v>
      </c>
      <c r="BG94" s="1">
        <v>0</v>
      </c>
      <c r="BH94" s="1">
        <v>0</v>
      </c>
      <c r="BI94" s="1">
        <v>0</v>
      </c>
      <c r="BJ94" s="1">
        <v>0</v>
      </c>
      <c r="BK94" s="1">
        <v>0</v>
      </c>
      <c r="BL94" s="1">
        <v>0</v>
      </c>
      <c r="BM94" s="1">
        <v>0</v>
      </c>
      <c r="BN94" s="1">
        <v>0</v>
      </c>
      <c r="BO94" s="1">
        <v>0</v>
      </c>
      <c r="BP94" s="1">
        <v>0</v>
      </c>
      <c r="BQ94" s="1">
        <v>0</v>
      </c>
      <c r="BR94" s="1">
        <v>0</v>
      </c>
      <c r="BS94" s="1">
        <v>0</v>
      </c>
      <c r="BT94" s="1">
        <v>0</v>
      </c>
      <c r="BU94" s="1">
        <v>8103.0050000000001</v>
      </c>
      <c r="BV94" s="1">
        <v>7341.567</v>
      </c>
      <c r="BW94" s="1">
        <v>8395.6589999999997</v>
      </c>
      <c r="BX94" s="1">
        <v>8215.64</v>
      </c>
      <c r="BY94" s="1">
        <v>8101.6049999999996</v>
      </c>
      <c r="BZ94" s="1">
        <v>7340.8670000000002</v>
      </c>
      <c r="CA94" s="1">
        <v>8395.378999999999</v>
      </c>
      <c r="CB94" s="1">
        <v>7974.33</v>
      </c>
      <c r="CC94" s="1">
        <v>1.4</v>
      </c>
      <c r="CD94" s="1">
        <v>0.7</v>
      </c>
      <c r="CE94" s="1">
        <v>0.28000000000000003</v>
      </c>
      <c r="CF94" s="1">
        <v>241.31</v>
      </c>
      <c r="CG94" s="1">
        <v>0</v>
      </c>
      <c r="CH94" s="1">
        <v>0</v>
      </c>
      <c r="CI94" s="1">
        <v>0</v>
      </c>
      <c r="CJ94" s="1">
        <v>0</v>
      </c>
      <c r="CK94" s="1">
        <v>0</v>
      </c>
      <c r="CL94" s="1">
        <v>0</v>
      </c>
      <c r="CM94" s="1">
        <v>0</v>
      </c>
      <c r="CN94" s="1">
        <v>0</v>
      </c>
      <c r="CO94" s="1">
        <v>0</v>
      </c>
      <c r="CP94" s="1">
        <v>0</v>
      </c>
      <c r="CQ94" s="1">
        <v>0</v>
      </c>
      <c r="CR94" s="1">
        <v>0</v>
      </c>
      <c r="CS94" s="1">
        <v>648.38</v>
      </c>
      <c r="CT94" s="1">
        <v>702.85</v>
      </c>
      <c r="CU94" s="1">
        <v>1205.1089999999999</v>
      </c>
      <c r="CV94" s="1">
        <v>901.1400000000001</v>
      </c>
      <c r="CW94" s="1">
        <v>648.38</v>
      </c>
      <c r="CX94" s="1">
        <v>702.85</v>
      </c>
      <c r="CY94" s="1">
        <v>1205.1089999999999</v>
      </c>
      <c r="CZ94" s="1">
        <v>901.1400000000001</v>
      </c>
      <c r="DA94" s="1">
        <v>0</v>
      </c>
      <c r="DB94" s="1">
        <v>0</v>
      </c>
      <c r="DC94" s="1">
        <v>0</v>
      </c>
      <c r="DD94" s="1">
        <v>0</v>
      </c>
      <c r="DE94" s="1">
        <v>0</v>
      </c>
      <c r="DF94" s="1">
        <v>0</v>
      </c>
      <c r="DG94" s="1">
        <v>0</v>
      </c>
      <c r="DH94" s="1">
        <v>0</v>
      </c>
      <c r="DI94" s="1">
        <v>0</v>
      </c>
      <c r="DJ94" s="1">
        <v>0</v>
      </c>
      <c r="DK94" s="1">
        <v>0</v>
      </c>
      <c r="DL94" s="1">
        <v>0</v>
      </c>
      <c r="DM94" s="1">
        <v>2760.89</v>
      </c>
      <c r="DN94" s="1">
        <v>2832.91</v>
      </c>
      <c r="DO94" s="1">
        <v>2681.08</v>
      </c>
      <c r="DP94" s="1">
        <v>2758.78</v>
      </c>
      <c r="DQ94" s="1">
        <v>2760.89</v>
      </c>
      <c r="DR94" s="1">
        <v>2832.91</v>
      </c>
      <c r="DS94" s="1">
        <v>2681.08</v>
      </c>
      <c r="DT94" s="1">
        <v>2758.78</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540.19000000000005</v>
      </c>
      <c r="EL94" s="1">
        <v>549.79</v>
      </c>
      <c r="EM94" s="1">
        <v>1205.1089999999999</v>
      </c>
      <c r="EN94" s="1">
        <v>840.36</v>
      </c>
      <c r="EO94" s="1">
        <v>540.19000000000005</v>
      </c>
      <c r="EP94" s="1">
        <v>549.79</v>
      </c>
      <c r="EQ94" s="1">
        <v>1205.1089999999999</v>
      </c>
      <c r="ER94" s="1">
        <v>840.36</v>
      </c>
      <c r="ES94" s="1">
        <v>0</v>
      </c>
      <c r="ET94" s="1">
        <v>0</v>
      </c>
      <c r="EU94" s="1">
        <v>0</v>
      </c>
      <c r="EV94" s="1">
        <v>0</v>
      </c>
      <c r="EW94" s="1">
        <v>0</v>
      </c>
      <c r="EX94" s="1">
        <v>0</v>
      </c>
      <c r="EY94" s="1">
        <v>0</v>
      </c>
      <c r="EZ94" s="1">
        <v>0</v>
      </c>
      <c r="FA94" s="1">
        <v>0</v>
      </c>
      <c r="FB94" s="1">
        <v>0</v>
      </c>
      <c r="FC94" s="1">
        <v>0</v>
      </c>
      <c r="FD94" s="1">
        <v>0</v>
      </c>
      <c r="FE94" s="1">
        <v>135.79</v>
      </c>
      <c r="FF94" s="1">
        <v>180.06</v>
      </c>
      <c r="FG94" s="1">
        <v>242.75</v>
      </c>
      <c r="FH94" s="1">
        <v>565.30000000000007</v>
      </c>
      <c r="FI94" s="1">
        <v>92.519999999999982</v>
      </c>
      <c r="FJ94" s="1">
        <v>110.82</v>
      </c>
      <c r="FK94" s="1">
        <v>106.77</v>
      </c>
      <c r="FL94" s="1">
        <v>142.08000000000001</v>
      </c>
      <c r="FM94" s="1">
        <v>43.27</v>
      </c>
      <c r="FN94" s="1">
        <v>69.239999999999995</v>
      </c>
      <c r="FO94" s="1">
        <v>135.97999999999999</v>
      </c>
      <c r="FP94" s="1">
        <v>423.22</v>
      </c>
      <c r="FQ94" s="1">
        <v>0</v>
      </c>
      <c r="FR94" s="1">
        <v>0</v>
      </c>
      <c r="FS94" s="1">
        <v>0</v>
      </c>
      <c r="FT94" s="1">
        <v>0</v>
      </c>
      <c r="FU94" s="1">
        <v>0</v>
      </c>
      <c r="FV94" s="1">
        <v>0</v>
      </c>
      <c r="FW94" s="1">
        <v>0</v>
      </c>
      <c r="FX94" s="1">
        <v>0</v>
      </c>
      <c r="FY94" s="1">
        <v>0</v>
      </c>
      <c r="FZ94" s="1">
        <v>0</v>
      </c>
      <c r="GA94" s="1">
        <v>0</v>
      </c>
      <c r="GB94" s="1">
        <v>0</v>
      </c>
      <c r="GC94" s="1">
        <v>49.64</v>
      </c>
      <c r="GD94" s="1">
        <v>86.02</v>
      </c>
      <c r="GE94" s="1">
        <v>68.889999999999986</v>
      </c>
      <c r="GF94" s="1">
        <v>67.27000000000001</v>
      </c>
      <c r="GG94" s="1">
        <v>49.64</v>
      </c>
      <c r="GH94" s="1">
        <v>86.02</v>
      </c>
      <c r="GI94" s="1">
        <v>68.889999999999986</v>
      </c>
      <c r="GJ94" s="1">
        <v>67.27000000000001</v>
      </c>
      <c r="GK94" s="1">
        <v>0</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53.347999999999999</v>
      </c>
      <c r="IR94" s="1">
        <v>88.594999999999999</v>
      </c>
      <c r="IS94" s="1">
        <v>0</v>
      </c>
      <c r="IT94" s="1">
        <v>0</v>
      </c>
      <c r="IU94" s="1">
        <v>53.347999999999999</v>
      </c>
      <c r="IV94" s="1">
        <v>88.594999999999999</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0</v>
      </c>
      <c r="JO94" s="1">
        <v>0</v>
      </c>
      <c r="JP94" s="1">
        <v>0</v>
      </c>
      <c r="JQ94" s="9"/>
      <c r="JR94" s="1">
        <f t="shared" si="25"/>
        <v>90.03744000000043</v>
      </c>
      <c r="JS94" s="1">
        <f t="shared" si="25"/>
        <v>137.90060999999963</v>
      </c>
      <c r="JT94" s="1">
        <f t="shared" si="25"/>
        <v>98.085060000000567</v>
      </c>
      <c r="JU94" s="1">
        <f t="shared" si="25"/>
        <v>139.59135000000029</v>
      </c>
      <c r="JV94" s="1">
        <f t="shared" si="26"/>
        <v>16.673600000000079</v>
      </c>
      <c r="JW94" s="1">
        <f t="shared" si="26"/>
        <v>25.537149999999929</v>
      </c>
      <c r="JX94" s="1">
        <f t="shared" si="26"/>
        <v>18.163900000000105</v>
      </c>
      <c r="JY94" s="1">
        <f t="shared" si="26"/>
        <v>25.850250000000052</v>
      </c>
    </row>
    <row r="95" spans="1:285" x14ac:dyDescent="0.35">
      <c r="A95" s="2" t="s">
        <v>102</v>
      </c>
      <c r="B95" s="1">
        <v>80176</v>
      </c>
      <c r="C95" s="1">
        <v>81750</v>
      </c>
      <c r="D95" s="1">
        <v>83050</v>
      </c>
      <c r="E95" s="1">
        <v>84210</v>
      </c>
      <c r="F95" s="1">
        <v>24948.917000000001</v>
      </c>
      <c r="G95" s="1">
        <v>23686.400000000001</v>
      </c>
      <c r="H95" s="1">
        <v>21167.33</v>
      </c>
      <c r="I95" s="1">
        <v>24043.15</v>
      </c>
      <c r="J95" s="1">
        <f t="shared" si="27"/>
        <v>15174.869000000002</v>
      </c>
      <c r="K95" s="1">
        <f t="shared" si="28"/>
        <v>13855.212</v>
      </c>
      <c r="L95" s="1">
        <f t="shared" si="29"/>
        <v>12824.379000000001</v>
      </c>
      <c r="M95" s="1">
        <f t="shared" si="30"/>
        <v>14871.324000000001</v>
      </c>
      <c r="N95" s="1">
        <f t="shared" si="31"/>
        <v>9774.0479999999989</v>
      </c>
      <c r="O95" s="1">
        <f t="shared" si="32"/>
        <v>9831.1880000000019</v>
      </c>
      <c r="P95" s="1">
        <f t="shared" si="33"/>
        <v>8342.9510000000009</v>
      </c>
      <c r="Q95" s="1">
        <f t="shared" si="34"/>
        <v>9171.8260000000009</v>
      </c>
      <c r="R95" s="1">
        <v>0</v>
      </c>
      <c r="S95" s="1">
        <v>0</v>
      </c>
      <c r="T95" s="1">
        <v>0</v>
      </c>
      <c r="U95" s="1">
        <v>0</v>
      </c>
      <c r="V95" s="1">
        <v>0</v>
      </c>
      <c r="W95" s="1">
        <v>0</v>
      </c>
      <c r="X95" s="1">
        <v>0</v>
      </c>
      <c r="Y95" s="1">
        <v>0</v>
      </c>
      <c r="Z95" s="1">
        <v>0</v>
      </c>
      <c r="AA95" s="1">
        <v>0</v>
      </c>
      <c r="AB95" s="1">
        <v>0</v>
      </c>
      <c r="AC95" s="1">
        <v>0</v>
      </c>
      <c r="AD95" s="1">
        <v>0</v>
      </c>
      <c r="AE95" s="1">
        <v>0</v>
      </c>
      <c r="AF95" s="1">
        <v>0</v>
      </c>
      <c r="AG95" s="1">
        <v>0</v>
      </c>
      <c r="AH95" s="1">
        <v>0</v>
      </c>
      <c r="AI95" s="1">
        <v>0</v>
      </c>
      <c r="AJ95" s="1">
        <v>0</v>
      </c>
      <c r="AK95" s="1">
        <v>0</v>
      </c>
      <c r="AL95" s="1">
        <v>0</v>
      </c>
      <c r="AM95" s="1">
        <v>0</v>
      </c>
      <c r="AN95" s="1">
        <v>0</v>
      </c>
      <c r="AO95" s="1">
        <v>0</v>
      </c>
      <c r="AP95" s="1">
        <v>5572.74</v>
      </c>
      <c r="AQ95" s="1">
        <v>4897.4400000000005</v>
      </c>
      <c r="AR95" s="1">
        <v>4853.0700000000006</v>
      </c>
      <c r="AS95" s="1">
        <v>6971.43</v>
      </c>
      <c r="AT95" s="1">
        <v>0</v>
      </c>
      <c r="AU95" s="1">
        <v>5572.74</v>
      </c>
      <c r="AV95" s="1">
        <v>0</v>
      </c>
      <c r="AW95" s="1">
        <v>0</v>
      </c>
      <c r="AX95" s="1">
        <v>0</v>
      </c>
      <c r="AY95" s="1">
        <v>4897.4400000000005</v>
      </c>
      <c r="AZ95" s="1">
        <v>0</v>
      </c>
      <c r="BA95" s="1">
        <v>0</v>
      </c>
      <c r="BB95" s="1">
        <v>0</v>
      </c>
      <c r="BC95" s="1">
        <v>4853.0700000000006</v>
      </c>
      <c r="BD95" s="1">
        <v>0</v>
      </c>
      <c r="BE95" s="1">
        <v>0</v>
      </c>
      <c r="BF95" s="1">
        <v>5620.16</v>
      </c>
      <c r="BG95" s="1">
        <v>1351.27</v>
      </c>
      <c r="BH95" s="1">
        <v>0</v>
      </c>
      <c r="BI95" s="1">
        <v>0</v>
      </c>
      <c r="BJ95" s="1">
        <v>0</v>
      </c>
      <c r="BK95" s="1">
        <v>0</v>
      </c>
      <c r="BL95" s="1">
        <v>0</v>
      </c>
      <c r="BM95" s="1">
        <v>0</v>
      </c>
      <c r="BN95" s="1">
        <v>0</v>
      </c>
      <c r="BO95" s="1">
        <v>0</v>
      </c>
      <c r="BP95" s="1">
        <v>0</v>
      </c>
      <c r="BQ95" s="1">
        <v>0</v>
      </c>
      <c r="BR95" s="1">
        <v>0</v>
      </c>
      <c r="BS95" s="1">
        <v>0</v>
      </c>
      <c r="BT95" s="1">
        <v>0</v>
      </c>
      <c r="BU95" s="1">
        <v>3465.5610000000011</v>
      </c>
      <c r="BV95" s="1">
        <v>3423.67</v>
      </c>
      <c r="BW95" s="1">
        <v>3079.67</v>
      </c>
      <c r="BX95" s="1">
        <v>2991.96</v>
      </c>
      <c r="BY95" s="1">
        <v>3465.5610000000011</v>
      </c>
      <c r="BZ95" s="1">
        <v>3423.67</v>
      </c>
      <c r="CA95" s="1">
        <v>3079.67</v>
      </c>
      <c r="CB95" s="1">
        <v>2991.96</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799.72800000000007</v>
      </c>
      <c r="CT95" s="1">
        <v>799.07600000000002</v>
      </c>
      <c r="CU95" s="1">
        <v>444.745</v>
      </c>
      <c r="CV95" s="1">
        <v>554.01099999999997</v>
      </c>
      <c r="CW95" s="1">
        <v>799.72800000000007</v>
      </c>
      <c r="CX95" s="1">
        <v>799.07600000000002</v>
      </c>
      <c r="CY95" s="1">
        <v>444.745</v>
      </c>
      <c r="CZ95" s="1">
        <v>554.01099999999997</v>
      </c>
      <c r="DA95" s="1">
        <v>0</v>
      </c>
      <c r="DB95" s="1">
        <v>0</v>
      </c>
      <c r="DC95" s="1">
        <v>0</v>
      </c>
      <c r="DD95" s="1">
        <v>0</v>
      </c>
      <c r="DE95" s="1">
        <v>0</v>
      </c>
      <c r="DF95" s="1">
        <v>0</v>
      </c>
      <c r="DG95" s="1">
        <v>0</v>
      </c>
      <c r="DH95" s="1">
        <v>0</v>
      </c>
      <c r="DI95" s="1">
        <v>0</v>
      </c>
      <c r="DJ95" s="1">
        <v>0</v>
      </c>
      <c r="DK95" s="1">
        <v>0</v>
      </c>
      <c r="DL95" s="1">
        <v>0</v>
      </c>
      <c r="DM95" s="1">
        <v>2838.902</v>
      </c>
      <c r="DN95" s="1">
        <v>2794.8359999999998</v>
      </c>
      <c r="DO95" s="1">
        <v>3114.5929999999998</v>
      </c>
      <c r="DP95" s="1">
        <v>2915.66</v>
      </c>
      <c r="DQ95" s="1">
        <v>2838.902</v>
      </c>
      <c r="DR95" s="1">
        <v>2794.8359999999998</v>
      </c>
      <c r="DS95" s="1">
        <v>3114.5929999999998</v>
      </c>
      <c r="DT95" s="1">
        <v>2915.66</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307.52999999999997</v>
      </c>
      <c r="EL95" s="1">
        <v>1317.077</v>
      </c>
      <c r="EM95" s="1">
        <v>731.68000000000006</v>
      </c>
      <c r="EN95" s="1">
        <v>769.803</v>
      </c>
      <c r="EO95" s="1">
        <v>307.52999999999997</v>
      </c>
      <c r="EP95" s="1">
        <v>1317.077</v>
      </c>
      <c r="EQ95" s="1">
        <v>731.68000000000006</v>
      </c>
      <c r="ER95" s="1">
        <v>769.803</v>
      </c>
      <c r="ES95" s="1">
        <v>0</v>
      </c>
      <c r="ET95" s="1">
        <v>0</v>
      </c>
      <c r="EU95" s="1">
        <v>0</v>
      </c>
      <c r="EV95" s="1">
        <v>0</v>
      </c>
      <c r="EW95" s="1">
        <v>0</v>
      </c>
      <c r="EX95" s="1">
        <v>0</v>
      </c>
      <c r="EY95" s="1">
        <v>0</v>
      </c>
      <c r="EZ95" s="1">
        <v>0</v>
      </c>
      <c r="FA95" s="1">
        <v>0</v>
      </c>
      <c r="FB95" s="1">
        <v>0</v>
      </c>
      <c r="FC95" s="1">
        <v>0</v>
      </c>
      <c r="FD95" s="1">
        <v>0</v>
      </c>
      <c r="FE95" s="1">
        <v>67.837999999999994</v>
      </c>
      <c r="FF95" s="1">
        <v>67.01400000000001</v>
      </c>
      <c r="FG95" s="1">
        <v>35.871000000000002</v>
      </c>
      <c r="FH95" s="1">
        <v>23.74</v>
      </c>
      <c r="FI95" s="1">
        <v>67.837999999999994</v>
      </c>
      <c r="FJ95" s="1">
        <v>67.01400000000001</v>
      </c>
      <c r="FK95" s="1">
        <v>35.871000000000002</v>
      </c>
      <c r="FL95" s="1">
        <v>23.74</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10.29</v>
      </c>
      <c r="GD95" s="1">
        <v>5.25</v>
      </c>
      <c r="GE95" s="1">
        <v>34.700000000000003</v>
      </c>
      <c r="GF95" s="1">
        <v>45.510000000000012</v>
      </c>
      <c r="GG95" s="1">
        <v>10.29</v>
      </c>
      <c r="GH95" s="1">
        <v>5.25</v>
      </c>
      <c r="GI95" s="1">
        <v>34.700000000000003</v>
      </c>
      <c r="GJ95" s="1">
        <v>45.510000000000012</v>
      </c>
      <c r="GK95" s="1">
        <v>0</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232.72</v>
      </c>
      <c r="HF95" s="1">
        <v>0</v>
      </c>
      <c r="HG95" s="1">
        <v>0</v>
      </c>
      <c r="HH95" s="1">
        <v>0</v>
      </c>
      <c r="HI95" s="1">
        <v>0</v>
      </c>
      <c r="HJ95" s="1">
        <v>0</v>
      </c>
      <c r="HK95" s="1">
        <v>0</v>
      </c>
      <c r="HL95" s="1">
        <v>0</v>
      </c>
      <c r="HM95" s="1">
        <v>0</v>
      </c>
      <c r="HN95" s="1">
        <v>0</v>
      </c>
      <c r="HO95" s="1">
        <v>0</v>
      </c>
      <c r="HP95" s="1">
        <v>0</v>
      </c>
      <c r="HQ95" s="1">
        <v>0</v>
      </c>
      <c r="HR95" s="1">
        <v>0</v>
      </c>
      <c r="HS95" s="1">
        <v>0</v>
      </c>
      <c r="HT95" s="1">
        <v>0</v>
      </c>
      <c r="HU95" s="1">
        <v>232.72</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1879.56</v>
      </c>
      <c r="IP95" s="1">
        <v>550.84900000000005</v>
      </c>
      <c r="IQ95" s="1">
        <v>530.04999999999995</v>
      </c>
      <c r="IR95" s="1">
        <v>599.21</v>
      </c>
      <c r="IS95" s="1">
        <v>1879.56</v>
      </c>
      <c r="IT95" s="1">
        <v>550.84900000000005</v>
      </c>
      <c r="IU95" s="1">
        <v>530.04999999999995</v>
      </c>
      <c r="IV95" s="1">
        <v>599.21</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0</v>
      </c>
      <c r="JO95" s="1">
        <v>0</v>
      </c>
      <c r="JP95" s="1">
        <v>0</v>
      </c>
      <c r="JQ95" s="9"/>
      <c r="JR95" s="1">
        <f t="shared" si="25"/>
        <v>2638.99296</v>
      </c>
      <c r="JS95" s="1">
        <f t="shared" si="25"/>
        <v>2654.4207600000009</v>
      </c>
      <c r="JT95" s="1">
        <f t="shared" si="25"/>
        <v>2252.5967700000006</v>
      </c>
      <c r="JU95" s="1">
        <f t="shared" si="25"/>
        <v>2476.3930200000004</v>
      </c>
      <c r="JV95" s="1">
        <f t="shared" si="26"/>
        <v>488.70239999999995</v>
      </c>
      <c r="JW95" s="1">
        <f t="shared" si="26"/>
        <v>491.5594000000001</v>
      </c>
      <c r="JX95" s="1">
        <f t="shared" si="26"/>
        <v>417.14755000000008</v>
      </c>
      <c r="JY95" s="1">
        <f t="shared" si="26"/>
        <v>458.59130000000005</v>
      </c>
    </row>
    <row r="96" spans="1:285" x14ac:dyDescent="0.35">
      <c r="A96" s="2" t="s">
        <v>103</v>
      </c>
      <c r="B96" s="1">
        <v>197342</v>
      </c>
      <c r="C96" s="1">
        <v>196179</v>
      </c>
      <c r="D96" s="1">
        <v>198599</v>
      </c>
      <c r="E96" s="1">
        <v>200597</v>
      </c>
      <c r="F96" s="1">
        <v>210892.87400000001</v>
      </c>
      <c r="G96" s="1">
        <v>208162.16</v>
      </c>
      <c r="H96" s="1">
        <v>190392.03</v>
      </c>
      <c r="I96" s="1">
        <v>187300.065</v>
      </c>
      <c r="J96" s="1">
        <f t="shared" si="27"/>
        <v>46393.380000000005</v>
      </c>
      <c r="K96" s="1">
        <f t="shared" si="28"/>
        <v>44928.53</v>
      </c>
      <c r="L96" s="1">
        <f t="shared" si="29"/>
        <v>41105.529999999992</v>
      </c>
      <c r="M96" s="1">
        <f t="shared" si="30"/>
        <v>38498.625</v>
      </c>
      <c r="N96" s="1">
        <f t="shared" si="31"/>
        <v>164499.49400000001</v>
      </c>
      <c r="O96" s="1">
        <f t="shared" si="32"/>
        <v>163233.63</v>
      </c>
      <c r="P96" s="1">
        <f t="shared" si="33"/>
        <v>149286.5</v>
      </c>
      <c r="Q96" s="1">
        <f t="shared" si="34"/>
        <v>148801.44</v>
      </c>
      <c r="R96" s="1">
        <v>0</v>
      </c>
      <c r="S96" s="1">
        <v>0</v>
      </c>
      <c r="T96" s="1">
        <v>0</v>
      </c>
      <c r="U96" s="1">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7011.18</v>
      </c>
      <c r="AQ96" s="1">
        <v>7734.32</v>
      </c>
      <c r="AR96" s="1">
        <v>7725.71</v>
      </c>
      <c r="AS96" s="1">
        <v>8349.2999999999993</v>
      </c>
      <c r="AT96" s="1">
        <v>0</v>
      </c>
      <c r="AU96" s="1">
        <v>7011.18</v>
      </c>
      <c r="AV96" s="1">
        <v>0</v>
      </c>
      <c r="AW96" s="1">
        <v>0</v>
      </c>
      <c r="AX96" s="1">
        <v>0</v>
      </c>
      <c r="AY96" s="1">
        <v>7734.32</v>
      </c>
      <c r="AZ96" s="1">
        <v>0</v>
      </c>
      <c r="BA96" s="1">
        <v>0</v>
      </c>
      <c r="BB96" s="1">
        <v>0</v>
      </c>
      <c r="BC96" s="1">
        <v>7725.71</v>
      </c>
      <c r="BD96" s="1">
        <v>0</v>
      </c>
      <c r="BE96" s="1">
        <v>0</v>
      </c>
      <c r="BF96" s="1">
        <v>8349.2999999999993</v>
      </c>
      <c r="BG96" s="1">
        <v>0</v>
      </c>
      <c r="BH96" s="1">
        <v>0</v>
      </c>
      <c r="BI96" s="1">
        <v>0</v>
      </c>
      <c r="BJ96" s="1">
        <v>0</v>
      </c>
      <c r="BK96" s="1">
        <v>0</v>
      </c>
      <c r="BL96" s="1">
        <v>0</v>
      </c>
      <c r="BM96" s="1">
        <v>0</v>
      </c>
      <c r="BN96" s="1">
        <v>0</v>
      </c>
      <c r="BO96" s="1">
        <v>0</v>
      </c>
      <c r="BP96" s="1">
        <v>0</v>
      </c>
      <c r="BQ96" s="1">
        <v>0</v>
      </c>
      <c r="BR96" s="1">
        <v>0</v>
      </c>
      <c r="BS96" s="1">
        <v>0</v>
      </c>
      <c r="BT96" s="1">
        <v>0</v>
      </c>
      <c r="BU96" s="1">
        <v>8752.84</v>
      </c>
      <c r="BV96" s="1">
        <v>9839.52</v>
      </c>
      <c r="BW96" s="1">
        <v>8310.17</v>
      </c>
      <c r="BX96" s="1">
        <v>5554.0010000000002</v>
      </c>
      <c r="BY96" s="1">
        <v>8729.2199999999993</v>
      </c>
      <c r="BZ96" s="1">
        <v>9802.06</v>
      </c>
      <c r="CA96" s="1">
        <v>8280.2099999999991</v>
      </c>
      <c r="CB96" s="1">
        <v>5525.3009999999986</v>
      </c>
      <c r="CC96" s="1">
        <v>23.62</v>
      </c>
      <c r="CD96" s="1">
        <v>37.46</v>
      </c>
      <c r="CE96" s="1">
        <v>29.96</v>
      </c>
      <c r="CF96" s="1">
        <v>28.7</v>
      </c>
      <c r="CG96" s="1">
        <v>0</v>
      </c>
      <c r="CH96" s="1">
        <v>0</v>
      </c>
      <c r="CI96" s="1">
        <v>0</v>
      </c>
      <c r="CJ96" s="1">
        <v>0</v>
      </c>
      <c r="CK96" s="1">
        <v>0</v>
      </c>
      <c r="CL96" s="1">
        <v>0</v>
      </c>
      <c r="CM96" s="1">
        <v>0</v>
      </c>
      <c r="CN96" s="1">
        <v>0</v>
      </c>
      <c r="CO96" s="1">
        <v>0</v>
      </c>
      <c r="CP96" s="1">
        <v>0</v>
      </c>
      <c r="CQ96" s="1">
        <v>0</v>
      </c>
      <c r="CR96" s="1">
        <v>0</v>
      </c>
      <c r="CS96" s="1">
        <v>3425.61</v>
      </c>
      <c r="CT96" s="1">
        <v>2419.48</v>
      </c>
      <c r="CU96" s="1">
        <v>1831.62</v>
      </c>
      <c r="CV96" s="1">
        <v>1886.3689999999999</v>
      </c>
      <c r="CW96" s="1">
        <v>3425.61</v>
      </c>
      <c r="CX96" s="1">
        <v>2419.48</v>
      </c>
      <c r="CY96" s="1">
        <v>1831.62</v>
      </c>
      <c r="CZ96" s="1">
        <v>1886.3689999999999</v>
      </c>
      <c r="DA96" s="1">
        <v>0</v>
      </c>
      <c r="DB96" s="1">
        <v>0</v>
      </c>
      <c r="DC96" s="1">
        <v>0</v>
      </c>
      <c r="DD96" s="1">
        <v>0</v>
      </c>
      <c r="DE96" s="1">
        <v>0</v>
      </c>
      <c r="DF96" s="1">
        <v>0</v>
      </c>
      <c r="DG96" s="1">
        <v>0</v>
      </c>
      <c r="DH96" s="1">
        <v>0</v>
      </c>
      <c r="DI96" s="1">
        <v>0</v>
      </c>
      <c r="DJ96" s="1">
        <v>0</v>
      </c>
      <c r="DK96" s="1">
        <v>0</v>
      </c>
      <c r="DL96" s="1">
        <v>0</v>
      </c>
      <c r="DM96" s="1">
        <v>4683.91</v>
      </c>
      <c r="DN96" s="1">
        <v>5015.2700000000004</v>
      </c>
      <c r="DO96" s="1">
        <v>4492.91</v>
      </c>
      <c r="DP96" s="1">
        <v>4505.7730000000001</v>
      </c>
      <c r="DQ96" s="1">
        <v>4683.91</v>
      </c>
      <c r="DR96" s="1">
        <v>5015.2700000000004</v>
      </c>
      <c r="DS96" s="1">
        <v>4492.91</v>
      </c>
      <c r="DT96" s="1">
        <v>4505.7730000000001</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15182.25</v>
      </c>
      <c r="EL96" s="1">
        <v>13355.84</v>
      </c>
      <c r="EM96" s="1">
        <v>12667.24</v>
      </c>
      <c r="EN96" s="1">
        <v>11757.335999999999</v>
      </c>
      <c r="EO96" s="1">
        <v>15176.74</v>
      </c>
      <c r="EP96" s="1">
        <v>13347.84</v>
      </c>
      <c r="EQ96" s="1">
        <v>12661.41</v>
      </c>
      <c r="ER96" s="1">
        <v>11748.766</v>
      </c>
      <c r="ES96" s="1">
        <v>5.51</v>
      </c>
      <c r="ET96" s="1">
        <v>8</v>
      </c>
      <c r="EU96" s="1">
        <v>5.83</v>
      </c>
      <c r="EV96" s="1">
        <v>8.57</v>
      </c>
      <c r="EW96" s="1">
        <v>0</v>
      </c>
      <c r="EX96" s="1">
        <v>0</v>
      </c>
      <c r="EY96" s="1">
        <v>0</v>
      </c>
      <c r="EZ96" s="1">
        <v>0</v>
      </c>
      <c r="FA96" s="1">
        <v>0</v>
      </c>
      <c r="FB96" s="1">
        <v>0</v>
      </c>
      <c r="FC96" s="1">
        <v>0</v>
      </c>
      <c r="FD96" s="1">
        <v>0</v>
      </c>
      <c r="FE96" s="1">
        <v>448.12</v>
      </c>
      <c r="FF96" s="1">
        <v>233.63</v>
      </c>
      <c r="FG96" s="1">
        <v>165.34</v>
      </c>
      <c r="FH96" s="1">
        <v>173</v>
      </c>
      <c r="FI96" s="1">
        <v>272.24400000000003</v>
      </c>
      <c r="FJ96" s="1">
        <v>79.16</v>
      </c>
      <c r="FK96" s="1">
        <v>46.78</v>
      </c>
      <c r="FL96" s="1">
        <v>51.88</v>
      </c>
      <c r="FM96" s="1">
        <v>175.876</v>
      </c>
      <c r="FN96" s="1">
        <v>154.47</v>
      </c>
      <c r="FO96" s="1">
        <v>118.56</v>
      </c>
      <c r="FP96" s="1">
        <v>121.12</v>
      </c>
      <c r="FQ96" s="1">
        <v>0</v>
      </c>
      <c r="FR96" s="1">
        <v>0</v>
      </c>
      <c r="FS96" s="1">
        <v>0</v>
      </c>
      <c r="FT96" s="1">
        <v>0</v>
      </c>
      <c r="FU96" s="1">
        <v>0</v>
      </c>
      <c r="FV96" s="1">
        <v>0</v>
      </c>
      <c r="FW96" s="1">
        <v>0</v>
      </c>
      <c r="FX96" s="1">
        <v>0</v>
      </c>
      <c r="FY96" s="1">
        <v>0</v>
      </c>
      <c r="FZ96" s="1">
        <v>0</v>
      </c>
      <c r="GA96" s="1">
        <v>0</v>
      </c>
      <c r="GB96" s="1">
        <v>0</v>
      </c>
      <c r="GC96" s="1">
        <v>2759.87</v>
      </c>
      <c r="GD96" s="1">
        <v>3057.56</v>
      </c>
      <c r="GE96" s="1">
        <v>2777.67</v>
      </c>
      <c r="GF96" s="1">
        <v>2976.0360000000001</v>
      </c>
      <c r="GG96" s="1">
        <v>2759.87</v>
      </c>
      <c r="GH96" s="1">
        <v>3057.56</v>
      </c>
      <c r="GI96" s="1">
        <v>2777.67</v>
      </c>
      <c r="GJ96" s="1">
        <v>2976.0360000000001</v>
      </c>
      <c r="GK96" s="1">
        <v>0</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4077.68</v>
      </c>
      <c r="HF96" s="1">
        <v>3238.29</v>
      </c>
      <c r="HG96" s="1">
        <v>2918.2</v>
      </c>
      <c r="HH96" s="1">
        <v>3289.35</v>
      </c>
      <c r="HI96" s="1">
        <v>4077.68</v>
      </c>
      <c r="HJ96" s="1">
        <v>3172.32</v>
      </c>
      <c r="HK96" s="1">
        <v>2645.26</v>
      </c>
      <c r="HL96" s="1">
        <v>2934.92</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65.97</v>
      </c>
      <c r="IE96" s="1">
        <v>272.94</v>
      </c>
      <c r="IF96" s="1">
        <v>354.43</v>
      </c>
      <c r="IG96" s="1">
        <v>0</v>
      </c>
      <c r="IH96" s="1">
        <v>0</v>
      </c>
      <c r="II96" s="1">
        <v>0</v>
      </c>
      <c r="IJ96" s="1">
        <v>0</v>
      </c>
      <c r="IK96" s="1">
        <v>0</v>
      </c>
      <c r="IL96" s="1">
        <v>0</v>
      </c>
      <c r="IM96" s="1">
        <v>0</v>
      </c>
      <c r="IN96" s="1">
        <v>0</v>
      </c>
      <c r="IO96" s="1">
        <v>51.919999999999987</v>
      </c>
      <c r="IP96" s="1">
        <v>34.619999999999997</v>
      </c>
      <c r="IQ96" s="1">
        <v>216.67</v>
      </c>
      <c r="IR96" s="1">
        <v>7.46</v>
      </c>
      <c r="IS96" s="1">
        <v>2.76</v>
      </c>
      <c r="IT96" s="1">
        <v>34.619999999999997</v>
      </c>
      <c r="IU96" s="1">
        <v>212.14</v>
      </c>
      <c r="IV96" s="1">
        <v>5.85</v>
      </c>
      <c r="IW96" s="1">
        <v>49.16</v>
      </c>
      <c r="IX96" s="1">
        <v>0</v>
      </c>
      <c r="IY96" s="1">
        <v>4.53</v>
      </c>
      <c r="IZ96" s="1">
        <v>1.61</v>
      </c>
      <c r="JA96" s="1">
        <v>0</v>
      </c>
      <c r="JB96" s="1">
        <v>0</v>
      </c>
      <c r="JC96" s="1">
        <v>0</v>
      </c>
      <c r="JD96" s="1">
        <v>0</v>
      </c>
      <c r="JE96" s="1">
        <v>0</v>
      </c>
      <c r="JF96" s="1">
        <v>0</v>
      </c>
      <c r="JG96" s="1">
        <v>0</v>
      </c>
      <c r="JH96" s="1">
        <v>0</v>
      </c>
      <c r="JI96" s="1">
        <v>0</v>
      </c>
      <c r="JJ96" s="1">
        <v>0</v>
      </c>
      <c r="JK96" s="1">
        <v>0</v>
      </c>
      <c r="JL96" s="1">
        <v>0</v>
      </c>
      <c r="JM96" s="1">
        <v>0</v>
      </c>
      <c r="JN96" s="1">
        <v>0</v>
      </c>
      <c r="JO96" s="1">
        <v>0</v>
      </c>
      <c r="JP96" s="1">
        <v>0</v>
      </c>
      <c r="JQ96" s="9"/>
      <c r="JR96" s="1">
        <f t="shared" si="25"/>
        <v>44414.863380000003</v>
      </c>
      <c r="JS96" s="1">
        <f t="shared" si="25"/>
        <v>44073.080100000006</v>
      </c>
      <c r="JT96" s="1">
        <f t="shared" si="25"/>
        <v>40307.355000000003</v>
      </c>
      <c r="JU96" s="1">
        <f t="shared" si="25"/>
        <v>40176.388800000001</v>
      </c>
      <c r="JV96" s="1">
        <f t="shared" si="26"/>
        <v>8224.9747000000007</v>
      </c>
      <c r="JW96" s="1">
        <f t="shared" si="26"/>
        <v>8161.6815000000006</v>
      </c>
      <c r="JX96" s="1">
        <f t="shared" si="26"/>
        <v>7464.3250000000007</v>
      </c>
      <c r="JY96" s="1">
        <f t="shared" si="26"/>
        <v>7440.0720000000001</v>
      </c>
    </row>
    <row r="97" spans="1:285" x14ac:dyDescent="0.35">
      <c r="A97" s="2" t="s">
        <v>104</v>
      </c>
      <c r="B97" s="1">
        <v>117141</v>
      </c>
      <c r="C97" s="1">
        <v>117291</v>
      </c>
      <c r="D97" s="1">
        <v>117735</v>
      </c>
      <c r="E97" s="1">
        <v>119053</v>
      </c>
      <c r="F97" s="1">
        <v>28155.883000000002</v>
      </c>
      <c r="G97" s="1">
        <v>25772.638999999999</v>
      </c>
      <c r="H97" s="1">
        <v>27472.538</v>
      </c>
      <c r="I97" s="1">
        <v>26951.699000000001</v>
      </c>
      <c r="J97" s="1">
        <f t="shared" si="27"/>
        <v>15708.991000000002</v>
      </c>
      <c r="K97" s="1">
        <f t="shared" si="28"/>
        <v>14267.341</v>
      </c>
      <c r="L97" s="1">
        <f t="shared" si="29"/>
        <v>14274.640000000001</v>
      </c>
      <c r="M97" s="1">
        <f t="shared" si="30"/>
        <v>13966.611000000003</v>
      </c>
      <c r="N97" s="1">
        <f t="shared" si="31"/>
        <v>12446.892</v>
      </c>
      <c r="O97" s="1">
        <f t="shared" si="32"/>
        <v>11505.297999999999</v>
      </c>
      <c r="P97" s="1">
        <f t="shared" si="33"/>
        <v>13197.897999999999</v>
      </c>
      <c r="Q97" s="1">
        <f t="shared" si="34"/>
        <v>12985.087999999998</v>
      </c>
      <c r="R97" s="1">
        <v>0</v>
      </c>
      <c r="S97" s="1">
        <v>0</v>
      </c>
      <c r="T97" s="1">
        <v>0</v>
      </c>
      <c r="U97" s="1">
        <v>0</v>
      </c>
      <c r="V97" s="1">
        <v>0</v>
      </c>
      <c r="W97" s="1">
        <v>0</v>
      </c>
      <c r="X97" s="1">
        <v>0</v>
      </c>
      <c r="Y97" s="1">
        <v>0</v>
      </c>
      <c r="Z97" s="1">
        <v>0</v>
      </c>
      <c r="AA97" s="1">
        <v>0</v>
      </c>
      <c r="AB97" s="1">
        <v>0</v>
      </c>
      <c r="AC97" s="1">
        <v>0</v>
      </c>
      <c r="AD97" s="1">
        <v>0</v>
      </c>
      <c r="AE97" s="1">
        <v>0</v>
      </c>
      <c r="AF97" s="1">
        <v>0</v>
      </c>
      <c r="AG97" s="1">
        <v>0</v>
      </c>
      <c r="AH97" s="1">
        <v>0</v>
      </c>
      <c r="AI97" s="1">
        <v>0</v>
      </c>
      <c r="AJ97" s="1">
        <v>0</v>
      </c>
      <c r="AK97" s="1">
        <v>0</v>
      </c>
      <c r="AL97" s="1">
        <v>0</v>
      </c>
      <c r="AM97" s="1">
        <v>0</v>
      </c>
      <c r="AN97" s="1">
        <v>0</v>
      </c>
      <c r="AO97" s="1">
        <v>0</v>
      </c>
      <c r="AP97" s="1">
        <v>5971.4000000000005</v>
      </c>
      <c r="AQ97" s="1">
        <v>5571.2</v>
      </c>
      <c r="AR97" s="1">
        <v>5593.9600000000009</v>
      </c>
      <c r="AS97" s="1">
        <v>5964.18</v>
      </c>
      <c r="AT97" s="1">
        <v>0</v>
      </c>
      <c r="AU97" s="1">
        <v>5971.4000000000005</v>
      </c>
      <c r="AV97" s="1">
        <v>0</v>
      </c>
      <c r="AW97" s="1">
        <v>0</v>
      </c>
      <c r="AX97" s="1">
        <v>0</v>
      </c>
      <c r="AY97" s="1">
        <v>5571.2</v>
      </c>
      <c r="AZ97" s="1">
        <v>0</v>
      </c>
      <c r="BA97" s="1">
        <v>0</v>
      </c>
      <c r="BB97" s="1">
        <v>0</v>
      </c>
      <c r="BC97" s="1">
        <v>5593.9600000000009</v>
      </c>
      <c r="BD97" s="1">
        <v>0</v>
      </c>
      <c r="BE97" s="1">
        <v>0</v>
      </c>
      <c r="BF97" s="1">
        <v>5964.18</v>
      </c>
      <c r="BG97" s="1">
        <v>0</v>
      </c>
      <c r="BH97" s="1">
        <v>0</v>
      </c>
      <c r="BI97" s="1">
        <v>0</v>
      </c>
      <c r="BJ97" s="1">
        <v>0</v>
      </c>
      <c r="BK97" s="1">
        <v>0</v>
      </c>
      <c r="BL97" s="1">
        <v>0</v>
      </c>
      <c r="BM97" s="1">
        <v>0</v>
      </c>
      <c r="BN97" s="1">
        <v>0</v>
      </c>
      <c r="BO97" s="1">
        <v>0</v>
      </c>
      <c r="BP97" s="1">
        <v>0</v>
      </c>
      <c r="BQ97" s="1">
        <v>0</v>
      </c>
      <c r="BR97" s="1">
        <v>0</v>
      </c>
      <c r="BS97" s="1">
        <v>0</v>
      </c>
      <c r="BT97" s="1">
        <v>0</v>
      </c>
      <c r="BU97" s="1">
        <v>4332.518</v>
      </c>
      <c r="BV97" s="1">
        <v>4092.31</v>
      </c>
      <c r="BW97" s="1">
        <v>4044.8980000000001</v>
      </c>
      <c r="BX97" s="1">
        <v>4305.1360000000004</v>
      </c>
      <c r="BY97" s="1">
        <v>4332.518</v>
      </c>
      <c r="BZ97" s="1">
        <v>4092.31</v>
      </c>
      <c r="CA97" s="1">
        <v>4044.8980000000001</v>
      </c>
      <c r="CB97" s="1">
        <v>4305.1360000000004</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657.63300000000004</v>
      </c>
      <c r="CT97" s="1">
        <v>534.78</v>
      </c>
      <c r="CU97" s="1">
        <v>634.72099999999989</v>
      </c>
      <c r="CV97" s="1">
        <v>637.35800000000006</v>
      </c>
      <c r="CW97" s="1">
        <v>657.63300000000004</v>
      </c>
      <c r="CX97" s="1">
        <v>534.78</v>
      </c>
      <c r="CY97" s="1">
        <v>634.72099999999989</v>
      </c>
      <c r="CZ97" s="1">
        <v>637.35800000000006</v>
      </c>
      <c r="DA97" s="1">
        <v>0</v>
      </c>
      <c r="DB97" s="1">
        <v>0</v>
      </c>
      <c r="DC97" s="1">
        <v>0</v>
      </c>
      <c r="DD97" s="1">
        <v>0</v>
      </c>
      <c r="DE97" s="1">
        <v>0</v>
      </c>
      <c r="DF97" s="1">
        <v>0</v>
      </c>
      <c r="DG97" s="1">
        <v>0</v>
      </c>
      <c r="DH97" s="1">
        <v>0</v>
      </c>
      <c r="DI97" s="1">
        <v>0</v>
      </c>
      <c r="DJ97" s="1">
        <v>0</v>
      </c>
      <c r="DK97" s="1">
        <v>0</v>
      </c>
      <c r="DL97" s="1">
        <v>0</v>
      </c>
      <c r="DM97" s="1">
        <v>3756.0259999999998</v>
      </c>
      <c r="DN97" s="1">
        <v>3172.9870000000001</v>
      </c>
      <c r="DO97" s="1">
        <v>2726</v>
      </c>
      <c r="DP97" s="1">
        <v>2507.94</v>
      </c>
      <c r="DQ97" s="1">
        <v>3756.0259999999998</v>
      </c>
      <c r="DR97" s="1">
        <v>3172.9870000000001</v>
      </c>
      <c r="DS97" s="1">
        <v>2726</v>
      </c>
      <c r="DT97" s="1">
        <v>2507.94</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443.827</v>
      </c>
      <c r="EL97" s="1">
        <v>372.113</v>
      </c>
      <c r="EM97" s="1">
        <v>714.65200000000004</v>
      </c>
      <c r="EN97" s="1">
        <v>398.81400000000002</v>
      </c>
      <c r="EO97" s="1">
        <v>443.827</v>
      </c>
      <c r="EP97" s="1">
        <v>372.113</v>
      </c>
      <c r="EQ97" s="1">
        <v>714.65200000000004</v>
      </c>
      <c r="ER97" s="1">
        <v>398.81400000000002</v>
      </c>
      <c r="ES97" s="1">
        <v>0</v>
      </c>
      <c r="ET97" s="1">
        <v>0</v>
      </c>
      <c r="EU97" s="1">
        <v>0</v>
      </c>
      <c r="EV97" s="1">
        <v>0</v>
      </c>
      <c r="EW97" s="1">
        <v>0</v>
      </c>
      <c r="EX97" s="1">
        <v>0</v>
      </c>
      <c r="EY97" s="1">
        <v>0</v>
      </c>
      <c r="EZ97" s="1">
        <v>0</v>
      </c>
      <c r="FA97" s="1">
        <v>0</v>
      </c>
      <c r="FB97" s="1">
        <v>0</v>
      </c>
      <c r="FC97" s="1">
        <v>0</v>
      </c>
      <c r="FD97" s="1">
        <v>0</v>
      </c>
      <c r="FE97" s="1">
        <v>6.9649999999999999</v>
      </c>
      <c r="FF97" s="1">
        <v>2.7930000000000001</v>
      </c>
      <c r="FG97" s="1">
        <v>11.673</v>
      </c>
      <c r="FH97" s="1">
        <v>28.483000000000001</v>
      </c>
      <c r="FI97" s="1">
        <v>6.9649999999999999</v>
      </c>
      <c r="FJ97" s="1">
        <v>2.7930000000000001</v>
      </c>
      <c r="FK97" s="1">
        <v>11.673</v>
      </c>
      <c r="FL97" s="1">
        <v>28.483000000000001</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59.12</v>
      </c>
      <c r="GD97" s="1">
        <v>41</v>
      </c>
      <c r="GE97" s="1">
        <v>17.600000000000001</v>
      </c>
      <c r="GF97" s="1">
        <v>12.7</v>
      </c>
      <c r="GG97" s="1">
        <v>59.12</v>
      </c>
      <c r="GH97" s="1">
        <v>41</v>
      </c>
      <c r="GI97" s="1">
        <v>17.600000000000001</v>
      </c>
      <c r="GJ97" s="1">
        <v>12.7</v>
      </c>
      <c r="GK97" s="1">
        <v>0</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481.50200000000001</v>
      </c>
      <c r="IP97" s="1">
        <v>480.15800000000002</v>
      </c>
      <c r="IQ97" s="1">
        <v>531.13599999999997</v>
      </c>
      <c r="IR97" s="1">
        <v>112</v>
      </c>
      <c r="IS97" s="1">
        <v>481.50200000000001</v>
      </c>
      <c r="IT97" s="1">
        <v>480.15800000000002</v>
      </c>
      <c r="IU97" s="1">
        <v>531.13599999999997</v>
      </c>
      <c r="IV97" s="1">
        <v>112</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0</v>
      </c>
      <c r="JO97" s="1">
        <v>0</v>
      </c>
      <c r="JP97" s="1">
        <v>0</v>
      </c>
      <c r="JQ97" s="9"/>
      <c r="JR97" s="1">
        <f t="shared" si="25"/>
        <v>3360.66084</v>
      </c>
      <c r="JS97" s="1">
        <f t="shared" si="25"/>
        <v>3106.43046</v>
      </c>
      <c r="JT97" s="1">
        <f t="shared" si="25"/>
        <v>3563.43246</v>
      </c>
      <c r="JU97" s="1">
        <f t="shared" si="25"/>
        <v>3505.9737599999999</v>
      </c>
      <c r="JV97" s="1">
        <f t="shared" si="26"/>
        <v>622.34460000000001</v>
      </c>
      <c r="JW97" s="1">
        <f t="shared" si="26"/>
        <v>575.26490000000001</v>
      </c>
      <c r="JX97" s="1">
        <f t="shared" si="26"/>
        <v>659.89490000000001</v>
      </c>
      <c r="JY97" s="1">
        <f t="shared" si="26"/>
        <v>649.25439999999992</v>
      </c>
    </row>
    <row r="98" spans="1:285" x14ac:dyDescent="0.35">
      <c r="A98" s="2" t="s">
        <v>105</v>
      </c>
      <c r="B98" s="1">
        <v>132112</v>
      </c>
      <c r="C98" s="1">
        <v>132564</v>
      </c>
      <c r="D98" s="1">
        <v>133690</v>
      </c>
      <c r="E98" s="1">
        <v>136302</v>
      </c>
      <c r="F98" s="1">
        <v>21026.218000000001</v>
      </c>
      <c r="G98" s="1">
        <v>21162.49</v>
      </c>
      <c r="H98" s="1">
        <v>19143.349999999999</v>
      </c>
      <c r="I98" s="1">
        <v>19220.003000000001</v>
      </c>
      <c r="J98" s="1">
        <f t="shared" si="27"/>
        <v>20807.977999999999</v>
      </c>
      <c r="K98" s="1">
        <f t="shared" si="28"/>
        <v>20912.440000000002</v>
      </c>
      <c r="L98" s="1">
        <f t="shared" si="29"/>
        <v>18727.470000000005</v>
      </c>
      <c r="M98" s="1">
        <f t="shared" si="30"/>
        <v>18714.867999999999</v>
      </c>
      <c r="N98" s="1">
        <f t="shared" si="31"/>
        <v>218.2400000000016</v>
      </c>
      <c r="O98" s="1">
        <f t="shared" si="32"/>
        <v>250.04999999999927</v>
      </c>
      <c r="P98" s="1">
        <f t="shared" si="33"/>
        <v>415.87999999999374</v>
      </c>
      <c r="Q98" s="1">
        <f t="shared" si="34"/>
        <v>505.13500000000204</v>
      </c>
      <c r="R98" s="1">
        <v>4069.82</v>
      </c>
      <c r="S98" s="1">
        <v>4053.88</v>
      </c>
      <c r="T98" s="1">
        <v>3521.18</v>
      </c>
      <c r="U98" s="1">
        <v>3441.8</v>
      </c>
      <c r="W98" s="1">
        <v>0</v>
      </c>
      <c r="X98" s="1">
        <v>4069.82</v>
      </c>
      <c r="Y98" s="1">
        <v>0</v>
      </c>
      <c r="Z98" s="1">
        <v>0</v>
      </c>
      <c r="AA98" s="1">
        <v>4053.88</v>
      </c>
      <c r="AB98" s="1">
        <v>0</v>
      </c>
      <c r="AC98" s="1">
        <v>0</v>
      </c>
      <c r="AD98" s="1">
        <v>3521.18</v>
      </c>
      <c r="AE98" s="1">
        <v>0</v>
      </c>
      <c r="AF98" s="1">
        <v>0</v>
      </c>
      <c r="AG98" s="1">
        <v>3441.8</v>
      </c>
      <c r="AH98" s="1">
        <v>0</v>
      </c>
      <c r="AI98" s="1">
        <v>0</v>
      </c>
      <c r="AJ98" s="1">
        <v>0</v>
      </c>
      <c r="AK98" s="1">
        <v>0</v>
      </c>
      <c r="AL98" s="1">
        <v>0</v>
      </c>
      <c r="AM98" s="1">
        <v>0</v>
      </c>
      <c r="AN98" s="1">
        <v>0</v>
      </c>
      <c r="AO98" s="1">
        <v>0</v>
      </c>
      <c r="AP98" s="1">
        <v>6420.9800000000005</v>
      </c>
      <c r="AQ98" s="1">
        <v>6544.08</v>
      </c>
      <c r="AR98" s="1">
        <v>5437.2800000000007</v>
      </c>
      <c r="AS98" s="1">
        <v>6026.04</v>
      </c>
      <c r="AT98" s="1">
        <v>0</v>
      </c>
      <c r="AU98" s="1">
        <v>6420.9800000000005</v>
      </c>
      <c r="AV98" s="1">
        <v>0</v>
      </c>
      <c r="AW98" s="1">
        <v>0</v>
      </c>
      <c r="AX98" s="1">
        <v>0</v>
      </c>
      <c r="AY98" s="1">
        <v>6544.08</v>
      </c>
      <c r="AZ98" s="1">
        <v>0</v>
      </c>
      <c r="BA98" s="1">
        <v>0</v>
      </c>
      <c r="BB98" s="1">
        <v>0</v>
      </c>
      <c r="BC98" s="1">
        <v>5437.2800000000007</v>
      </c>
      <c r="BD98" s="1">
        <v>0</v>
      </c>
      <c r="BE98" s="1">
        <v>0</v>
      </c>
      <c r="BF98" s="1">
        <v>6026.04</v>
      </c>
      <c r="BG98" s="1">
        <v>0</v>
      </c>
      <c r="BH98" s="1">
        <v>0</v>
      </c>
      <c r="BI98" s="1">
        <v>0</v>
      </c>
      <c r="BJ98" s="1">
        <v>0</v>
      </c>
      <c r="BK98" s="1">
        <v>0</v>
      </c>
      <c r="BL98" s="1">
        <v>0</v>
      </c>
      <c r="BM98" s="1">
        <v>0</v>
      </c>
      <c r="BN98" s="1">
        <v>0</v>
      </c>
      <c r="BO98" s="1">
        <v>0</v>
      </c>
      <c r="BP98" s="1">
        <v>0</v>
      </c>
      <c r="BQ98" s="1">
        <v>0</v>
      </c>
      <c r="BR98" s="1">
        <v>0</v>
      </c>
      <c r="BS98" s="1">
        <v>0</v>
      </c>
      <c r="BT98" s="1">
        <v>0</v>
      </c>
      <c r="BU98" s="1">
        <v>4190.67</v>
      </c>
      <c r="BV98" s="1">
        <v>4585.2700000000004</v>
      </c>
      <c r="BW98" s="1">
        <v>4400.8</v>
      </c>
      <c r="BX98" s="1">
        <v>4247.0870000000004</v>
      </c>
      <c r="BY98" s="1">
        <v>4189.5599999999986</v>
      </c>
      <c r="BZ98" s="1">
        <v>4582.08</v>
      </c>
      <c r="CA98" s="1">
        <v>4365.67</v>
      </c>
      <c r="CB98" s="1">
        <v>4239.57</v>
      </c>
      <c r="CC98" s="1">
        <v>1.1100000000000001</v>
      </c>
      <c r="CD98" s="1">
        <v>3.19</v>
      </c>
      <c r="CE98" s="1">
        <v>35.130000000000003</v>
      </c>
      <c r="CF98" s="1">
        <v>7.5169999999999986</v>
      </c>
      <c r="CG98" s="1">
        <v>0</v>
      </c>
      <c r="CH98" s="1">
        <v>0</v>
      </c>
      <c r="CI98" s="1">
        <v>0</v>
      </c>
      <c r="CJ98" s="1">
        <v>0</v>
      </c>
      <c r="CK98" s="1">
        <v>0</v>
      </c>
      <c r="CL98" s="1">
        <v>0</v>
      </c>
      <c r="CM98" s="1">
        <v>0</v>
      </c>
      <c r="CN98" s="1">
        <v>0</v>
      </c>
      <c r="CO98" s="1">
        <v>0</v>
      </c>
      <c r="CP98" s="1">
        <v>0</v>
      </c>
      <c r="CQ98" s="1">
        <v>0</v>
      </c>
      <c r="CR98" s="1">
        <v>0</v>
      </c>
      <c r="CS98" s="1">
        <v>1765.04</v>
      </c>
      <c r="CT98" s="1">
        <v>1624.75</v>
      </c>
      <c r="CU98" s="1">
        <v>1494.66</v>
      </c>
      <c r="CV98" s="1">
        <v>1563.1759999999999</v>
      </c>
      <c r="CW98" s="1">
        <v>1765.04</v>
      </c>
      <c r="CX98" s="1">
        <v>1624.75</v>
      </c>
      <c r="CY98" s="1">
        <v>1494.66</v>
      </c>
      <c r="CZ98" s="1">
        <v>1563.1759999999999</v>
      </c>
      <c r="DA98" s="1">
        <v>0</v>
      </c>
      <c r="DB98" s="1">
        <v>0</v>
      </c>
      <c r="DC98" s="1">
        <v>0</v>
      </c>
      <c r="DD98" s="1">
        <v>0</v>
      </c>
      <c r="DE98" s="1">
        <v>0</v>
      </c>
      <c r="DF98" s="1">
        <v>0</v>
      </c>
      <c r="DG98" s="1">
        <v>0</v>
      </c>
      <c r="DH98" s="1">
        <v>0</v>
      </c>
      <c r="DI98" s="1">
        <v>0</v>
      </c>
      <c r="DJ98" s="1">
        <v>0</v>
      </c>
      <c r="DK98" s="1">
        <v>0</v>
      </c>
      <c r="DL98" s="1">
        <v>0</v>
      </c>
      <c r="DM98" s="1">
        <v>3418.89</v>
      </c>
      <c r="DN98" s="1">
        <v>3199.68</v>
      </c>
      <c r="DO98" s="1">
        <v>3011.3</v>
      </c>
      <c r="DP98" s="1">
        <v>2606.5700000000002</v>
      </c>
      <c r="DQ98" s="1">
        <v>3418.89</v>
      </c>
      <c r="DR98" s="1">
        <v>3199.68</v>
      </c>
      <c r="DS98" s="1">
        <v>3011.3</v>
      </c>
      <c r="DT98" s="1">
        <v>2606.5700000000002</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648.56999999999994</v>
      </c>
      <c r="EL98" s="1">
        <v>583.45000000000005</v>
      </c>
      <c r="EM98" s="1">
        <v>540.05999999999995</v>
      </c>
      <c r="EN98" s="1">
        <v>559.70000000000005</v>
      </c>
      <c r="EO98" s="1">
        <v>648.56999999999994</v>
      </c>
      <c r="EP98" s="1">
        <v>583.45000000000005</v>
      </c>
      <c r="EQ98" s="1">
        <v>540.05999999999995</v>
      </c>
      <c r="ER98" s="1">
        <v>558.82000000000005</v>
      </c>
      <c r="ES98" s="1">
        <v>0</v>
      </c>
      <c r="ET98" s="1">
        <v>0</v>
      </c>
      <c r="EU98" s="1">
        <v>0</v>
      </c>
      <c r="EV98" s="1">
        <v>0.88</v>
      </c>
      <c r="EW98" s="1">
        <v>0</v>
      </c>
      <c r="EX98" s="1">
        <v>0</v>
      </c>
      <c r="EY98" s="1">
        <v>0</v>
      </c>
      <c r="EZ98" s="1">
        <v>0</v>
      </c>
      <c r="FA98" s="1">
        <v>0</v>
      </c>
      <c r="FB98" s="1">
        <v>0</v>
      </c>
      <c r="FC98" s="1">
        <v>0</v>
      </c>
      <c r="FD98" s="1">
        <v>0</v>
      </c>
      <c r="FE98" s="1">
        <v>26.14</v>
      </c>
      <c r="FF98" s="1">
        <v>39.510000000000012</v>
      </c>
      <c r="FG98" s="1">
        <v>101.75</v>
      </c>
      <c r="FH98" s="1">
        <v>38.924999999999997</v>
      </c>
      <c r="FI98" s="1">
        <v>1.96</v>
      </c>
      <c r="FJ98" s="1">
        <v>1.81</v>
      </c>
      <c r="FK98" s="1">
        <v>8.7900000000000009</v>
      </c>
      <c r="FL98" s="1">
        <v>0</v>
      </c>
      <c r="FM98" s="1">
        <v>24.18</v>
      </c>
      <c r="FN98" s="1">
        <v>37.700000000000003</v>
      </c>
      <c r="FO98" s="1">
        <v>92.960000000000008</v>
      </c>
      <c r="FP98" s="1">
        <v>38.924999999999997</v>
      </c>
      <c r="FQ98" s="1">
        <v>0</v>
      </c>
      <c r="FR98" s="1">
        <v>0</v>
      </c>
      <c r="FS98" s="1">
        <v>0</v>
      </c>
      <c r="FT98" s="1">
        <v>0</v>
      </c>
      <c r="FU98" s="1">
        <v>0</v>
      </c>
      <c r="FV98" s="1">
        <v>0</v>
      </c>
      <c r="FW98" s="1">
        <v>0</v>
      </c>
      <c r="FX98" s="1">
        <v>0</v>
      </c>
      <c r="FY98" s="1">
        <v>0</v>
      </c>
      <c r="FZ98" s="1">
        <v>0</v>
      </c>
      <c r="GA98" s="1">
        <v>0</v>
      </c>
      <c r="GB98" s="1">
        <v>0</v>
      </c>
      <c r="GC98" s="1">
        <v>137.44</v>
      </c>
      <c r="GD98" s="1">
        <v>160.83000000000001</v>
      </c>
      <c r="GE98" s="1">
        <v>104.04</v>
      </c>
      <c r="GF98" s="1">
        <v>131.38</v>
      </c>
      <c r="GG98" s="1">
        <v>137.44</v>
      </c>
      <c r="GH98" s="1">
        <v>160.83000000000001</v>
      </c>
      <c r="GI98" s="1">
        <v>104.04</v>
      </c>
      <c r="GJ98" s="1">
        <v>131.38</v>
      </c>
      <c r="GK98" s="1">
        <v>0</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130.428</v>
      </c>
      <c r="IP98" s="1">
        <v>120.99</v>
      </c>
      <c r="IQ98" s="1">
        <v>116.4</v>
      </c>
      <c r="IR98" s="1">
        <v>100.19</v>
      </c>
      <c r="IS98" s="1">
        <v>130.428</v>
      </c>
      <c r="IT98" s="1">
        <v>120.99</v>
      </c>
      <c r="IU98" s="1">
        <v>115.76</v>
      </c>
      <c r="IV98" s="1">
        <v>100.19</v>
      </c>
      <c r="IW98" s="1">
        <v>0</v>
      </c>
      <c r="IX98" s="1">
        <v>0</v>
      </c>
      <c r="IY98" s="1">
        <v>0.64</v>
      </c>
      <c r="IZ98" s="1">
        <v>0</v>
      </c>
      <c r="JA98" s="1">
        <v>0</v>
      </c>
      <c r="JB98" s="1">
        <v>0</v>
      </c>
      <c r="JC98" s="1">
        <v>0</v>
      </c>
      <c r="JD98" s="1">
        <v>0</v>
      </c>
      <c r="JE98" s="1">
        <v>0</v>
      </c>
      <c r="JF98" s="1">
        <v>0</v>
      </c>
      <c r="JG98" s="1">
        <v>0</v>
      </c>
      <c r="JH98" s="1">
        <v>0</v>
      </c>
      <c r="JI98" s="1">
        <v>0</v>
      </c>
      <c r="JJ98" s="1">
        <v>0</v>
      </c>
      <c r="JK98" s="1">
        <v>0</v>
      </c>
      <c r="JL98" s="1">
        <v>0</v>
      </c>
      <c r="JM98" s="1">
        <v>0</v>
      </c>
      <c r="JN98" s="1">
        <v>0</v>
      </c>
      <c r="JO98" s="1">
        <v>0</v>
      </c>
      <c r="JP98" s="1">
        <v>0</v>
      </c>
      <c r="JQ98" s="9"/>
      <c r="JR98" s="1">
        <f t="shared" si="25"/>
        <v>58.924800000000438</v>
      </c>
      <c r="JS98" s="1">
        <f t="shared" si="25"/>
        <v>67.513499999999809</v>
      </c>
      <c r="JT98" s="1">
        <f t="shared" si="25"/>
        <v>112.28759999999832</v>
      </c>
      <c r="JU98" s="1">
        <f t="shared" si="25"/>
        <v>136.38645000000056</v>
      </c>
      <c r="JV98" s="1">
        <f t="shared" si="26"/>
        <v>10.912000000000081</v>
      </c>
      <c r="JW98" s="1">
        <f t="shared" si="26"/>
        <v>12.502499999999964</v>
      </c>
      <c r="JX98" s="1">
        <f t="shared" si="26"/>
        <v>20.793999999999688</v>
      </c>
      <c r="JY98" s="1">
        <f t="shared" si="26"/>
        <v>25.256750000000103</v>
      </c>
    </row>
    <row r="99" spans="1:285" x14ac:dyDescent="0.35">
      <c r="A99" s="2" t="s">
        <v>106</v>
      </c>
      <c r="B99" s="1">
        <v>82588</v>
      </c>
      <c r="C99" s="1">
        <v>82169</v>
      </c>
      <c r="D99" s="1">
        <v>82390</v>
      </c>
      <c r="E99" s="1">
        <v>82742</v>
      </c>
      <c r="F99" s="1">
        <v>18351.21</v>
      </c>
      <c r="G99" s="1">
        <v>19755.64</v>
      </c>
      <c r="H99" s="1">
        <v>17887.759999999998</v>
      </c>
      <c r="I99" s="1">
        <v>16471.45</v>
      </c>
      <c r="J99" s="1">
        <f t="shared" si="27"/>
        <v>11918.55</v>
      </c>
      <c r="K99" s="1">
        <f t="shared" si="28"/>
        <v>12987.58</v>
      </c>
      <c r="L99" s="1">
        <f t="shared" si="29"/>
        <v>10968.61</v>
      </c>
      <c r="M99" s="1">
        <f t="shared" si="30"/>
        <v>10021.609999999999</v>
      </c>
      <c r="N99" s="1">
        <f t="shared" si="31"/>
        <v>6432.66</v>
      </c>
      <c r="O99" s="1">
        <f t="shared" si="32"/>
        <v>6768.0599999999995</v>
      </c>
      <c r="P99" s="1">
        <f t="shared" si="33"/>
        <v>6919.1499999999978</v>
      </c>
      <c r="Q99" s="1">
        <f t="shared" si="34"/>
        <v>6449.840000000002</v>
      </c>
      <c r="R99" s="1">
        <v>0</v>
      </c>
      <c r="S99" s="1">
        <v>0</v>
      </c>
      <c r="T99" s="1">
        <v>0</v>
      </c>
      <c r="U99" s="1">
        <v>0</v>
      </c>
      <c r="V99" s="1">
        <v>0</v>
      </c>
      <c r="W99" s="1">
        <v>0</v>
      </c>
      <c r="X99" s="1">
        <v>0</v>
      </c>
      <c r="Y99" s="1">
        <v>0</v>
      </c>
      <c r="Z99" s="1">
        <v>0</v>
      </c>
      <c r="AA99" s="1">
        <v>0</v>
      </c>
      <c r="AB99" s="1">
        <v>0</v>
      </c>
      <c r="AC99" s="1">
        <v>0</v>
      </c>
      <c r="AD99" s="1">
        <v>0</v>
      </c>
      <c r="AE99" s="1">
        <v>0</v>
      </c>
      <c r="AF99" s="1">
        <v>0</v>
      </c>
      <c r="AG99" s="1">
        <v>0</v>
      </c>
      <c r="AH99" s="1">
        <v>0</v>
      </c>
      <c r="AI99" s="1">
        <v>0</v>
      </c>
      <c r="AJ99" s="1">
        <v>0</v>
      </c>
      <c r="AK99" s="1">
        <v>0</v>
      </c>
      <c r="AL99" s="1">
        <v>0</v>
      </c>
      <c r="AM99" s="1">
        <v>0</v>
      </c>
      <c r="AN99" s="1">
        <v>0</v>
      </c>
      <c r="AO99" s="1">
        <v>0</v>
      </c>
      <c r="AP99" s="1">
        <v>1242.5700000000002</v>
      </c>
      <c r="AQ99" s="1">
        <v>1637.08</v>
      </c>
      <c r="AR99" s="1">
        <v>1523.34</v>
      </c>
      <c r="AS99" s="1">
        <v>1698.3600000000001</v>
      </c>
      <c r="AT99" s="1">
        <v>0</v>
      </c>
      <c r="AU99" s="1">
        <v>1242.5700000000002</v>
      </c>
      <c r="AV99" s="1">
        <v>0</v>
      </c>
      <c r="AW99" s="1">
        <v>0</v>
      </c>
      <c r="AX99" s="1">
        <v>0</v>
      </c>
      <c r="AY99" s="1">
        <v>1637.08</v>
      </c>
      <c r="AZ99" s="1">
        <v>0</v>
      </c>
      <c r="BA99" s="1">
        <v>0</v>
      </c>
      <c r="BB99" s="1">
        <v>0</v>
      </c>
      <c r="BC99" s="1">
        <v>1523.34</v>
      </c>
      <c r="BD99" s="1">
        <v>0</v>
      </c>
      <c r="BE99" s="1">
        <v>0</v>
      </c>
      <c r="BF99" s="1">
        <v>1698.3600000000001</v>
      </c>
      <c r="BG99" s="1">
        <v>0</v>
      </c>
      <c r="BH99" s="1">
        <v>0</v>
      </c>
      <c r="BI99" s="1">
        <v>0</v>
      </c>
      <c r="BJ99" s="1">
        <v>0</v>
      </c>
      <c r="BK99" s="1">
        <v>0</v>
      </c>
      <c r="BL99" s="1">
        <v>0</v>
      </c>
      <c r="BM99" s="1">
        <v>0</v>
      </c>
      <c r="BN99" s="1">
        <v>0</v>
      </c>
      <c r="BO99" s="1">
        <v>0</v>
      </c>
      <c r="BP99" s="1">
        <v>0</v>
      </c>
      <c r="BQ99" s="1">
        <v>0</v>
      </c>
      <c r="BR99" s="1">
        <v>0</v>
      </c>
      <c r="BS99" s="1">
        <v>0</v>
      </c>
      <c r="BT99" s="1">
        <v>0</v>
      </c>
      <c r="BU99" s="1">
        <v>6151.93</v>
      </c>
      <c r="BV99" s="1">
        <v>6755.5599999999986</v>
      </c>
      <c r="BW99" s="1">
        <v>5967.25</v>
      </c>
      <c r="BX99" s="1">
        <v>3839.68</v>
      </c>
      <c r="BY99" s="1">
        <v>6151.93</v>
      </c>
      <c r="BZ99" s="1">
        <v>6755.5599999999986</v>
      </c>
      <c r="CA99" s="1">
        <v>5967.25</v>
      </c>
      <c r="CB99" s="1">
        <v>3839.68</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799.43000000000006</v>
      </c>
      <c r="CT99" s="1">
        <v>764.75</v>
      </c>
      <c r="CU99" s="1">
        <v>779.36</v>
      </c>
      <c r="CV99" s="1">
        <v>815.31000000000006</v>
      </c>
      <c r="CW99" s="1">
        <v>790.05</v>
      </c>
      <c r="CX99" s="1">
        <v>763.52</v>
      </c>
      <c r="CY99" s="1">
        <v>720.5</v>
      </c>
      <c r="CZ99" s="1">
        <v>733.21</v>
      </c>
      <c r="DA99" s="1">
        <v>0</v>
      </c>
      <c r="DB99" s="1">
        <v>0</v>
      </c>
      <c r="DC99" s="1">
        <v>0</v>
      </c>
      <c r="DD99" s="1">
        <v>0</v>
      </c>
      <c r="DE99" s="1">
        <v>0</v>
      </c>
      <c r="DF99" s="1">
        <v>0</v>
      </c>
      <c r="DG99" s="1">
        <v>0</v>
      </c>
      <c r="DH99" s="1">
        <v>0</v>
      </c>
      <c r="DI99" s="1">
        <v>9.379999999999999</v>
      </c>
      <c r="DJ99" s="1">
        <v>1.23</v>
      </c>
      <c r="DK99" s="1">
        <v>58.86</v>
      </c>
      <c r="DL99" s="1">
        <v>82.100000000000009</v>
      </c>
      <c r="DM99" s="1">
        <v>2908.92</v>
      </c>
      <c r="DN99" s="1">
        <v>2981.88</v>
      </c>
      <c r="DO99" s="1">
        <v>2003.33</v>
      </c>
      <c r="DP99" s="1">
        <v>2484.88</v>
      </c>
      <c r="DQ99" s="1">
        <v>2908.92</v>
      </c>
      <c r="DR99" s="1">
        <v>2981.88</v>
      </c>
      <c r="DS99" s="1">
        <v>2003.33</v>
      </c>
      <c r="DT99" s="1">
        <v>2484.88</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290.63</v>
      </c>
      <c r="EL99" s="1">
        <v>372.73</v>
      </c>
      <c r="EM99" s="1">
        <v>243.94</v>
      </c>
      <c r="EN99" s="1">
        <v>446.21</v>
      </c>
      <c r="EO99" s="1">
        <v>290.63</v>
      </c>
      <c r="EP99" s="1">
        <v>372.73</v>
      </c>
      <c r="EQ99" s="1">
        <v>243.94</v>
      </c>
      <c r="ER99" s="1">
        <v>446.21</v>
      </c>
      <c r="ES99" s="1">
        <v>0</v>
      </c>
      <c r="ET99" s="1">
        <v>0</v>
      </c>
      <c r="EU99" s="1">
        <v>0</v>
      </c>
      <c r="EV99" s="1">
        <v>0</v>
      </c>
      <c r="EW99" s="1">
        <v>0</v>
      </c>
      <c r="EX99" s="1">
        <v>0</v>
      </c>
      <c r="EY99" s="1">
        <v>0</v>
      </c>
      <c r="EZ99" s="1">
        <v>0</v>
      </c>
      <c r="FA99" s="1">
        <v>0</v>
      </c>
      <c r="FB99" s="1">
        <v>0</v>
      </c>
      <c r="FC99" s="1">
        <v>0</v>
      </c>
      <c r="FD99" s="1">
        <v>0</v>
      </c>
      <c r="FE99" s="1">
        <v>124.81</v>
      </c>
      <c r="FF99" s="1">
        <v>147.16999999999999</v>
      </c>
      <c r="FG99" s="1">
        <v>123.61</v>
      </c>
      <c r="FH99" s="1">
        <v>121.58</v>
      </c>
      <c r="FI99" s="1">
        <v>124.81</v>
      </c>
      <c r="FJ99" s="1">
        <v>147.16999999999999</v>
      </c>
      <c r="FK99" s="1">
        <v>123.61</v>
      </c>
      <c r="FL99" s="1">
        <v>121.58</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13.56</v>
      </c>
      <c r="GD99" s="1">
        <v>20.82</v>
      </c>
      <c r="GE99" s="1">
        <v>15.38</v>
      </c>
      <c r="GF99" s="1">
        <v>14.48</v>
      </c>
      <c r="GG99" s="1">
        <v>13.56</v>
      </c>
      <c r="GH99" s="1">
        <v>20.82</v>
      </c>
      <c r="GI99" s="1">
        <v>15.38</v>
      </c>
      <c r="GJ99" s="1">
        <v>14.48</v>
      </c>
      <c r="GK99" s="1">
        <v>0</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386.7</v>
      </c>
      <c r="IP99" s="1">
        <v>307.58999999999997</v>
      </c>
      <c r="IQ99" s="1">
        <v>312.39999999999998</v>
      </c>
      <c r="IR99" s="1">
        <v>601.11</v>
      </c>
      <c r="IS99" s="1">
        <v>386.7</v>
      </c>
      <c r="IT99" s="1">
        <v>307.58999999999997</v>
      </c>
      <c r="IU99" s="1">
        <v>312.39999999999998</v>
      </c>
      <c r="IV99" s="1">
        <v>601.11</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0</v>
      </c>
      <c r="JO99" s="1">
        <v>0</v>
      </c>
      <c r="JP99" s="1">
        <v>0</v>
      </c>
      <c r="JQ99" s="9"/>
      <c r="JR99" s="1">
        <f t="shared" si="25"/>
        <v>1736.8182000000002</v>
      </c>
      <c r="JS99" s="1">
        <f t="shared" si="25"/>
        <v>1827.3761999999999</v>
      </c>
      <c r="JT99" s="1">
        <f t="shared" si="25"/>
        <v>1868.1704999999995</v>
      </c>
      <c r="JU99" s="1">
        <f t="shared" si="25"/>
        <v>1741.4568000000006</v>
      </c>
      <c r="JV99" s="1">
        <f t="shared" si="26"/>
        <v>321.63300000000004</v>
      </c>
      <c r="JW99" s="1">
        <f t="shared" si="26"/>
        <v>338.40300000000002</v>
      </c>
      <c r="JX99" s="1">
        <f t="shared" si="26"/>
        <v>345.95749999999992</v>
      </c>
      <c r="JY99" s="1">
        <f t="shared" si="26"/>
        <v>322.49200000000013</v>
      </c>
    </row>
    <row r="100" spans="1:285" x14ac:dyDescent="0.35">
      <c r="A100" s="2" t="s">
        <v>107</v>
      </c>
      <c r="B100" s="1">
        <v>107146</v>
      </c>
      <c r="C100" s="1">
        <v>106883</v>
      </c>
      <c r="D100" s="1">
        <v>106997</v>
      </c>
      <c r="E100" s="1">
        <v>109059</v>
      </c>
      <c r="F100" s="1">
        <v>27946.639999999999</v>
      </c>
      <c r="G100" s="1">
        <v>27380.18</v>
      </c>
      <c r="H100" s="1">
        <v>25593.27</v>
      </c>
      <c r="I100" s="1">
        <v>21508.87</v>
      </c>
      <c r="J100" s="1">
        <f t="shared" si="27"/>
        <v>17558.27</v>
      </c>
      <c r="K100" s="1">
        <f t="shared" si="28"/>
        <v>17344.009999999998</v>
      </c>
      <c r="L100" s="1">
        <f t="shared" si="29"/>
        <v>15225.95</v>
      </c>
      <c r="M100" s="1">
        <f t="shared" si="30"/>
        <v>14066.74</v>
      </c>
      <c r="N100" s="1">
        <f t="shared" si="31"/>
        <v>10388.369999999999</v>
      </c>
      <c r="O100" s="1">
        <f t="shared" si="32"/>
        <v>10036.170000000002</v>
      </c>
      <c r="P100" s="1">
        <f t="shared" si="33"/>
        <v>10367.32</v>
      </c>
      <c r="Q100" s="1">
        <f t="shared" si="34"/>
        <v>7442.1299999999992</v>
      </c>
      <c r="R100" s="1">
        <v>1560.92</v>
      </c>
      <c r="S100" s="1">
        <v>3216.3</v>
      </c>
      <c r="T100" s="1">
        <v>2651.78</v>
      </c>
      <c r="U100" s="1">
        <v>2726.77</v>
      </c>
      <c r="V100" s="1">
        <v>1560.92</v>
      </c>
      <c r="W100" s="1">
        <v>0</v>
      </c>
      <c r="X100" s="1">
        <v>0</v>
      </c>
      <c r="Y100" s="1">
        <v>3216.3</v>
      </c>
      <c r="Z100" s="1">
        <v>0</v>
      </c>
      <c r="AA100" s="1">
        <v>0</v>
      </c>
      <c r="AB100" s="1">
        <v>2651.78</v>
      </c>
      <c r="AC100" s="1">
        <v>0</v>
      </c>
      <c r="AD100" s="1">
        <v>0</v>
      </c>
      <c r="AE100" s="1">
        <v>2726.7699999999995</v>
      </c>
      <c r="AF100" s="1">
        <v>0</v>
      </c>
      <c r="AG100" s="1">
        <v>0</v>
      </c>
      <c r="AH100" s="1">
        <v>0</v>
      </c>
      <c r="AI100" s="1">
        <v>0</v>
      </c>
      <c r="AJ100" s="1">
        <v>0</v>
      </c>
      <c r="AK100" s="1">
        <v>0</v>
      </c>
      <c r="AL100" s="1">
        <v>0</v>
      </c>
      <c r="AM100" s="1">
        <v>0</v>
      </c>
      <c r="AN100" s="1">
        <v>0</v>
      </c>
      <c r="AO100" s="1">
        <v>0</v>
      </c>
      <c r="AP100" s="1">
        <v>5724.66</v>
      </c>
      <c r="AQ100" s="1">
        <v>4312.2</v>
      </c>
      <c r="AR100" s="1">
        <v>3649.16</v>
      </c>
      <c r="AS100" s="1">
        <v>3956.85</v>
      </c>
      <c r="AT100" s="1">
        <v>5724.66</v>
      </c>
      <c r="AU100" s="1">
        <v>0</v>
      </c>
      <c r="AV100" s="1">
        <v>0</v>
      </c>
      <c r="AW100" s="1">
        <v>0</v>
      </c>
      <c r="AX100" s="1">
        <v>4312.2</v>
      </c>
      <c r="AY100" s="1">
        <v>0</v>
      </c>
      <c r="AZ100" s="1">
        <v>0</v>
      </c>
      <c r="BA100" s="1">
        <v>0</v>
      </c>
      <c r="BB100" s="1">
        <v>3649.16</v>
      </c>
      <c r="BC100" s="1">
        <v>0</v>
      </c>
      <c r="BD100" s="1">
        <v>0</v>
      </c>
      <c r="BE100" s="1">
        <v>3956.85</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4832.24</v>
      </c>
      <c r="BV100" s="1">
        <v>4624.84</v>
      </c>
      <c r="BW100" s="1">
        <v>4111.91</v>
      </c>
      <c r="BX100" s="1">
        <v>3426.08</v>
      </c>
      <c r="BY100" s="1">
        <v>4832.24</v>
      </c>
      <c r="BZ100" s="1">
        <v>4624.84</v>
      </c>
      <c r="CA100" s="1">
        <v>4111.91</v>
      </c>
      <c r="CB100" s="1">
        <v>3426.08</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1828.15</v>
      </c>
      <c r="CT100" s="1">
        <v>1462.3</v>
      </c>
      <c r="CU100" s="1">
        <v>1388.21</v>
      </c>
      <c r="CV100" s="1">
        <v>1132.21</v>
      </c>
      <c r="CW100" s="1">
        <v>1828.15</v>
      </c>
      <c r="CX100" s="1">
        <v>1462.3</v>
      </c>
      <c r="CY100" s="1">
        <v>1388.21</v>
      </c>
      <c r="CZ100" s="1">
        <v>1132.21</v>
      </c>
      <c r="DA100" s="1">
        <v>0</v>
      </c>
      <c r="DB100" s="1">
        <v>0</v>
      </c>
      <c r="DC100" s="1">
        <v>0</v>
      </c>
      <c r="DD100" s="1">
        <v>0</v>
      </c>
      <c r="DE100" s="1">
        <v>0</v>
      </c>
      <c r="DF100" s="1">
        <v>0</v>
      </c>
      <c r="DG100" s="1">
        <v>0</v>
      </c>
      <c r="DH100" s="1">
        <v>0</v>
      </c>
      <c r="DI100" s="1">
        <v>0</v>
      </c>
      <c r="DJ100" s="1">
        <v>0</v>
      </c>
      <c r="DK100" s="1">
        <v>0</v>
      </c>
      <c r="DL100" s="1">
        <v>0</v>
      </c>
      <c r="DM100" s="1">
        <v>2854.77</v>
      </c>
      <c r="DN100" s="1">
        <v>3162.48</v>
      </c>
      <c r="DO100" s="1">
        <v>2845.29</v>
      </c>
      <c r="DP100" s="1">
        <v>2268.17</v>
      </c>
      <c r="DQ100" s="1">
        <v>2854.77</v>
      </c>
      <c r="DR100" s="1">
        <v>3162.48</v>
      </c>
      <c r="DS100" s="1">
        <v>2845.29</v>
      </c>
      <c r="DT100" s="1">
        <v>2268.17</v>
      </c>
      <c r="DU100" s="1">
        <v>0</v>
      </c>
      <c r="DV100" s="1">
        <v>0</v>
      </c>
      <c r="DW100" s="1">
        <v>0</v>
      </c>
      <c r="DX100" s="1">
        <v>0</v>
      </c>
      <c r="DY100" s="1">
        <v>0</v>
      </c>
      <c r="DZ100" s="1">
        <v>0</v>
      </c>
      <c r="EA100" s="1">
        <v>0</v>
      </c>
      <c r="EB100" s="1">
        <v>0</v>
      </c>
      <c r="EC100" s="1">
        <v>0</v>
      </c>
      <c r="ED100" s="1">
        <v>0</v>
      </c>
      <c r="EE100" s="1">
        <v>0</v>
      </c>
      <c r="EF100" s="1">
        <v>0</v>
      </c>
      <c r="EG100" s="1">
        <v>0</v>
      </c>
      <c r="EH100" s="1">
        <v>0</v>
      </c>
      <c r="EI100" s="1">
        <v>0</v>
      </c>
      <c r="EJ100" s="1">
        <v>0</v>
      </c>
      <c r="EK100" s="1">
        <v>657.47</v>
      </c>
      <c r="EL100" s="1">
        <v>437.3</v>
      </c>
      <c r="EM100" s="1">
        <v>429.66000000000008</v>
      </c>
      <c r="EN100" s="1">
        <v>354.82</v>
      </c>
      <c r="EO100" s="1">
        <v>657.47</v>
      </c>
      <c r="EP100" s="1">
        <v>437.3</v>
      </c>
      <c r="EQ100" s="1">
        <v>429.66000000000008</v>
      </c>
      <c r="ER100" s="1">
        <v>354.82</v>
      </c>
      <c r="ES100" s="1">
        <v>0</v>
      </c>
      <c r="ET100" s="1">
        <v>0</v>
      </c>
      <c r="EU100" s="1">
        <v>0</v>
      </c>
      <c r="EV100" s="1">
        <v>0</v>
      </c>
      <c r="EW100" s="1">
        <v>0</v>
      </c>
      <c r="EX100" s="1">
        <v>0</v>
      </c>
      <c r="EY100" s="1">
        <v>0</v>
      </c>
      <c r="EZ100" s="1">
        <v>0</v>
      </c>
      <c r="FA100" s="1">
        <v>0</v>
      </c>
      <c r="FB100" s="1">
        <v>0</v>
      </c>
      <c r="FC100" s="1">
        <v>0</v>
      </c>
      <c r="FD100" s="1">
        <v>0</v>
      </c>
      <c r="FE100" s="1">
        <v>64.650000000000006</v>
      </c>
      <c r="FF100" s="1">
        <v>112.49</v>
      </c>
      <c r="FG100" s="1">
        <v>114.72</v>
      </c>
      <c r="FH100" s="1">
        <v>170.4</v>
      </c>
      <c r="FI100" s="1">
        <v>64.650000000000006</v>
      </c>
      <c r="FJ100" s="1">
        <v>112.49</v>
      </c>
      <c r="FK100" s="1">
        <v>114.72</v>
      </c>
      <c r="FL100" s="1">
        <v>170.4</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35.409999999999997</v>
      </c>
      <c r="GD100" s="1">
        <v>16.100000000000001</v>
      </c>
      <c r="GE100" s="1">
        <v>35.22</v>
      </c>
      <c r="GF100" s="1">
        <v>31.44</v>
      </c>
      <c r="GG100" s="1">
        <v>35.409999999999997</v>
      </c>
      <c r="GH100" s="1">
        <v>16.100000000000001</v>
      </c>
      <c r="GI100" s="1">
        <v>35.22</v>
      </c>
      <c r="GJ100" s="1">
        <v>31.44</v>
      </c>
      <c r="GK100" s="1">
        <v>0</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0</v>
      </c>
      <c r="JO100" s="1">
        <v>0</v>
      </c>
      <c r="JP100" s="1">
        <v>0</v>
      </c>
      <c r="JQ100" s="9"/>
      <c r="JR100" s="1">
        <f t="shared" si="25"/>
        <v>2804.8598999999999</v>
      </c>
      <c r="JS100" s="1">
        <f t="shared" si="25"/>
        <v>2709.7659000000008</v>
      </c>
      <c r="JT100" s="1">
        <f t="shared" si="25"/>
        <v>2799.1764000000003</v>
      </c>
      <c r="JU100" s="1">
        <f t="shared" si="25"/>
        <v>2009.3751</v>
      </c>
      <c r="JV100" s="1">
        <f t="shared" si="26"/>
        <v>519.41849999999999</v>
      </c>
      <c r="JW100" s="1">
        <f t="shared" si="26"/>
        <v>501.80850000000009</v>
      </c>
      <c r="JX100" s="1">
        <f t="shared" si="26"/>
        <v>518.36599999999999</v>
      </c>
      <c r="JY100" s="1">
        <f t="shared" si="26"/>
        <v>372.10649999999998</v>
      </c>
    </row>
    <row r="101" spans="1:285" x14ac:dyDescent="0.35">
      <c r="A101" s="2" t="s">
        <v>108</v>
      </c>
      <c r="B101" s="1">
        <v>99851</v>
      </c>
      <c r="C101" s="1">
        <v>100179</v>
      </c>
      <c r="D101" s="1">
        <v>99798</v>
      </c>
      <c r="E101" s="1">
        <v>100209</v>
      </c>
      <c r="F101" s="1">
        <v>34170.769</v>
      </c>
      <c r="G101" s="1">
        <v>33654.521000000001</v>
      </c>
      <c r="H101" s="1">
        <v>32676.089</v>
      </c>
      <c r="I101" s="1">
        <v>32951.587</v>
      </c>
      <c r="J101" s="1">
        <f t="shared" si="27"/>
        <v>19375.773000000001</v>
      </c>
      <c r="K101" s="1">
        <f t="shared" si="28"/>
        <v>19866.255000000001</v>
      </c>
      <c r="L101" s="1">
        <f t="shared" si="29"/>
        <v>19367.308999999997</v>
      </c>
      <c r="M101" s="1">
        <f t="shared" si="30"/>
        <v>19904.327000000001</v>
      </c>
      <c r="N101" s="1">
        <f t="shared" si="31"/>
        <v>14794.995999999999</v>
      </c>
      <c r="O101" s="1">
        <f t="shared" si="32"/>
        <v>13788.266</v>
      </c>
      <c r="P101" s="1">
        <f t="shared" si="33"/>
        <v>13308.780000000002</v>
      </c>
      <c r="Q101" s="1">
        <f t="shared" si="34"/>
        <v>13047.259999999998</v>
      </c>
      <c r="R101" s="1">
        <v>0</v>
      </c>
      <c r="S101" s="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1">
        <v>0</v>
      </c>
      <c r="AJ101" s="1">
        <v>0</v>
      </c>
      <c r="AK101" s="1">
        <v>0</v>
      </c>
      <c r="AL101" s="1">
        <v>0</v>
      </c>
      <c r="AM101" s="1">
        <v>0</v>
      </c>
      <c r="AN101" s="1">
        <v>0</v>
      </c>
      <c r="AO101" s="1">
        <v>0</v>
      </c>
      <c r="AP101" s="1">
        <v>3609.9800000000005</v>
      </c>
      <c r="AQ101" s="1">
        <v>4094.9</v>
      </c>
      <c r="AR101" s="1">
        <v>3692.64</v>
      </c>
      <c r="AS101" s="1">
        <v>4381.1399999999994</v>
      </c>
      <c r="AT101" s="1">
        <v>3609.9800000000005</v>
      </c>
      <c r="AU101" s="1">
        <v>0</v>
      </c>
      <c r="AV101" s="1">
        <v>0</v>
      </c>
      <c r="AW101" s="1">
        <v>0</v>
      </c>
      <c r="AX101" s="1">
        <v>4094.9</v>
      </c>
      <c r="AY101" s="1">
        <v>0</v>
      </c>
      <c r="AZ101" s="1">
        <v>0</v>
      </c>
      <c r="BA101" s="1">
        <v>0</v>
      </c>
      <c r="BB101" s="1">
        <v>3692.64</v>
      </c>
      <c r="BC101" s="1">
        <v>0</v>
      </c>
      <c r="BD101" s="1">
        <v>0</v>
      </c>
      <c r="BE101" s="1">
        <v>4381.1399999999994</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9148.8109999999997</v>
      </c>
      <c r="BV101" s="1">
        <v>8258.4069999999992</v>
      </c>
      <c r="BW101" s="1">
        <v>8840.9</v>
      </c>
      <c r="BX101" s="1">
        <v>9155.1</v>
      </c>
      <c r="BY101" s="1">
        <v>9148.8109999999997</v>
      </c>
      <c r="BZ101" s="1">
        <v>8258.4069999999992</v>
      </c>
      <c r="CA101" s="1">
        <v>8840.9</v>
      </c>
      <c r="CB101" s="1">
        <v>9155.1</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1873.499</v>
      </c>
      <c r="CT101" s="1">
        <v>3021.7750000000001</v>
      </c>
      <c r="CU101" s="1">
        <v>2538.13</v>
      </c>
      <c r="CV101" s="1">
        <v>1842.2</v>
      </c>
      <c r="CW101" s="1">
        <v>1873.499</v>
      </c>
      <c r="CX101" s="1">
        <v>3021.7750000000001</v>
      </c>
      <c r="CY101" s="1">
        <v>2538.13</v>
      </c>
      <c r="CZ101" s="1">
        <v>1842.2</v>
      </c>
      <c r="DA101" s="1">
        <v>0</v>
      </c>
      <c r="DB101" s="1">
        <v>0</v>
      </c>
      <c r="DC101" s="1">
        <v>0</v>
      </c>
      <c r="DD101" s="1">
        <v>0</v>
      </c>
      <c r="DE101" s="1">
        <v>0</v>
      </c>
      <c r="DF101" s="1">
        <v>0</v>
      </c>
      <c r="DG101" s="1">
        <v>0</v>
      </c>
      <c r="DH101" s="1">
        <v>0</v>
      </c>
      <c r="DI101" s="1">
        <v>0</v>
      </c>
      <c r="DJ101" s="1">
        <v>0</v>
      </c>
      <c r="DK101" s="1">
        <v>0</v>
      </c>
      <c r="DL101" s="1">
        <v>0</v>
      </c>
      <c r="DM101" s="1">
        <v>3094.027</v>
      </c>
      <c r="DN101" s="1">
        <v>2835.0390000000002</v>
      </c>
      <c r="DO101" s="1">
        <v>2805.62</v>
      </c>
      <c r="DP101" s="1">
        <v>2838.69</v>
      </c>
      <c r="DQ101" s="1">
        <v>3094.027</v>
      </c>
      <c r="DR101" s="1">
        <v>2835.0390000000002</v>
      </c>
      <c r="DS101" s="1">
        <v>2805.62</v>
      </c>
      <c r="DT101" s="1">
        <v>2838.69</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712.32100000000003</v>
      </c>
      <c r="EL101" s="1">
        <v>739.29899999999998</v>
      </c>
      <c r="EM101" s="1">
        <v>722.29</v>
      </c>
      <c r="EN101" s="1">
        <v>1068.3599999999999</v>
      </c>
      <c r="EO101" s="1">
        <v>712.32100000000003</v>
      </c>
      <c r="EP101" s="1">
        <v>739.29899999999998</v>
      </c>
      <c r="EQ101" s="1">
        <v>722.29</v>
      </c>
      <c r="ER101" s="1">
        <v>1068.3599999999999</v>
      </c>
      <c r="ES101" s="1">
        <v>0</v>
      </c>
      <c r="ET101" s="1">
        <v>0</v>
      </c>
      <c r="EU101" s="1">
        <v>0</v>
      </c>
      <c r="EV101" s="1">
        <v>0</v>
      </c>
      <c r="EW101" s="1">
        <v>0</v>
      </c>
      <c r="EX101" s="1">
        <v>0</v>
      </c>
      <c r="EY101" s="1">
        <v>0</v>
      </c>
      <c r="EZ101" s="1">
        <v>0</v>
      </c>
      <c r="FA101" s="1">
        <v>0</v>
      </c>
      <c r="FB101" s="1">
        <v>0</v>
      </c>
      <c r="FC101" s="1">
        <v>0</v>
      </c>
      <c r="FD101" s="1">
        <v>0</v>
      </c>
      <c r="FE101" s="1">
        <v>85.763000000000005</v>
      </c>
      <c r="FF101" s="1">
        <v>61.505000000000003</v>
      </c>
      <c r="FG101" s="1">
        <v>88.688999999999993</v>
      </c>
      <c r="FH101" s="1">
        <v>118.73699999999999</v>
      </c>
      <c r="FI101" s="1">
        <v>83.536999999999992</v>
      </c>
      <c r="FJ101" s="1">
        <v>58.14</v>
      </c>
      <c r="FK101" s="1">
        <v>86.155000000000001</v>
      </c>
      <c r="FL101" s="1">
        <v>115.923</v>
      </c>
      <c r="FM101" s="1">
        <v>2.226</v>
      </c>
      <c r="FN101" s="1">
        <v>3.3650000000000002</v>
      </c>
      <c r="FO101" s="1">
        <v>2.5339999999999998</v>
      </c>
      <c r="FP101" s="1">
        <v>2.8140000000000001</v>
      </c>
      <c r="FQ101" s="1">
        <v>0</v>
      </c>
      <c r="FR101" s="1">
        <v>0</v>
      </c>
      <c r="FS101" s="1">
        <v>0</v>
      </c>
      <c r="FT101" s="1">
        <v>0</v>
      </c>
      <c r="FU101" s="1">
        <v>0</v>
      </c>
      <c r="FV101" s="1">
        <v>0</v>
      </c>
      <c r="FW101" s="1">
        <v>0</v>
      </c>
      <c r="FX101" s="1">
        <v>0</v>
      </c>
      <c r="FY101" s="1">
        <v>0</v>
      </c>
      <c r="FZ101" s="1">
        <v>0</v>
      </c>
      <c r="GA101" s="1">
        <v>0</v>
      </c>
      <c r="GB101" s="1">
        <v>0</v>
      </c>
      <c r="GC101" s="1">
        <v>555.83999999999992</v>
      </c>
      <c r="GD101" s="1">
        <v>598</v>
      </c>
      <c r="GE101" s="1">
        <v>441.64</v>
      </c>
      <c r="GF101" s="1">
        <v>358.68</v>
      </c>
      <c r="GG101" s="1">
        <v>555.83999999999992</v>
      </c>
      <c r="GH101" s="1">
        <v>598</v>
      </c>
      <c r="GI101" s="1">
        <v>441.64</v>
      </c>
      <c r="GJ101" s="1">
        <v>358.68</v>
      </c>
      <c r="GK101" s="1">
        <v>0</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295.53199999999998</v>
      </c>
      <c r="IP101" s="1">
        <v>257.33</v>
      </c>
      <c r="IQ101" s="1">
        <v>237.4</v>
      </c>
      <c r="IR101" s="1">
        <v>141.41999999999999</v>
      </c>
      <c r="IS101" s="1">
        <v>295.53199999999998</v>
      </c>
      <c r="IT101" s="1">
        <v>257.33</v>
      </c>
      <c r="IU101" s="1">
        <v>237.4</v>
      </c>
      <c r="IV101" s="1">
        <v>141.41999999999999</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0</v>
      </c>
      <c r="JO101" s="1">
        <v>0</v>
      </c>
      <c r="JP101" s="1">
        <v>0</v>
      </c>
      <c r="JQ101" s="9"/>
      <c r="JR101" s="1">
        <f t="shared" si="25"/>
        <v>3994.6489200000001</v>
      </c>
      <c r="JS101" s="1">
        <f t="shared" si="25"/>
        <v>3722.8318200000003</v>
      </c>
      <c r="JT101" s="1">
        <f t="shared" si="25"/>
        <v>3593.3706000000011</v>
      </c>
      <c r="JU101" s="1">
        <f t="shared" si="25"/>
        <v>3522.7601999999997</v>
      </c>
      <c r="JV101" s="1">
        <f t="shared" si="26"/>
        <v>739.74980000000005</v>
      </c>
      <c r="JW101" s="1">
        <f t="shared" si="26"/>
        <v>689.41330000000005</v>
      </c>
      <c r="JX101" s="1">
        <f t="shared" si="26"/>
        <v>665.43900000000019</v>
      </c>
      <c r="JY101" s="1">
        <f t="shared" si="26"/>
        <v>652.36299999999994</v>
      </c>
    </row>
    <row r="102" spans="1:285" x14ac:dyDescent="0.35">
      <c r="A102" s="2" t="s">
        <v>109</v>
      </c>
      <c r="B102" s="1">
        <v>288384</v>
      </c>
      <c r="C102" s="1">
        <v>289537</v>
      </c>
      <c r="D102" s="1">
        <v>292381</v>
      </c>
      <c r="E102" s="1">
        <v>296420</v>
      </c>
      <c r="F102" s="1">
        <v>233860.14</v>
      </c>
      <c r="G102" s="1">
        <v>227210.85</v>
      </c>
      <c r="H102" s="1">
        <v>221787.87</v>
      </c>
      <c r="I102" s="1">
        <v>215276.54</v>
      </c>
      <c r="J102" s="1">
        <f t="shared" si="27"/>
        <v>47361.340000000004</v>
      </c>
      <c r="K102" s="1">
        <f t="shared" si="28"/>
        <v>43495.58</v>
      </c>
      <c r="L102" s="1">
        <f t="shared" si="29"/>
        <v>41520.119999999995</v>
      </c>
      <c r="M102" s="1">
        <f t="shared" si="30"/>
        <v>41953.670000000013</v>
      </c>
      <c r="N102" s="1">
        <f t="shared" si="31"/>
        <v>186498.80000000002</v>
      </c>
      <c r="O102" s="1">
        <f t="shared" si="32"/>
        <v>183715.27000000002</v>
      </c>
      <c r="P102" s="1">
        <f t="shared" si="33"/>
        <v>180267.75</v>
      </c>
      <c r="Q102" s="1">
        <f t="shared" si="34"/>
        <v>173322.87</v>
      </c>
      <c r="R102" s="1">
        <v>0</v>
      </c>
      <c r="S102" s="1">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1">
        <v>0</v>
      </c>
      <c r="AJ102" s="1">
        <v>0</v>
      </c>
      <c r="AK102" s="1">
        <v>0</v>
      </c>
      <c r="AL102" s="1">
        <v>0</v>
      </c>
      <c r="AM102" s="1">
        <v>0</v>
      </c>
      <c r="AN102" s="1">
        <v>0</v>
      </c>
      <c r="AO102" s="1">
        <v>0</v>
      </c>
      <c r="AP102" s="1">
        <v>14228.759999999998</v>
      </c>
      <c r="AQ102" s="1">
        <v>14194.87</v>
      </c>
      <c r="AR102" s="1">
        <v>12289.699999999997</v>
      </c>
      <c r="AS102" s="1">
        <v>13482.239999999998</v>
      </c>
      <c r="AT102" s="1">
        <v>13929.7</v>
      </c>
      <c r="AU102" s="1">
        <v>299.06</v>
      </c>
      <c r="AV102" s="1">
        <v>0</v>
      </c>
      <c r="AW102" s="1">
        <v>0</v>
      </c>
      <c r="AX102" s="1">
        <v>13834.96</v>
      </c>
      <c r="AY102" s="1">
        <v>359.91000000000167</v>
      </c>
      <c r="AZ102" s="1">
        <v>0</v>
      </c>
      <c r="BA102" s="1">
        <v>0</v>
      </c>
      <c r="BB102" s="1">
        <v>11902.639999999998</v>
      </c>
      <c r="BC102" s="1">
        <v>387.06</v>
      </c>
      <c r="BD102" s="1">
        <v>0</v>
      </c>
      <c r="BE102" s="1">
        <v>13046.439999999999</v>
      </c>
      <c r="BF102" s="1">
        <v>435.8</v>
      </c>
      <c r="BG102" s="1">
        <v>0</v>
      </c>
      <c r="BH102" s="1">
        <v>0</v>
      </c>
      <c r="BI102" s="1">
        <v>0</v>
      </c>
      <c r="BJ102" s="1">
        <v>0</v>
      </c>
      <c r="BK102" s="1">
        <v>0</v>
      </c>
      <c r="BL102" s="1">
        <v>0</v>
      </c>
      <c r="BM102" s="1">
        <v>0</v>
      </c>
      <c r="BN102" s="1">
        <v>0</v>
      </c>
      <c r="BO102" s="1">
        <v>0</v>
      </c>
      <c r="BP102" s="1">
        <v>0</v>
      </c>
      <c r="BQ102" s="1">
        <v>0</v>
      </c>
      <c r="BR102" s="1">
        <v>0</v>
      </c>
      <c r="BS102" s="1">
        <v>0</v>
      </c>
      <c r="BT102" s="1">
        <v>0</v>
      </c>
      <c r="BU102" s="1">
        <v>16721.66</v>
      </c>
      <c r="BV102" s="1">
        <v>14562.56</v>
      </c>
      <c r="BW102" s="1">
        <v>11585.98</v>
      </c>
      <c r="BX102" s="1">
        <v>12027.44</v>
      </c>
      <c r="BY102" s="1">
        <v>16716</v>
      </c>
      <c r="BZ102" s="1">
        <v>14541.83</v>
      </c>
      <c r="CA102" s="1">
        <v>11542.5</v>
      </c>
      <c r="CB102" s="1">
        <v>12020.11</v>
      </c>
      <c r="CC102" s="1">
        <v>5.66</v>
      </c>
      <c r="CD102" s="1">
        <v>20.73</v>
      </c>
      <c r="CE102" s="1">
        <v>43.48</v>
      </c>
      <c r="CF102" s="1">
        <v>7.33</v>
      </c>
      <c r="CG102" s="1">
        <v>0</v>
      </c>
      <c r="CH102" s="1">
        <v>0</v>
      </c>
      <c r="CI102" s="1">
        <v>0</v>
      </c>
      <c r="CJ102" s="1">
        <v>0</v>
      </c>
      <c r="CK102" s="1">
        <v>0</v>
      </c>
      <c r="CL102" s="1">
        <v>0</v>
      </c>
      <c r="CM102" s="1">
        <v>0</v>
      </c>
      <c r="CN102" s="1">
        <v>0</v>
      </c>
      <c r="CO102" s="1">
        <v>0</v>
      </c>
      <c r="CP102" s="1">
        <v>0</v>
      </c>
      <c r="CQ102" s="1">
        <v>0</v>
      </c>
      <c r="CR102" s="1">
        <v>0</v>
      </c>
      <c r="CS102" s="1">
        <v>4320.2700000000004</v>
      </c>
      <c r="CT102" s="1">
        <v>3618.33</v>
      </c>
      <c r="CU102" s="1">
        <v>2776.05</v>
      </c>
      <c r="CV102" s="1">
        <v>3049.51</v>
      </c>
      <c r="CW102" s="1">
        <v>4320.2700000000004</v>
      </c>
      <c r="CX102" s="1">
        <v>3618.33</v>
      </c>
      <c r="CY102" s="1">
        <v>2776.05</v>
      </c>
      <c r="CZ102" s="1">
        <v>3049.51</v>
      </c>
      <c r="DA102" s="1">
        <v>0</v>
      </c>
      <c r="DB102" s="1">
        <v>0</v>
      </c>
      <c r="DC102" s="1">
        <v>0</v>
      </c>
      <c r="DD102" s="1">
        <v>0</v>
      </c>
      <c r="DE102" s="1">
        <v>0</v>
      </c>
      <c r="DF102" s="1">
        <v>0</v>
      </c>
      <c r="DG102" s="1">
        <v>0</v>
      </c>
      <c r="DH102" s="1">
        <v>0</v>
      </c>
      <c r="DI102" s="1">
        <v>0</v>
      </c>
      <c r="DJ102" s="1">
        <v>0</v>
      </c>
      <c r="DK102" s="1">
        <v>0</v>
      </c>
      <c r="DL102" s="1">
        <v>0</v>
      </c>
      <c r="DM102" s="1">
        <v>4287.8900000000003</v>
      </c>
      <c r="DN102" s="1">
        <v>3335.91</v>
      </c>
      <c r="DO102" s="1">
        <v>2849.73</v>
      </c>
      <c r="DP102" s="1">
        <v>3047.440000000001</v>
      </c>
      <c r="DQ102" s="1">
        <v>4287.8900000000003</v>
      </c>
      <c r="DR102" s="1">
        <v>3335.91</v>
      </c>
      <c r="DS102" s="1">
        <v>2849.73</v>
      </c>
      <c r="DT102" s="1">
        <v>3047.440000000001</v>
      </c>
      <c r="DU102" s="1">
        <v>0</v>
      </c>
      <c r="DV102" s="1">
        <v>0</v>
      </c>
      <c r="DW102" s="1">
        <v>0</v>
      </c>
      <c r="DX102" s="1">
        <v>0</v>
      </c>
      <c r="DY102" s="1">
        <v>0</v>
      </c>
      <c r="DZ102" s="1">
        <v>0</v>
      </c>
      <c r="EA102" s="1">
        <v>0</v>
      </c>
      <c r="EB102" s="1">
        <v>0</v>
      </c>
      <c r="EC102" s="1">
        <v>0</v>
      </c>
      <c r="ED102" s="1">
        <v>0</v>
      </c>
      <c r="EE102" s="1">
        <v>0</v>
      </c>
      <c r="EF102" s="1">
        <v>0</v>
      </c>
      <c r="EG102" s="1">
        <v>0</v>
      </c>
      <c r="EH102" s="1">
        <v>0</v>
      </c>
      <c r="EI102" s="1">
        <v>0</v>
      </c>
      <c r="EJ102" s="1">
        <v>0</v>
      </c>
      <c r="EK102" s="1">
        <v>4923.05</v>
      </c>
      <c r="EL102" s="1">
        <v>3916.01</v>
      </c>
      <c r="EM102" s="1">
        <v>7190.29</v>
      </c>
      <c r="EN102" s="1">
        <v>6521.33</v>
      </c>
      <c r="EO102" s="1">
        <v>4893.66</v>
      </c>
      <c r="EP102" s="1">
        <v>3886.14</v>
      </c>
      <c r="EQ102" s="1">
        <v>6869.2599999999993</v>
      </c>
      <c r="ER102" s="1">
        <v>6521.33</v>
      </c>
      <c r="ES102" s="1">
        <v>29.39</v>
      </c>
      <c r="ET102" s="1">
        <v>29.87</v>
      </c>
      <c r="EU102" s="1">
        <v>38.9</v>
      </c>
      <c r="EV102" s="1">
        <v>0</v>
      </c>
      <c r="EW102" s="1">
        <v>0</v>
      </c>
      <c r="EX102" s="1">
        <v>0</v>
      </c>
      <c r="EY102" s="1">
        <v>282.13</v>
      </c>
      <c r="EZ102" s="1">
        <v>0</v>
      </c>
      <c r="FA102" s="1">
        <v>0</v>
      </c>
      <c r="FB102" s="1">
        <v>0</v>
      </c>
      <c r="FC102" s="1">
        <v>0</v>
      </c>
      <c r="FD102" s="1">
        <v>0</v>
      </c>
      <c r="FE102" s="1">
        <v>90.36</v>
      </c>
      <c r="FF102" s="1">
        <v>186.18</v>
      </c>
      <c r="FG102" s="1">
        <v>201.01</v>
      </c>
      <c r="FH102" s="1">
        <v>155.37</v>
      </c>
      <c r="FI102" s="1">
        <v>0</v>
      </c>
      <c r="FJ102" s="1">
        <v>0</v>
      </c>
      <c r="FK102" s="1">
        <v>0</v>
      </c>
      <c r="FL102" s="1">
        <v>0</v>
      </c>
      <c r="FM102" s="1">
        <v>90.36</v>
      </c>
      <c r="FN102" s="1">
        <v>186.18</v>
      </c>
      <c r="FO102" s="1">
        <v>201.01</v>
      </c>
      <c r="FP102" s="1">
        <v>155.37</v>
      </c>
      <c r="FQ102" s="1">
        <v>0</v>
      </c>
      <c r="FR102" s="1">
        <v>0</v>
      </c>
      <c r="FS102" s="1">
        <v>0</v>
      </c>
      <c r="FT102" s="1">
        <v>0</v>
      </c>
      <c r="FU102" s="1">
        <v>0</v>
      </c>
      <c r="FV102" s="1">
        <v>0</v>
      </c>
      <c r="FW102" s="1">
        <v>0</v>
      </c>
      <c r="FX102" s="1">
        <v>0</v>
      </c>
      <c r="FY102" s="1">
        <v>0</v>
      </c>
      <c r="FZ102" s="1">
        <v>0</v>
      </c>
      <c r="GA102" s="1">
        <v>0</v>
      </c>
      <c r="GB102" s="1">
        <v>0</v>
      </c>
      <c r="GC102" s="1">
        <v>633.25</v>
      </c>
      <c r="GD102" s="1">
        <v>672.64</v>
      </c>
      <c r="GE102" s="1">
        <v>724.05</v>
      </c>
      <c r="GF102" s="1">
        <v>704.74</v>
      </c>
      <c r="GG102" s="1">
        <v>603.86</v>
      </c>
      <c r="GH102" s="1">
        <v>642.77</v>
      </c>
      <c r="GI102" s="1">
        <v>649.46</v>
      </c>
      <c r="GJ102" s="1">
        <v>704.74</v>
      </c>
      <c r="GK102" s="1">
        <v>29.39</v>
      </c>
      <c r="GL102" s="1">
        <v>29.87</v>
      </c>
      <c r="GM102" s="1">
        <v>74.59</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1553.93</v>
      </c>
      <c r="HF102" s="1">
        <v>2397.58</v>
      </c>
      <c r="HG102" s="1">
        <v>3152.5</v>
      </c>
      <c r="HH102" s="1">
        <v>2266.44</v>
      </c>
      <c r="HI102" s="1">
        <v>1553.93</v>
      </c>
      <c r="HJ102" s="1">
        <v>2094.04</v>
      </c>
      <c r="HK102" s="1">
        <v>2284.81</v>
      </c>
      <c r="HL102" s="1">
        <v>1474.75</v>
      </c>
      <c r="HM102" s="1">
        <v>0</v>
      </c>
      <c r="HN102" s="1">
        <v>0</v>
      </c>
      <c r="HO102" s="1">
        <v>0</v>
      </c>
      <c r="HP102" s="1">
        <v>0</v>
      </c>
      <c r="HQ102" s="1">
        <v>0</v>
      </c>
      <c r="HR102" s="1">
        <v>0</v>
      </c>
      <c r="HS102" s="1">
        <v>0</v>
      </c>
      <c r="HT102" s="1">
        <v>0</v>
      </c>
      <c r="HU102" s="1">
        <v>0</v>
      </c>
      <c r="HV102" s="1">
        <v>0</v>
      </c>
      <c r="HW102" s="1">
        <v>0</v>
      </c>
      <c r="HX102" s="1">
        <v>7.0699999999999994</v>
      </c>
      <c r="HY102" s="1">
        <v>0</v>
      </c>
      <c r="HZ102" s="1">
        <v>0</v>
      </c>
      <c r="IA102" s="1">
        <v>0</v>
      </c>
      <c r="IB102" s="1">
        <v>0</v>
      </c>
      <c r="IC102" s="1">
        <v>0</v>
      </c>
      <c r="ID102" s="1">
        <v>303.54000000000002</v>
      </c>
      <c r="IE102" s="1">
        <v>867.69</v>
      </c>
      <c r="IF102" s="1">
        <v>784.62000000000012</v>
      </c>
      <c r="IG102" s="1">
        <v>0</v>
      </c>
      <c r="IH102" s="1">
        <v>0</v>
      </c>
      <c r="II102" s="1">
        <v>0</v>
      </c>
      <c r="IJ102" s="1">
        <v>0</v>
      </c>
      <c r="IK102" s="1">
        <v>0</v>
      </c>
      <c r="IL102" s="1">
        <v>0</v>
      </c>
      <c r="IM102" s="1">
        <v>0</v>
      </c>
      <c r="IN102" s="1">
        <v>0</v>
      </c>
      <c r="IO102" s="1">
        <v>602.17000000000007</v>
      </c>
      <c r="IP102" s="1">
        <v>611.5</v>
      </c>
      <c r="IQ102" s="1">
        <v>750.81</v>
      </c>
      <c r="IR102" s="1">
        <v>699.16</v>
      </c>
      <c r="IS102" s="1">
        <v>577.28</v>
      </c>
      <c r="IT102" s="1">
        <v>581.63</v>
      </c>
      <c r="IU102" s="1">
        <v>707.32999999999993</v>
      </c>
      <c r="IV102" s="1">
        <v>699.16</v>
      </c>
      <c r="IW102" s="1">
        <v>24.89</v>
      </c>
      <c r="IX102" s="1">
        <v>29.87</v>
      </c>
      <c r="IY102" s="1">
        <v>43.48</v>
      </c>
      <c r="IZ102" s="1">
        <v>0</v>
      </c>
      <c r="JA102" s="1">
        <v>0</v>
      </c>
      <c r="JB102" s="1">
        <v>0</v>
      </c>
      <c r="JC102" s="1">
        <v>0</v>
      </c>
      <c r="JD102" s="1">
        <v>0</v>
      </c>
      <c r="JE102" s="1">
        <v>0</v>
      </c>
      <c r="JF102" s="1">
        <v>0</v>
      </c>
      <c r="JG102" s="1">
        <v>0</v>
      </c>
      <c r="JH102" s="1">
        <v>0</v>
      </c>
      <c r="JI102" s="1">
        <v>0</v>
      </c>
      <c r="JJ102" s="1">
        <v>0</v>
      </c>
      <c r="JK102" s="1">
        <v>0</v>
      </c>
      <c r="JL102" s="1">
        <v>0</v>
      </c>
      <c r="JM102" s="1">
        <v>0</v>
      </c>
      <c r="JN102" s="1">
        <v>0</v>
      </c>
      <c r="JO102" s="1">
        <v>0</v>
      </c>
      <c r="JP102" s="1">
        <v>0</v>
      </c>
      <c r="JQ102" s="9"/>
      <c r="JR102" s="1">
        <f t="shared" si="25"/>
        <v>50354.676000000007</v>
      </c>
      <c r="JS102" s="1">
        <f t="shared" si="25"/>
        <v>49603.122900000009</v>
      </c>
      <c r="JT102" s="1">
        <f t="shared" si="25"/>
        <v>48672.292500000003</v>
      </c>
      <c r="JU102" s="1">
        <f t="shared" si="25"/>
        <v>46797.174900000005</v>
      </c>
      <c r="JV102" s="1">
        <f t="shared" si="26"/>
        <v>9324.94</v>
      </c>
      <c r="JW102" s="1">
        <f t="shared" si="26"/>
        <v>9185.7635000000009</v>
      </c>
      <c r="JX102" s="1">
        <f t="shared" si="26"/>
        <v>9013.3875000000007</v>
      </c>
      <c r="JY102" s="1">
        <f t="shared" si="26"/>
        <v>8666.1435000000001</v>
      </c>
    </row>
    <row r="103" spans="1:285" x14ac:dyDescent="0.35">
      <c r="A103" s="2" t="s">
        <v>110</v>
      </c>
      <c r="B103" s="1">
        <v>142732</v>
      </c>
      <c r="C103" s="1">
        <v>144013</v>
      </c>
      <c r="D103" s="1">
        <v>146232</v>
      </c>
      <c r="E103" s="1">
        <v>149094</v>
      </c>
      <c r="F103" s="1">
        <v>71937.752000000008</v>
      </c>
      <c r="G103" s="1">
        <v>69171.547000000006</v>
      </c>
      <c r="H103" s="1">
        <v>59996.32</v>
      </c>
      <c r="I103" s="1">
        <v>58286.245000000003</v>
      </c>
      <c r="J103" s="1">
        <f t="shared" si="27"/>
        <v>46338.517999999996</v>
      </c>
      <c r="K103" s="1">
        <f t="shared" si="28"/>
        <v>43655.159999999996</v>
      </c>
      <c r="L103" s="1">
        <f t="shared" si="29"/>
        <v>36676.286000000007</v>
      </c>
      <c r="M103" s="1">
        <f t="shared" si="30"/>
        <v>35795.372000000003</v>
      </c>
      <c r="N103" s="1">
        <f t="shared" si="31"/>
        <v>25599.234000000011</v>
      </c>
      <c r="O103" s="1">
        <f t="shared" si="32"/>
        <v>25516.38700000001</v>
      </c>
      <c r="P103" s="1">
        <f t="shared" si="33"/>
        <v>23320.033999999992</v>
      </c>
      <c r="Q103" s="1">
        <f t="shared" si="34"/>
        <v>22490.873</v>
      </c>
      <c r="R103" s="1">
        <v>4934.4459999999999</v>
      </c>
      <c r="S103" s="1">
        <v>4825.9430000000002</v>
      </c>
      <c r="T103" s="1">
        <v>4505.88</v>
      </c>
      <c r="U103" s="1">
        <v>4263.5240000000003</v>
      </c>
      <c r="V103" s="1">
        <v>0</v>
      </c>
      <c r="W103" s="1">
        <v>0</v>
      </c>
      <c r="X103" s="1">
        <v>4934.4459999999999</v>
      </c>
      <c r="Y103" s="1">
        <v>0</v>
      </c>
      <c r="Z103" s="1">
        <v>0</v>
      </c>
      <c r="AA103" s="1">
        <v>4825.9430000000002</v>
      </c>
      <c r="AB103" s="1">
        <v>0</v>
      </c>
      <c r="AC103" s="1">
        <v>0</v>
      </c>
      <c r="AD103" s="1">
        <v>4505.88</v>
      </c>
      <c r="AE103" s="1">
        <v>0</v>
      </c>
      <c r="AF103" s="1">
        <v>0</v>
      </c>
      <c r="AG103" s="1">
        <v>4263.5240000000003</v>
      </c>
      <c r="AH103" s="1">
        <v>0</v>
      </c>
      <c r="AI103" s="1">
        <v>0</v>
      </c>
      <c r="AJ103" s="1">
        <v>0</v>
      </c>
      <c r="AK103" s="1">
        <v>0</v>
      </c>
      <c r="AL103" s="1">
        <v>0</v>
      </c>
      <c r="AM103" s="1">
        <v>0</v>
      </c>
      <c r="AN103" s="1">
        <v>0</v>
      </c>
      <c r="AO103" s="1">
        <v>0</v>
      </c>
      <c r="AP103" s="1">
        <v>11731.580999999998</v>
      </c>
      <c r="AQ103" s="1">
        <v>12060.5</v>
      </c>
      <c r="AR103" s="1">
        <v>10445.999</v>
      </c>
      <c r="AS103" s="1">
        <v>11598.84</v>
      </c>
      <c r="AT103" s="1">
        <v>0</v>
      </c>
      <c r="AU103" s="1">
        <v>11731.580999999998</v>
      </c>
      <c r="AV103" s="1">
        <v>0</v>
      </c>
      <c r="AW103" s="1">
        <v>0</v>
      </c>
      <c r="AX103" s="1">
        <v>0</v>
      </c>
      <c r="AY103" s="1">
        <v>12060.5</v>
      </c>
      <c r="AZ103" s="1">
        <v>0</v>
      </c>
      <c r="BA103" s="1">
        <v>0</v>
      </c>
      <c r="BB103" s="1">
        <v>0</v>
      </c>
      <c r="BC103" s="1">
        <v>10445.999</v>
      </c>
      <c r="BD103" s="1">
        <v>0</v>
      </c>
      <c r="BE103" s="1">
        <v>0</v>
      </c>
      <c r="BF103" s="1">
        <v>11598.84</v>
      </c>
      <c r="BG103" s="1">
        <v>0</v>
      </c>
      <c r="BH103" s="1">
        <v>0</v>
      </c>
      <c r="BI103" s="1">
        <v>0</v>
      </c>
      <c r="BJ103" s="1">
        <v>0</v>
      </c>
      <c r="BK103" s="1">
        <v>0</v>
      </c>
      <c r="BL103" s="1">
        <v>0</v>
      </c>
      <c r="BM103" s="1">
        <v>0</v>
      </c>
      <c r="BN103" s="1">
        <v>0</v>
      </c>
      <c r="BO103" s="1">
        <v>0</v>
      </c>
      <c r="BP103" s="1">
        <v>0</v>
      </c>
      <c r="BQ103" s="1">
        <v>0</v>
      </c>
      <c r="BR103" s="1">
        <v>0</v>
      </c>
      <c r="BS103" s="1">
        <v>0</v>
      </c>
      <c r="BT103" s="1">
        <v>0</v>
      </c>
      <c r="BU103" s="1">
        <v>20729.404999999999</v>
      </c>
      <c r="BV103" s="1">
        <v>17540.892</v>
      </c>
      <c r="BW103" s="1">
        <v>13580.044</v>
      </c>
      <c r="BX103" s="1">
        <v>12534.103999999999</v>
      </c>
      <c r="BY103" s="1">
        <v>20691.445</v>
      </c>
      <c r="BZ103" s="1">
        <v>17503.312000000002</v>
      </c>
      <c r="CA103" s="1">
        <v>13576.074000000001</v>
      </c>
      <c r="CB103" s="1">
        <v>12534.103999999999</v>
      </c>
      <c r="CC103" s="1">
        <v>37.96</v>
      </c>
      <c r="CD103" s="1">
        <v>37.58</v>
      </c>
      <c r="CE103" s="1">
        <v>3.97</v>
      </c>
      <c r="CF103" s="1">
        <v>0</v>
      </c>
      <c r="CG103" s="1">
        <v>0</v>
      </c>
      <c r="CH103" s="1">
        <v>0</v>
      </c>
      <c r="CI103" s="1">
        <v>0</v>
      </c>
      <c r="CJ103" s="1">
        <v>0</v>
      </c>
      <c r="CK103" s="1">
        <v>0</v>
      </c>
      <c r="CL103" s="1">
        <v>0</v>
      </c>
      <c r="CM103" s="1">
        <v>0</v>
      </c>
      <c r="CN103" s="1">
        <v>0</v>
      </c>
      <c r="CO103" s="1">
        <v>0</v>
      </c>
      <c r="CP103" s="1">
        <v>0</v>
      </c>
      <c r="CQ103" s="1">
        <v>0</v>
      </c>
      <c r="CR103" s="1">
        <v>0</v>
      </c>
      <c r="CS103" s="1">
        <v>2867.0410000000002</v>
      </c>
      <c r="CT103" s="1">
        <v>3421.7429999999999</v>
      </c>
      <c r="CU103" s="1">
        <v>2273.451</v>
      </c>
      <c r="CV103" s="1">
        <v>1810.492</v>
      </c>
      <c r="CW103" s="1">
        <v>2867.0410000000002</v>
      </c>
      <c r="CX103" s="1">
        <v>3421.7429999999999</v>
      </c>
      <c r="CY103" s="1">
        <v>2273.451</v>
      </c>
      <c r="CZ103" s="1">
        <v>1810.492</v>
      </c>
      <c r="DA103" s="1">
        <v>0</v>
      </c>
      <c r="DB103" s="1">
        <v>0</v>
      </c>
      <c r="DC103" s="1">
        <v>0</v>
      </c>
      <c r="DD103" s="1">
        <v>0</v>
      </c>
      <c r="DE103" s="1">
        <v>0</v>
      </c>
      <c r="DF103" s="1">
        <v>0</v>
      </c>
      <c r="DG103" s="1">
        <v>0</v>
      </c>
      <c r="DH103" s="1">
        <v>0</v>
      </c>
      <c r="DI103" s="1">
        <v>0</v>
      </c>
      <c r="DJ103" s="1">
        <v>0</v>
      </c>
      <c r="DK103" s="1">
        <v>0</v>
      </c>
      <c r="DL103" s="1">
        <v>0</v>
      </c>
      <c r="DM103" s="1">
        <v>5078.7349999999997</v>
      </c>
      <c r="DN103" s="1">
        <v>4917.3420000000006</v>
      </c>
      <c r="DO103" s="1">
        <v>4965.2489999999998</v>
      </c>
      <c r="DP103" s="1">
        <v>4887.6009999999997</v>
      </c>
      <c r="DQ103" s="1">
        <v>5078.7349999999997</v>
      </c>
      <c r="DR103" s="1">
        <v>4917.3420000000006</v>
      </c>
      <c r="DS103" s="1">
        <v>4965.2489999999998</v>
      </c>
      <c r="DT103" s="1">
        <v>4887.6009999999997</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825.10300000000007</v>
      </c>
      <c r="EL103" s="1">
        <v>637.60799999999995</v>
      </c>
      <c r="EM103" s="1">
        <v>511.89400000000001</v>
      </c>
      <c r="EN103" s="1">
        <v>504.69</v>
      </c>
      <c r="EO103" s="1">
        <v>825.10300000000007</v>
      </c>
      <c r="EP103" s="1">
        <v>637.60799999999995</v>
      </c>
      <c r="EQ103" s="1">
        <v>511.89400000000001</v>
      </c>
      <c r="ER103" s="1">
        <v>504.69</v>
      </c>
      <c r="ES103" s="1">
        <v>0</v>
      </c>
      <c r="ET103" s="1">
        <v>0</v>
      </c>
      <c r="EU103" s="1">
        <v>0</v>
      </c>
      <c r="EV103" s="1">
        <v>0</v>
      </c>
      <c r="EW103" s="1">
        <v>0</v>
      </c>
      <c r="EX103" s="1">
        <v>0</v>
      </c>
      <c r="EY103" s="1">
        <v>0</v>
      </c>
      <c r="EZ103" s="1">
        <v>0</v>
      </c>
      <c r="FA103" s="1">
        <v>0</v>
      </c>
      <c r="FB103" s="1">
        <v>0</v>
      </c>
      <c r="FC103" s="1">
        <v>0</v>
      </c>
      <c r="FD103" s="1">
        <v>0</v>
      </c>
      <c r="FE103" s="1">
        <v>136.827</v>
      </c>
      <c r="FF103" s="1">
        <v>145.71199999999999</v>
      </c>
      <c r="FG103" s="1">
        <v>114.55200000000001</v>
      </c>
      <c r="FH103" s="1">
        <v>105.861</v>
      </c>
      <c r="FI103" s="1">
        <v>0</v>
      </c>
      <c r="FJ103" s="1">
        <v>0</v>
      </c>
      <c r="FK103" s="1">
        <v>0</v>
      </c>
      <c r="FL103" s="1">
        <v>0</v>
      </c>
      <c r="FM103" s="1">
        <v>136.827</v>
      </c>
      <c r="FN103" s="1">
        <v>145.71199999999999</v>
      </c>
      <c r="FO103" s="1">
        <v>114.55200000000001</v>
      </c>
      <c r="FP103" s="1">
        <v>105.861</v>
      </c>
      <c r="FQ103" s="1">
        <v>0</v>
      </c>
      <c r="FR103" s="1">
        <v>0</v>
      </c>
      <c r="FS103" s="1">
        <v>0</v>
      </c>
      <c r="FT103" s="1">
        <v>0</v>
      </c>
      <c r="FU103" s="1">
        <v>0</v>
      </c>
      <c r="FV103" s="1">
        <v>0</v>
      </c>
      <c r="FW103" s="1">
        <v>0</v>
      </c>
      <c r="FX103" s="1">
        <v>0</v>
      </c>
      <c r="FY103" s="1">
        <v>0</v>
      </c>
      <c r="FZ103" s="1">
        <v>0</v>
      </c>
      <c r="GA103" s="1">
        <v>0</v>
      </c>
      <c r="GB103" s="1">
        <v>0</v>
      </c>
      <c r="GC103" s="1">
        <v>35.380000000000003</v>
      </c>
      <c r="GD103" s="1">
        <v>105.42</v>
      </c>
      <c r="GE103" s="1">
        <v>167.28</v>
      </c>
      <c r="GF103" s="1">
        <v>90.26</v>
      </c>
      <c r="GG103" s="1">
        <v>35.380000000000003</v>
      </c>
      <c r="GH103" s="1">
        <v>105.42</v>
      </c>
      <c r="GI103" s="1">
        <v>167.28</v>
      </c>
      <c r="GJ103" s="1">
        <v>90.26</v>
      </c>
      <c r="GK103" s="1">
        <v>0</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111.937</v>
      </c>
      <c r="IR103" s="1">
        <v>0</v>
      </c>
      <c r="IS103" s="1">
        <v>0</v>
      </c>
      <c r="IT103" s="1">
        <v>0</v>
      </c>
      <c r="IU103" s="1">
        <v>111.937</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0</v>
      </c>
      <c r="JO103" s="1">
        <v>0</v>
      </c>
      <c r="JP103" s="1">
        <v>0</v>
      </c>
      <c r="JQ103" s="9"/>
      <c r="JR103" s="1">
        <f t="shared" si="25"/>
        <v>6911.7931800000033</v>
      </c>
      <c r="JS103" s="1">
        <f t="shared" si="25"/>
        <v>6889.4244900000031</v>
      </c>
      <c r="JT103" s="1">
        <f t="shared" si="25"/>
        <v>6296.4091799999987</v>
      </c>
      <c r="JU103" s="1">
        <f t="shared" si="25"/>
        <v>6072.5357100000001</v>
      </c>
      <c r="JV103" s="1">
        <f t="shared" si="26"/>
        <v>1279.9617000000007</v>
      </c>
      <c r="JW103" s="1">
        <f t="shared" si="26"/>
        <v>1275.8193500000007</v>
      </c>
      <c r="JX103" s="1">
        <f t="shared" si="26"/>
        <v>1166.0016999999996</v>
      </c>
      <c r="JY103" s="1">
        <f t="shared" si="26"/>
        <v>1124.5436500000001</v>
      </c>
    </row>
    <row r="104" spans="1:285" x14ac:dyDescent="0.35">
      <c r="A104" s="2" t="s">
        <v>111</v>
      </c>
      <c r="B104" s="1">
        <v>263782</v>
      </c>
      <c r="C104" s="1">
        <v>260082</v>
      </c>
      <c r="D104" s="1">
        <v>261814</v>
      </c>
      <c r="E104" s="1">
        <v>265411</v>
      </c>
      <c r="F104" s="1">
        <v>69824.25</v>
      </c>
      <c r="G104" s="1">
        <v>75538.247000000003</v>
      </c>
      <c r="H104" s="1">
        <v>74252.885999999999</v>
      </c>
      <c r="I104" s="1">
        <v>67691.625999999989</v>
      </c>
      <c r="J104" s="1">
        <f t="shared" si="27"/>
        <v>42073.83</v>
      </c>
      <c r="K104" s="1">
        <f t="shared" si="28"/>
        <v>47088.85</v>
      </c>
      <c r="L104" s="1">
        <f t="shared" si="29"/>
        <v>45982.370999999992</v>
      </c>
      <c r="M104" s="1">
        <f t="shared" si="30"/>
        <v>40081.538</v>
      </c>
      <c r="N104" s="1">
        <f t="shared" si="31"/>
        <v>27750.42</v>
      </c>
      <c r="O104" s="1">
        <f t="shared" si="32"/>
        <v>28449.397000000004</v>
      </c>
      <c r="P104" s="1">
        <f t="shared" si="33"/>
        <v>28270.515000000007</v>
      </c>
      <c r="Q104" s="1">
        <f t="shared" si="34"/>
        <v>27610.087999999989</v>
      </c>
      <c r="R104" s="1">
        <v>4810.46</v>
      </c>
      <c r="S104" s="1">
        <v>5788.84</v>
      </c>
      <c r="T104" s="1">
        <v>5625.82</v>
      </c>
      <c r="U104" s="1">
        <v>4911.3</v>
      </c>
      <c r="V104" s="1">
        <v>0</v>
      </c>
      <c r="W104" s="1">
        <v>0</v>
      </c>
      <c r="X104" s="1">
        <v>4810.46</v>
      </c>
      <c r="Y104" s="1">
        <v>9.2200000000000006</v>
      </c>
      <c r="Z104" s="1">
        <v>0</v>
      </c>
      <c r="AA104" s="1">
        <v>5779.62</v>
      </c>
      <c r="AB104" s="1">
        <v>0</v>
      </c>
      <c r="AC104" s="1">
        <v>0</v>
      </c>
      <c r="AD104" s="1">
        <v>5625.82</v>
      </c>
      <c r="AE104" s="1">
        <v>0</v>
      </c>
      <c r="AF104" s="1">
        <v>0</v>
      </c>
      <c r="AG104" s="1">
        <v>4911.3</v>
      </c>
      <c r="AH104" s="1">
        <v>0</v>
      </c>
      <c r="AI104" s="1">
        <v>0</v>
      </c>
      <c r="AJ104" s="1">
        <v>0</v>
      </c>
      <c r="AK104" s="1">
        <v>0</v>
      </c>
      <c r="AL104" s="1">
        <v>0</v>
      </c>
      <c r="AM104" s="1">
        <v>0</v>
      </c>
      <c r="AN104" s="1">
        <v>0</v>
      </c>
      <c r="AO104" s="1">
        <v>0</v>
      </c>
      <c r="AP104" s="1">
        <v>2773.7400000000002</v>
      </c>
      <c r="AQ104" s="1">
        <v>2873.61</v>
      </c>
      <c r="AR104" s="1">
        <v>2621.4430000000002</v>
      </c>
      <c r="AS104" s="1">
        <v>2742.07</v>
      </c>
      <c r="AT104" s="1">
        <v>0</v>
      </c>
      <c r="AU104" s="1">
        <v>2773.7400000000002</v>
      </c>
      <c r="AV104" s="1">
        <v>0</v>
      </c>
      <c r="AW104" s="1">
        <v>0</v>
      </c>
      <c r="AX104" s="1">
        <v>3.34</v>
      </c>
      <c r="AY104" s="1">
        <v>2870.27</v>
      </c>
      <c r="AZ104" s="1">
        <v>0</v>
      </c>
      <c r="BA104" s="1">
        <v>0</v>
      </c>
      <c r="BB104" s="1">
        <v>0</v>
      </c>
      <c r="BC104" s="1">
        <v>2621.4430000000002</v>
      </c>
      <c r="BD104" s="1">
        <v>0</v>
      </c>
      <c r="BE104" s="1">
        <v>0</v>
      </c>
      <c r="BF104" s="1">
        <v>2742.07</v>
      </c>
      <c r="BG104" s="1">
        <v>0</v>
      </c>
      <c r="BH104" s="1">
        <v>0</v>
      </c>
      <c r="BI104" s="1">
        <v>0</v>
      </c>
      <c r="BJ104" s="1">
        <v>0</v>
      </c>
      <c r="BK104" s="1">
        <v>0</v>
      </c>
      <c r="BL104" s="1">
        <v>0</v>
      </c>
      <c r="BM104" s="1">
        <v>0</v>
      </c>
      <c r="BN104" s="1">
        <v>0</v>
      </c>
      <c r="BO104" s="1">
        <v>0</v>
      </c>
      <c r="BP104" s="1">
        <v>0</v>
      </c>
      <c r="BQ104" s="1">
        <v>0</v>
      </c>
      <c r="BR104" s="1">
        <v>0</v>
      </c>
      <c r="BS104" s="1">
        <v>0</v>
      </c>
      <c r="BT104" s="1">
        <v>0</v>
      </c>
      <c r="BU104" s="1">
        <v>13181.3</v>
      </c>
      <c r="BV104" s="1">
        <v>18170.166000000001</v>
      </c>
      <c r="BW104" s="1">
        <v>19659.944</v>
      </c>
      <c r="BX104" s="1">
        <v>17854.73</v>
      </c>
      <c r="BY104" s="1">
        <v>13169.67</v>
      </c>
      <c r="BZ104" s="1">
        <v>18146.966</v>
      </c>
      <c r="CA104" s="1">
        <v>19638.743999999999</v>
      </c>
      <c r="CB104" s="1">
        <v>17825.61</v>
      </c>
      <c r="CC104" s="1">
        <v>11.63</v>
      </c>
      <c r="CD104" s="1">
        <v>23.2</v>
      </c>
      <c r="CE104" s="1">
        <v>21.2</v>
      </c>
      <c r="CF104" s="1">
        <v>29.12</v>
      </c>
      <c r="CG104" s="1">
        <v>0</v>
      </c>
      <c r="CH104" s="1">
        <v>0</v>
      </c>
      <c r="CI104" s="1">
        <v>0</v>
      </c>
      <c r="CJ104" s="1">
        <v>0</v>
      </c>
      <c r="CK104" s="1">
        <v>0</v>
      </c>
      <c r="CL104" s="1">
        <v>0</v>
      </c>
      <c r="CM104" s="1">
        <v>0</v>
      </c>
      <c r="CN104" s="1">
        <v>0</v>
      </c>
      <c r="CO104" s="1">
        <v>0</v>
      </c>
      <c r="CP104" s="1">
        <v>0</v>
      </c>
      <c r="CQ104" s="1">
        <v>0</v>
      </c>
      <c r="CR104" s="1">
        <v>0</v>
      </c>
      <c r="CS104" s="1">
        <v>7525.58</v>
      </c>
      <c r="CT104" s="1">
        <v>5549.98</v>
      </c>
      <c r="CU104" s="1">
        <v>3824.16</v>
      </c>
      <c r="CV104" s="1">
        <v>2543.71</v>
      </c>
      <c r="CW104" s="1">
        <v>7525.58</v>
      </c>
      <c r="CX104" s="1">
        <v>5549.98</v>
      </c>
      <c r="CY104" s="1">
        <v>3824.16</v>
      </c>
      <c r="CZ104" s="1">
        <v>2543.71</v>
      </c>
      <c r="DA104" s="1">
        <v>0</v>
      </c>
      <c r="DB104" s="1">
        <v>0</v>
      </c>
      <c r="DC104" s="1">
        <v>0</v>
      </c>
      <c r="DD104" s="1">
        <v>0</v>
      </c>
      <c r="DE104" s="1">
        <v>0</v>
      </c>
      <c r="DF104" s="1">
        <v>0</v>
      </c>
      <c r="DG104" s="1">
        <v>0</v>
      </c>
      <c r="DH104" s="1">
        <v>0</v>
      </c>
      <c r="DI104" s="1">
        <v>0</v>
      </c>
      <c r="DJ104" s="1">
        <v>0</v>
      </c>
      <c r="DK104" s="1">
        <v>0</v>
      </c>
      <c r="DL104" s="1">
        <v>0</v>
      </c>
      <c r="DM104" s="1">
        <v>7799.89</v>
      </c>
      <c r="DN104" s="1">
        <v>8445.0740000000005</v>
      </c>
      <c r="DO104" s="1">
        <v>8973.2760000000017</v>
      </c>
      <c r="DP104" s="1">
        <v>6859.43</v>
      </c>
      <c r="DQ104" s="1">
        <v>7799.89</v>
      </c>
      <c r="DR104" s="1">
        <v>8445.0740000000005</v>
      </c>
      <c r="DS104" s="1">
        <v>8973.2760000000017</v>
      </c>
      <c r="DT104" s="1">
        <v>6859.43</v>
      </c>
      <c r="DU104" s="1">
        <v>0</v>
      </c>
      <c r="DV104" s="1">
        <v>0</v>
      </c>
      <c r="DW104" s="1">
        <v>0</v>
      </c>
      <c r="DX104" s="1">
        <v>0</v>
      </c>
      <c r="DY104" s="1">
        <v>0</v>
      </c>
      <c r="DZ104" s="1">
        <v>0</v>
      </c>
      <c r="EA104" s="1">
        <v>0</v>
      </c>
      <c r="EB104" s="1">
        <v>0</v>
      </c>
      <c r="EC104" s="1">
        <v>0</v>
      </c>
      <c r="ED104" s="1">
        <v>0</v>
      </c>
      <c r="EE104" s="1">
        <v>0</v>
      </c>
      <c r="EF104" s="1">
        <v>0</v>
      </c>
      <c r="EG104" s="1">
        <v>0</v>
      </c>
      <c r="EH104" s="1">
        <v>0</v>
      </c>
      <c r="EI104" s="1">
        <v>0</v>
      </c>
      <c r="EJ104" s="1">
        <v>0</v>
      </c>
      <c r="EK104" s="1">
        <v>2324.59</v>
      </c>
      <c r="EL104" s="1">
        <v>1830.7</v>
      </c>
      <c r="EM104" s="1">
        <v>1779.5170000000001</v>
      </c>
      <c r="EN104" s="1">
        <v>1496.54</v>
      </c>
      <c r="EO104" s="1">
        <v>2323.9499999999998</v>
      </c>
      <c r="EP104" s="1">
        <v>1830.19</v>
      </c>
      <c r="EQ104" s="1">
        <v>1778.337</v>
      </c>
      <c r="ER104" s="1">
        <v>1492.73</v>
      </c>
      <c r="ES104" s="1">
        <v>0.64</v>
      </c>
      <c r="ET104" s="1">
        <v>0.51</v>
      </c>
      <c r="EU104" s="1">
        <v>1.18</v>
      </c>
      <c r="EV104" s="1">
        <v>3.81</v>
      </c>
      <c r="EW104" s="1">
        <v>0</v>
      </c>
      <c r="EX104" s="1">
        <v>0</v>
      </c>
      <c r="EY104" s="1">
        <v>0</v>
      </c>
      <c r="EZ104" s="1">
        <v>0</v>
      </c>
      <c r="FA104" s="1">
        <v>0</v>
      </c>
      <c r="FB104" s="1">
        <v>0</v>
      </c>
      <c r="FC104" s="1">
        <v>0</v>
      </c>
      <c r="FD104" s="1">
        <v>0</v>
      </c>
      <c r="FE104" s="1">
        <v>661.57999999999993</v>
      </c>
      <c r="FF104" s="1">
        <v>926.1400000000001</v>
      </c>
      <c r="FG104" s="1">
        <v>599.1</v>
      </c>
      <c r="FH104" s="1">
        <v>642.93399999999997</v>
      </c>
      <c r="FI104" s="1">
        <v>446.95</v>
      </c>
      <c r="FJ104" s="1">
        <v>633.66999999999996</v>
      </c>
      <c r="FK104" s="1">
        <v>406.45</v>
      </c>
      <c r="FL104" s="1">
        <v>414.512</v>
      </c>
      <c r="FM104" s="1">
        <v>214.63</v>
      </c>
      <c r="FN104" s="1">
        <v>292.47000000000003</v>
      </c>
      <c r="FO104" s="1">
        <v>192.65</v>
      </c>
      <c r="FP104" s="1">
        <v>228.422</v>
      </c>
      <c r="FQ104" s="1">
        <v>0</v>
      </c>
      <c r="FR104" s="1">
        <v>0</v>
      </c>
      <c r="FS104" s="1">
        <v>0</v>
      </c>
      <c r="FT104" s="1">
        <v>0</v>
      </c>
      <c r="FU104" s="1">
        <v>0</v>
      </c>
      <c r="FV104" s="1">
        <v>0</v>
      </c>
      <c r="FW104" s="1">
        <v>0</v>
      </c>
      <c r="FX104" s="1">
        <v>0</v>
      </c>
      <c r="FY104" s="1">
        <v>0</v>
      </c>
      <c r="FZ104" s="1">
        <v>0</v>
      </c>
      <c r="GA104" s="1">
        <v>0</v>
      </c>
      <c r="GB104" s="1">
        <v>0</v>
      </c>
      <c r="GC104" s="1">
        <v>2182.56</v>
      </c>
      <c r="GD104" s="1">
        <v>2258.66</v>
      </c>
      <c r="GE104" s="1">
        <v>1847.14</v>
      </c>
      <c r="GF104" s="1">
        <v>1712.52</v>
      </c>
      <c r="GG104" s="1">
        <v>2182.56</v>
      </c>
      <c r="GH104" s="1">
        <v>2258.66</v>
      </c>
      <c r="GI104" s="1">
        <v>1846.33</v>
      </c>
      <c r="GJ104" s="1">
        <v>1711.11</v>
      </c>
      <c r="GK104" s="1">
        <v>0</v>
      </c>
      <c r="GL104" s="1">
        <v>0</v>
      </c>
      <c r="GM104" s="1">
        <v>0.81</v>
      </c>
      <c r="GN104" s="1">
        <v>1.41</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797.69</v>
      </c>
      <c r="HF104" s="1">
        <v>1224.55</v>
      </c>
      <c r="HG104" s="1">
        <v>1038.011</v>
      </c>
      <c r="HH104" s="1">
        <v>1281.4739999999999</v>
      </c>
      <c r="HI104" s="1">
        <v>797.69</v>
      </c>
      <c r="HJ104" s="1">
        <v>1084.18</v>
      </c>
      <c r="HK104" s="1">
        <v>712.65100000000007</v>
      </c>
      <c r="HL104" s="1">
        <v>1253.414</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0.05</v>
      </c>
      <c r="IC104" s="1">
        <v>0</v>
      </c>
      <c r="ID104" s="1">
        <v>140.37</v>
      </c>
      <c r="IE104" s="1">
        <v>325.36</v>
      </c>
      <c r="IF104" s="1">
        <v>28.01</v>
      </c>
      <c r="IG104" s="1">
        <v>0</v>
      </c>
      <c r="IH104" s="1">
        <v>0</v>
      </c>
      <c r="II104" s="1">
        <v>0</v>
      </c>
      <c r="IJ104" s="1">
        <v>0</v>
      </c>
      <c r="IK104" s="1">
        <v>0</v>
      </c>
      <c r="IL104" s="1">
        <v>0</v>
      </c>
      <c r="IM104" s="1">
        <v>0</v>
      </c>
      <c r="IN104" s="1">
        <v>0</v>
      </c>
      <c r="IO104" s="1">
        <v>16.440000000000001</v>
      </c>
      <c r="IP104" s="1">
        <v>21.13</v>
      </c>
      <c r="IQ104" s="1">
        <v>13.96</v>
      </c>
      <c r="IR104" s="1">
        <v>36.83</v>
      </c>
      <c r="IS104" s="1">
        <v>14.72</v>
      </c>
      <c r="IT104" s="1">
        <v>21.13</v>
      </c>
      <c r="IU104" s="1">
        <v>13.96</v>
      </c>
      <c r="IV104" s="1">
        <v>36.83</v>
      </c>
      <c r="IW104" s="1">
        <v>1.72</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0</v>
      </c>
      <c r="JO104" s="1">
        <v>0</v>
      </c>
      <c r="JP104" s="1">
        <v>0</v>
      </c>
      <c r="JQ104" s="9"/>
      <c r="JR104" s="1">
        <f t="shared" si="25"/>
        <v>7492.6134000000002</v>
      </c>
      <c r="JS104" s="1">
        <f t="shared" si="25"/>
        <v>7681.337190000002</v>
      </c>
      <c r="JT104" s="1">
        <f t="shared" si="25"/>
        <v>7633.0390500000021</v>
      </c>
      <c r="JU104" s="1">
        <f t="shared" si="25"/>
        <v>7454.7237599999971</v>
      </c>
      <c r="JV104" s="1">
        <f t="shared" si="26"/>
        <v>1387.521</v>
      </c>
      <c r="JW104" s="1">
        <f t="shared" si="26"/>
        <v>1422.4698500000004</v>
      </c>
      <c r="JX104" s="1">
        <f t="shared" si="26"/>
        <v>1413.5257500000005</v>
      </c>
      <c r="JY104" s="1">
        <f t="shared" si="26"/>
        <v>1380.5043999999996</v>
      </c>
    </row>
    <row r="105" spans="1:285" x14ac:dyDescent="0.35">
      <c r="A105" s="2" t="s">
        <v>112</v>
      </c>
      <c r="B105" s="1">
        <v>128508</v>
      </c>
      <c r="C105" s="1">
        <v>128570</v>
      </c>
      <c r="D105" s="1">
        <v>129449</v>
      </c>
      <c r="E105" s="1">
        <v>130384</v>
      </c>
      <c r="F105" s="1">
        <v>172135.46</v>
      </c>
      <c r="G105" s="1">
        <v>174191.31</v>
      </c>
      <c r="H105" s="1">
        <v>153353.04999999999</v>
      </c>
      <c r="I105" s="1">
        <v>150705.46</v>
      </c>
      <c r="J105" s="1">
        <f t="shared" si="27"/>
        <v>44181.650000000009</v>
      </c>
      <c r="K105" s="1">
        <f t="shared" si="28"/>
        <v>45686.59</v>
      </c>
      <c r="L105" s="1">
        <f t="shared" si="29"/>
        <v>31176.970000000005</v>
      </c>
      <c r="M105" s="1">
        <f t="shared" si="30"/>
        <v>30496.77</v>
      </c>
      <c r="N105" s="1">
        <f t="shared" si="31"/>
        <v>127953.80999999998</v>
      </c>
      <c r="O105" s="1">
        <f t="shared" si="32"/>
        <v>128504.72</v>
      </c>
      <c r="P105" s="1">
        <f t="shared" si="33"/>
        <v>122176.07999999999</v>
      </c>
      <c r="Q105" s="1">
        <f t="shared" si="34"/>
        <v>120208.68999999999</v>
      </c>
      <c r="R105" s="1">
        <v>217.94</v>
      </c>
      <c r="S105" s="1">
        <v>228.14</v>
      </c>
      <c r="T105" s="1">
        <v>0</v>
      </c>
      <c r="U105" s="1">
        <v>0</v>
      </c>
      <c r="V105" s="1">
        <v>0</v>
      </c>
      <c r="W105" s="1">
        <v>0</v>
      </c>
      <c r="X105" s="1">
        <v>217.94</v>
      </c>
      <c r="Y105" s="1">
        <v>0</v>
      </c>
      <c r="Z105" s="1">
        <v>0</v>
      </c>
      <c r="AA105" s="1">
        <v>228.14</v>
      </c>
      <c r="AB105" s="1">
        <v>0</v>
      </c>
      <c r="AC105" s="1">
        <v>0</v>
      </c>
      <c r="AD105" s="1">
        <v>0</v>
      </c>
      <c r="AE105" s="1">
        <v>0</v>
      </c>
      <c r="AF105" s="1">
        <v>0</v>
      </c>
      <c r="AG105" s="1">
        <v>0</v>
      </c>
      <c r="AH105" s="1">
        <v>0</v>
      </c>
      <c r="AI105" s="1">
        <v>0</v>
      </c>
      <c r="AJ105" s="1">
        <v>0</v>
      </c>
      <c r="AK105" s="1">
        <v>0</v>
      </c>
      <c r="AL105" s="1">
        <v>0</v>
      </c>
      <c r="AM105" s="1">
        <v>0</v>
      </c>
      <c r="AN105" s="1">
        <v>0</v>
      </c>
      <c r="AO105" s="1">
        <v>0</v>
      </c>
      <c r="AP105" s="1">
        <v>6809.49</v>
      </c>
      <c r="AQ105" s="1">
        <v>6727.0800000000008</v>
      </c>
      <c r="AR105" s="1">
        <v>5787.0800000000017</v>
      </c>
      <c r="AS105" s="1">
        <v>6092.9600000000009</v>
      </c>
      <c r="AT105" s="1">
        <v>0</v>
      </c>
      <c r="AU105" s="1">
        <v>6809.49</v>
      </c>
      <c r="AV105" s="1">
        <v>0</v>
      </c>
      <c r="AW105" s="1">
        <v>0</v>
      </c>
      <c r="AX105" s="1">
        <v>0</v>
      </c>
      <c r="AY105" s="1">
        <v>6727.0800000000008</v>
      </c>
      <c r="AZ105" s="1">
        <v>0</v>
      </c>
      <c r="BA105" s="1">
        <v>0</v>
      </c>
      <c r="BB105" s="1">
        <v>0</v>
      </c>
      <c r="BC105" s="1">
        <v>5787.0800000000017</v>
      </c>
      <c r="BD105" s="1">
        <v>0</v>
      </c>
      <c r="BE105" s="1">
        <v>0</v>
      </c>
      <c r="BF105" s="1">
        <v>6092.9600000000009</v>
      </c>
      <c r="BG105" s="1">
        <v>0</v>
      </c>
      <c r="BH105" s="1">
        <v>0</v>
      </c>
      <c r="BI105" s="1">
        <v>0</v>
      </c>
      <c r="BJ105" s="1">
        <v>0</v>
      </c>
      <c r="BK105" s="1">
        <v>0</v>
      </c>
      <c r="BL105" s="1">
        <v>0</v>
      </c>
      <c r="BM105" s="1">
        <v>0</v>
      </c>
      <c r="BN105" s="1">
        <v>0</v>
      </c>
      <c r="BO105" s="1">
        <v>0</v>
      </c>
      <c r="BP105" s="1">
        <v>0</v>
      </c>
      <c r="BQ105" s="1">
        <v>0</v>
      </c>
      <c r="BR105" s="1">
        <v>0</v>
      </c>
      <c r="BS105" s="1">
        <v>0</v>
      </c>
      <c r="BT105" s="1">
        <v>0</v>
      </c>
      <c r="BU105" s="1">
        <v>10950.9</v>
      </c>
      <c r="BV105" s="1">
        <v>13283.93</v>
      </c>
      <c r="BW105" s="1">
        <v>8526.630000000001</v>
      </c>
      <c r="BX105" s="1">
        <v>9098.27</v>
      </c>
      <c r="BY105" s="1">
        <v>10950.9</v>
      </c>
      <c r="BZ105" s="1">
        <v>13283.93</v>
      </c>
      <c r="CA105" s="1">
        <v>8526.630000000001</v>
      </c>
      <c r="CB105" s="1">
        <v>9098.27</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3067.42</v>
      </c>
      <c r="CT105" s="1">
        <v>2549.25</v>
      </c>
      <c r="CU105" s="1">
        <v>2361.27</v>
      </c>
      <c r="CV105" s="1">
        <v>2345.31</v>
      </c>
      <c r="CW105" s="1">
        <v>3067.42</v>
      </c>
      <c r="CX105" s="1">
        <v>2549.25</v>
      </c>
      <c r="CY105" s="1">
        <v>2361.27</v>
      </c>
      <c r="CZ105" s="1">
        <v>2345.31</v>
      </c>
      <c r="DA105" s="1">
        <v>0</v>
      </c>
      <c r="DB105" s="1">
        <v>0</v>
      </c>
      <c r="DC105" s="1">
        <v>0</v>
      </c>
      <c r="DD105" s="1">
        <v>0</v>
      </c>
      <c r="DE105" s="1">
        <v>0</v>
      </c>
      <c r="DF105" s="1">
        <v>0</v>
      </c>
      <c r="DG105" s="1">
        <v>0</v>
      </c>
      <c r="DH105" s="1">
        <v>0</v>
      </c>
      <c r="DI105" s="1">
        <v>0</v>
      </c>
      <c r="DJ105" s="1">
        <v>0</v>
      </c>
      <c r="DK105" s="1">
        <v>0</v>
      </c>
      <c r="DL105" s="1">
        <v>0</v>
      </c>
      <c r="DM105" s="1">
        <v>4101.38</v>
      </c>
      <c r="DN105" s="1">
        <v>3741.6</v>
      </c>
      <c r="DO105" s="1">
        <v>3941.38</v>
      </c>
      <c r="DP105" s="1">
        <v>3556.93</v>
      </c>
      <c r="DQ105" s="1">
        <v>4101.38</v>
      </c>
      <c r="DR105" s="1">
        <v>3741.6</v>
      </c>
      <c r="DS105" s="1">
        <v>3941.38</v>
      </c>
      <c r="DT105" s="1">
        <v>3556.93</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8991.89</v>
      </c>
      <c r="EL105" s="1">
        <v>8421.15</v>
      </c>
      <c r="EM105" s="1">
        <v>3490.18</v>
      </c>
      <c r="EN105" s="1">
        <v>2118.91</v>
      </c>
      <c r="EO105" s="1">
        <v>8991.89</v>
      </c>
      <c r="EP105" s="1">
        <v>8421.15</v>
      </c>
      <c r="EQ105" s="1">
        <v>3490.18</v>
      </c>
      <c r="ER105" s="1">
        <v>2118.91</v>
      </c>
      <c r="ES105" s="1">
        <v>0</v>
      </c>
      <c r="ET105" s="1">
        <v>0</v>
      </c>
      <c r="EU105" s="1">
        <v>0</v>
      </c>
      <c r="EV105" s="1">
        <v>0</v>
      </c>
      <c r="EW105" s="1">
        <v>0</v>
      </c>
      <c r="EX105" s="1">
        <v>0</v>
      </c>
      <c r="EY105" s="1">
        <v>0</v>
      </c>
      <c r="EZ105" s="1">
        <v>0</v>
      </c>
      <c r="FA105" s="1">
        <v>0</v>
      </c>
      <c r="FB105" s="1">
        <v>0</v>
      </c>
      <c r="FC105" s="1">
        <v>0</v>
      </c>
      <c r="FD105" s="1">
        <v>0</v>
      </c>
      <c r="FE105" s="1">
        <v>3401.3</v>
      </c>
      <c r="FF105" s="1">
        <v>2742.32</v>
      </c>
      <c r="FG105" s="1">
        <v>320.58</v>
      </c>
      <c r="FH105" s="1">
        <v>231.71</v>
      </c>
      <c r="FI105" s="1">
        <v>3401.3</v>
      </c>
      <c r="FJ105" s="1">
        <v>2742.32</v>
      </c>
      <c r="FK105" s="1">
        <v>320.58</v>
      </c>
      <c r="FL105" s="1">
        <v>231.71</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2854.02</v>
      </c>
      <c r="GD105" s="1">
        <v>3749.02</v>
      </c>
      <c r="GE105" s="1">
        <v>3365.08</v>
      </c>
      <c r="GF105" s="1">
        <v>3361.39</v>
      </c>
      <c r="GG105" s="1">
        <v>2854.02</v>
      </c>
      <c r="GH105" s="1">
        <v>3749.02</v>
      </c>
      <c r="GI105" s="1">
        <v>3365.08</v>
      </c>
      <c r="GJ105" s="1">
        <v>3361.39</v>
      </c>
      <c r="GK105" s="1">
        <v>0</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3407.51</v>
      </c>
      <c r="HF105" s="1">
        <v>3735.07</v>
      </c>
      <c r="HG105" s="1">
        <v>2853.27</v>
      </c>
      <c r="HH105" s="1">
        <v>3257.97</v>
      </c>
      <c r="HI105" s="1">
        <v>3407.51</v>
      </c>
      <c r="HJ105" s="1">
        <v>3735.07</v>
      </c>
      <c r="HK105" s="1">
        <v>2853.27</v>
      </c>
      <c r="HL105" s="1">
        <v>3257.97</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379.8</v>
      </c>
      <c r="IP105" s="1">
        <v>509.03</v>
      </c>
      <c r="IQ105" s="1">
        <v>531.5</v>
      </c>
      <c r="IR105" s="1">
        <v>433.32</v>
      </c>
      <c r="IS105" s="1">
        <v>379.8</v>
      </c>
      <c r="IT105" s="1">
        <v>509.03</v>
      </c>
      <c r="IU105" s="1">
        <v>531.5</v>
      </c>
      <c r="IV105" s="1">
        <v>433.32</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0</v>
      </c>
      <c r="JO105" s="1">
        <v>0</v>
      </c>
      <c r="JP105" s="1">
        <v>0</v>
      </c>
      <c r="JQ105" s="9"/>
      <c r="JR105" s="1">
        <f t="shared" si="25"/>
        <v>34547.528699999995</v>
      </c>
      <c r="JS105" s="1">
        <f t="shared" si="25"/>
        <v>34696.274400000002</v>
      </c>
      <c r="JT105" s="1">
        <f t="shared" si="25"/>
        <v>32987.541599999997</v>
      </c>
      <c r="JU105" s="1">
        <f t="shared" si="25"/>
        <v>32456.346299999997</v>
      </c>
      <c r="JV105" s="1">
        <f t="shared" si="26"/>
        <v>6397.6904999999997</v>
      </c>
      <c r="JW105" s="1">
        <f t="shared" si="26"/>
        <v>6425.2360000000008</v>
      </c>
      <c r="JX105" s="1">
        <f t="shared" si="26"/>
        <v>6108.8040000000001</v>
      </c>
      <c r="JY105" s="1">
        <f t="shared" si="26"/>
        <v>6010.4344999999994</v>
      </c>
    </row>
    <row r="106" spans="1:285" x14ac:dyDescent="0.35">
      <c r="A106" s="2" t="s">
        <v>113</v>
      </c>
      <c r="B106" s="1">
        <v>186555</v>
      </c>
      <c r="C106" s="1">
        <v>183310</v>
      </c>
      <c r="D106" s="1">
        <v>185822</v>
      </c>
      <c r="E106" s="1">
        <v>187479</v>
      </c>
      <c r="F106" s="1">
        <v>73194.899999999994</v>
      </c>
      <c r="G106" s="1">
        <v>72762.06</v>
      </c>
      <c r="H106" s="1">
        <v>65827.209999999992</v>
      </c>
      <c r="I106" s="1">
        <v>66851.649999999994</v>
      </c>
      <c r="J106" s="1">
        <f t="shared" si="27"/>
        <v>56806.5</v>
      </c>
      <c r="K106" s="1">
        <f t="shared" si="28"/>
        <v>55853.200000000004</v>
      </c>
      <c r="L106" s="1">
        <f t="shared" si="29"/>
        <v>50043.94</v>
      </c>
      <c r="M106" s="1">
        <f t="shared" si="30"/>
        <v>50835.69</v>
      </c>
      <c r="N106" s="1">
        <f t="shared" si="31"/>
        <v>16388.399999999994</v>
      </c>
      <c r="O106" s="1">
        <f t="shared" si="32"/>
        <v>16908.859999999993</v>
      </c>
      <c r="P106" s="1">
        <f t="shared" si="33"/>
        <v>15783.26999999999</v>
      </c>
      <c r="Q106" s="1">
        <f t="shared" si="34"/>
        <v>16015.959999999992</v>
      </c>
      <c r="R106" s="1">
        <v>77.02</v>
      </c>
      <c r="S106" s="1">
        <v>437.6</v>
      </c>
      <c r="T106" s="1">
        <v>368.02</v>
      </c>
      <c r="U106" s="1">
        <v>390.64000000000004</v>
      </c>
      <c r="V106" s="1">
        <v>0</v>
      </c>
      <c r="W106" s="1">
        <v>0</v>
      </c>
      <c r="X106" s="1">
        <v>77.02</v>
      </c>
      <c r="Y106" s="1">
        <v>0</v>
      </c>
      <c r="Z106" s="1">
        <v>0</v>
      </c>
      <c r="AA106" s="1">
        <v>437.6</v>
      </c>
      <c r="AB106" s="1">
        <v>0</v>
      </c>
      <c r="AC106" s="1">
        <v>0</v>
      </c>
      <c r="AD106" s="1">
        <v>368.02</v>
      </c>
      <c r="AE106" s="1">
        <v>0</v>
      </c>
      <c r="AF106" s="1">
        <v>0</v>
      </c>
      <c r="AG106" s="1">
        <v>390.64000000000004</v>
      </c>
      <c r="AH106" s="1">
        <v>0</v>
      </c>
      <c r="AI106" s="1">
        <v>0</v>
      </c>
      <c r="AJ106" s="1">
        <v>0</v>
      </c>
      <c r="AK106" s="1">
        <v>0</v>
      </c>
      <c r="AL106" s="1">
        <v>0</v>
      </c>
      <c r="AM106" s="1">
        <v>0</v>
      </c>
      <c r="AN106" s="1">
        <v>0</v>
      </c>
      <c r="AO106" s="1">
        <v>0</v>
      </c>
      <c r="AP106" s="1">
        <v>638.79</v>
      </c>
      <c r="AQ106" s="1">
        <v>637.68000000000006</v>
      </c>
      <c r="AR106" s="1">
        <v>483.55</v>
      </c>
      <c r="AS106" s="1">
        <v>544.69000000000005</v>
      </c>
      <c r="AT106" s="1">
        <v>0</v>
      </c>
      <c r="AU106" s="1">
        <v>638.79</v>
      </c>
      <c r="AV106" s="1">
        <v>0</v>
      </c>
      <c r="AW106" s="1">
        <v>0</v>
      </c>
      <c r="AX106" s="1">
        <v>0</v>
      </c>
      <c r="AY106" s="1">
        <v>0</v>
      </c>
      <c r="AZ106" s="1">
        <v>0</v>
      </c>
      <c r="BA106" s="1">
        <v>0</v>
      </c>
      <c r="BB106" s="1">
        <v>0</v>
      </c>
      <c r="BC106" s="1">
        <v>483.55</v>
      </c>
      <c r="BD106" s="1">
        <v>0</v>
      </c>
      <c r="BE106" s="1">
        <v>0</v>
      </c>
      <c r="BF106" s="1">
        <v>544.69000000000005</v>
      </c>
      <c r="BG106" s="1">
        <v>0</v>
      </c>
      <c r="BH106" s="1">
        <v>0</v>
      </c>
      <c r="BI106" s="1">
        <v>0</v>
      </c>
      <c r="BJ106" s="1">
        <v>0</v>
      </c>
      <c r="BK106" s="1">
        <v>0</v>
      </c>
      <c r="BL106" s="1">
        <v>0</v>
      </c>
      <c r="BM106" s="1">
        <v>0</v>
      </c>
      <c r="BN106" s="1">
        <v>0</v>
      </c>
      <c r="BO106" s="1">
        <v>0</v>
      </c>
      <c r="BP106" s="1">
        <v>0</v>
      </c>
      <c r="BQ106" s="1">
        <v>0</v>
      </c>
      <c r="BR106" s="1">
        <v>0</v>
      </c>
      <c r="BS106" s="1">
        <v>0</v>
      </c>
      <c r="BT106" s="1">
        <v>0</v>
      </c>
      <c r="BU106" s="1">
        <v>11173.56</v>
      </c>
      <c r="BV106" s="1">
        <v>10890.33</v>
      </c>
      <c r="BW106" s="1">
        <v>9788.36</v>
      </c>
      <c r="BX106" s="1">
        <v>9903.57</v>
      </c>
      <c r="BY106" s="1">
        <v>11173.56</v>
      </c>
      <c r="BZ106" s="1">
        <v>10890.33</v>
      </c>
      <c r="CA106" s="1">
        <v>9788.36</v>
      </c>
      <c r="CB106" s="1">
        <v>9903.57</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10999.65</v>
      </c>
      <c r="CT106" s="1">
        <v>10620.69</v>
      </c>
      <c r="CU106" s="1">
        <v>9670</v>
      </c>
      <c r="CV106" s="1">
        <v>9801.27</v>
      </c>
      <c r="CW106" s="1">
        <v>10999.65</v>
      </c>
      <c r="CX106" s="1">
        <v>10620.69</v>
      </c>
      <c r="CY106" s="1">
        <v>9670</v>
      </c>
      <c r="CZ106" s="1">
        <v>9801.27</v>
      </c>
      <c r="DA106" s="1">
        <v>0</v>
      </c>
      <c r="DB106" s="1">
        <v>0</v>
      </c>
      <c r="DC106" s="1">
        <v>0</v>
      </c>
      <c r="DD106" s="1">
        <v>0</v>
      </c>
      <c r="DE106" s="1">
        <v>0</v>
      </c>
      <c r="DF106" s="1">
        <v>0</v>
      </c>
      <c r="DG106" s="1">
        <v>0</v>
      </c>
      <c r="DH106" s="1">
        <v>0</v>
      </c>
      <c r="DI106" s="1">
        <v>0</v>
      </c>
      <c r="DJ106" s="1">
        <v>0</v>
      </c>
      <c r="DK106" s="1">
        <v>0</v>
      </c>
      <c r="DL106" s="1">
        <v>0</v>
      </c>
      <c r="DM106" s="1">
        <v>10678.07</v>
      </c>
      <c r="DN106" s="1">
        <v>10364.19</v>
      </c>
      <c r="DO106" s="1">
        <v>9295.1</v>
      </c>
      <c r="DP106" s="1">
        <v>9434.17</v>
      </c>
      <c r="DQ106" s="1">
        <v>10678.07</v>
      </c>
      <c r="DR106" s="1">
        <v>10364.19</v>
      </c>
      <c r="DS106" s="1">
        <v>9295.1</v>
      </c>
      <c r="DT106" s="1">
        <v>9434.17</v>
      </c>
      <c r="DU106" s="1">
        <v>0</v>
      </c>
      <c r="DV106" s="1">
        <v>0</v>
      </c>
      <c r="DW106" s="1">
        <v>0</v>
      </c>
      <c r="DX106" s="1">
        <v>0</v>
      </c>
      <c r="DY106" s="1">
        <v>0</v>
      </c>
      <c r="DZ106" s="1">
        <v>0</v>
      </c>
      <c r="EA106" s="1">
        <v>0</v>
      </c>
      <c r="EB106" s="1">
        <v>0</v>
      </c>
      <c r="EC106" s="1">
        <v>0</v>
      </c>
      <c r="ED106" s="1">
        <v>0</v>
      </c>
      <c r="EE106" s="1">
        <v>0</v>
      </c>
      <c r="EF106" s="1">
        <v>0</v>
      </c>
      <c r="EG106" s="1">
        <v>0</v>
      </c>
      <c r="EH106" s="1">
        <v>0</v>
      </c>
      <c r="EI106" s="1">
        <v>0</v>
      </c>
      <c r="EJ106" s="1">
        <v>0</v>
      </c>
      <c r="EK106" s="1">
        <v>11328.29</v>
      </c>
      <c r="EL106" s="1">
        <v>11094.86</v>
      </c>
      <c r="EM106" s="1">
        <v>9954.74</v>
      </c>
      <c r="EN106" s="1">
        <v>10079.02</v>
      </c>
      <c r="EO106" s="1">
        <v>11324.6</v>
      </c>
      <c r="EP106" s="1">
        <v>11091.34</v>
      </c>
      <c r="EQ106" s="1">
        <v>9947.4</v>
      </c>
      <c r="ER106" s="1">
        <v>10074.33</v>
      </c>
      <c r="ES106" s="1">
        <v>3.69</v>
      </c>
      <c r="ET106" s="1">
        <v>3.52</v>
      </c>
      <c r="EU106" s="1">
        <v>7.34</v>
      </c>
      <c r="EV106" s="1">
        <v>4.6900000000000004</v>
      </c>
      <c r="EW106" s="1">
        <v>0</v>
      </c>
      <c r="EX106" s="1">
        <v>0</v>
      </c>
      <c r="EY106" s="1">
        <v>0</v>
      </c>
      <c r="EZ106" s="1">
        <v>0</v>
      </c>
      <c r="FA106" s="1">
        <v>0</v>
      </c>
      <c r="FB106" s="1">
        <v>0</v>
      </c>
      <c r="FC106" s="1">
        <v>0</v>
      </c>
      <c r="FD106" s="1">
        <v>0</v>
      </c>
      <c r="FE106" s="1">
        <v>319.38</v>
      </c>
      <c r="FF106" s="1">
        <v>424.24</v>
      </c>
      <c r="FG106" s="1">
        <v>351.62</v>
      </c>
      <c r="FH106" s="1">
        <v>323.07</v>
      </c>
      <c r="FI106" s="1">
        <v>319.38</v>
      </c>
      <c r="FJ106" s="1">
        <v>424.24</v>
      </c>
      <c r="FK106" s="1">
        <v>351.62</v>
      </c>
      <c r="FL106" s="1">
        <v>323.07</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11499.91</v>
      </c>
      <c r="GD106" s="1">
        <v>11252.81</v>
      </c>
      <c r="GE106" s="1">
        <v>9984.57</v>
      </c>
      <c r="GF106" s="1">
        <v>10187.1</v>
      </c>
      <c r="GG106" s="1">
        <v>11499.91</v>
      </c>
      <c r="GH106" s="1">
        <v>11252.81</v>
      </c>
      <c r="GI106" s="1">
        <v>9984.57</v>
      </c>
      <c r="GJ106" s="1">
        <v>10187.1</v>
      </c>
      <c r="GK106" s="1">
        <v>0</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91.83</v>
      </c>
      <c r="IP106" s="1">
        <v>130.80000000000001</v>
      </c>
      <c r="IQ106" s="1">
        <v>147.97999999999999</v>
      </c>
      <c r="IR106" s="1">
        <v>172.16</v>
      </c>
      <c r="IS106" s="1">
        <v>91.83</v>
      </c>
      <c r="IT106" s="1">
        <v>130.80000000000001</v>
      </c>
      <c r="IU106" s="1">
        <v>147.97999999999999</v>
      </c>
      <c r="IV106" s="1">
        <v>172.16</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0</v>
      </c>
      <c r="JO106" s="1">
        <v>0</v>
      </c>
      <c r="JP106" s="1">
        <v>0</v>
      </c>
      <c r="JQ106" s="9"/>
      <c r="JR106" s="1">
        <f t="shared" si="25"/>
        <v>4424.8679999999986</v>
      </c>
      <c r="JS106" s="1">
        <f t="shared" si="25"/>
        <v>4565.3921999999984</v>
      </c>
      <c r="JT106" s="1">
        <f t="shared" si="25"/>
        <v>4261.4828999999972</v>
      </c>
      <c r="JU106" s="1">
        <f t="shared" si="25"/>
        <v>4324.3091999999979</v>
      </c>
      <c r="JV106" s="1">
        <f t="shared" si="26"/>
        <v>819.41999999999973</v>
      </c>
      <c r="JW106" s="1">
        <f t="shared" si="26"/>
        <v>845.44299999999976</v>
      </c>
      <c r="JX106" s="1">
        <f t="shared" si="26"/>
        <v>789.16349999999954</v>
      </c>
      <c r="JY106" s="1">
        <f t="shared" si="26"/>
        <v>800.79799999999966</v>
      </c>
    </row>
    <row r="107" spans="1:285" x14ac:dyDescent="0.35">
      <c r="A107" s="2" t="s">
        <v>114</v>
      </c>
      <c r="B107" s="1">
        <v>95288</v>
      </c>
      <c r="C107" s="1">
        <v>98254</v>
      </c>
      <c r="D107" s="1">
        <v>100666</v>
      </c>
      <c r="E107" s="1">
        <v>102910</v>
      </c>
      <c r="F107" s="1">
        <v>33860.123</v>
      </c>
      <c r="G107" s="1">
        <v>32509.553</v>
      </c>
      <c r="H107" s="1">
        <v>30363.014999999999</v>
      </c>
      <c r="I107" s="1">
        <v>31544.867999999999</v>
      </c>
      <c r="J107" s="1">
        <f t="shared" si="27"/>
        <v>18771.042000000001</v>
      </c>
      <c r="K107" s="1">
        <f t="shared" si="28"/>
        <v>18143.524999999998</v>
      </c>
      <c r="L107" s="1">
        <f t="shared" si="29"/>
        <v>16356.009</v>
      </c>
      <c r="M107" s="1">
        <f t="shared" si="30"/>
        <v>17228.994000000002</v>
      </c>
      <c r="N107" s="1">
        <f t="shared" si="31"/>
        <v>15089.080999999998</v>
      </c>
      <c r="O107" s="1">
        <f t="shared" si="32"/>
        <v>14366.028000000002</v>
      </c>
      <c r="P107" s="1">
        <f t="shared" si="33"/>
        <v>14007.005999999999</v>
      </c>
      <c r="Q107" s="1">
        <f t="shared" si="34"/>
        <v>14315.873999999996</v>
      </c>
      <c r="R107" s="1">
        <v>0</v>
      </c>
      <c r="S107" s="1">
        <v>0</v>
      </c>
      <c r="T107" s="1">
        <v>0</v>
      </c>
      <c r="U107" s="1">
        <v>0</v>
      </c>
      <c r="V107" s="1">
        <v>0</v>
      </c>
      <c r="W107" s="1">
        <v>0</v>
      </c>
      <c r="X107" s="1">
        <v>0</v>
      </c>
      <c r="Y107" s="1">
        <v>0</v>
      </c>
      <c r="Z107" s="1">
        <v>0</v>
      </c>
      <c r="AA107" s="1">
        <v>0</v>
      </c>
      <c r="AB107" s="1">
        <v>0</v>
      </c>
      <c r="AC107" s="1">
        <v>0</v>
      </c>
      <c r="AD107" s="1">
        <v>0</v>
      </c>
      <c r="AE107" s="1">
        <v>0</v>
      </c>
      <c r="AF107" s="1">
        <v>0</v>
      </c>
      <c r="AG107" s="1">
        <v>0</v>
      </c>
      <c r="AH107" s="1">
        <v>0</v>
      </c>
      <c r="AI107" s="1">
        <v>0</v>
      </c>
      <c r="AJ107" s="1">
        <v>0</v>
      </c>
      <c r="AK107" s="1">
        <v>0</v>
      </c>
      <c r="AL107" s="1">
        <v>0</v>
      </c>
      <c r="AM107" s="1">
        <v>0</v>
      </c>
      <c r="AN107" s="1">
        <v>0</v>
      </c>
      <c r="AO107" s="1">
        <v>0</v>
      </c>
      <c r="AP107" s="1">
        <v>7985.62</v>
      </c>
      <c r="AQ107" s="1">
        <v>7683.93</v>
      </c>
      <c r="AR107" s="1">
        <v>6505.2599999999993</v>
      </c>
      <c r="AS107" s="1">
        <v>7639.52</v>
      </c>
      <c r="AT107" s="1">
        <v>0</v>
      </c>
      <c r="AU107" s="1">
        <v>7985.62</v>
      </c>
      <c r="AV107" s="1">
        <v>0</v>
      </c>
      <c r="AW107" s="1">
        <v>0</v>
      </c>
      <c r="AX107" s="1">
        <v>0</v>
      </c>
      <c r="AY107" s="1">
        <v>7683.93</v>
      </c>
      <c r="AZ107" s="1">
        <v>0</v>
      </c>
      <c r="BA107" s="1">
        <v>0</v>
      </c>
      <c r="BB107" s="1">
        <v>0</v>
      </c>
      <c r="BC107" s="1">
        <v>6505.2599999999993</v>
      </c>
      <c r="BD107" s="1">
        <v>0</v>
      </c>
      <c r="BE107" s="1">
        <v>0</v>
      </c>
      <c r="BF107" s="1">
        <v>7639.52</v>
      </c>
      <c r="BG107" s="1">
        <v>0</v>
      </c>
      <c r="BH107" s="1">
        <v>0</v>
      </c>
      <c r="BI107" s="1">
        <v>0</v>
      </c>
      <c r="BJ107" s="1">
        <v>0</v>
      </c>
      <c r="BK107" s="1">
        <v>0</v>
      </c>
      <c r="BL107" s="1">
        <v>0</v>
      </c>
      <c r="BM107" s="1">
        <v>0</v>
      </c>
      <c r="BN107" s="1">
        <v>0</v>
      </c>
      <c r="BO107" s="1">
        <v>0</v>
      </c>
      <c r="BP107" s="1">
        <v>0</v>
      </c>
      <c r="BQ107" s="1">
        <v>0</v>
      </c>
      <c r="BR107" s="1">
        <v>0</v>
      </c>
      <c r="BS107" s="1">
        <v>0</v>
      </c>
      <c r="BT107" s="1">
        <v>0</v>
      </c>
      <c r="BU107" s="1">
        <v>5516.8860000000004</v>
      </c>
      <c r="BV107" s="1">
        <v>5053.9490000000014</v>
      </c>
      <c r="BW107" s="1">
        <v>4658.8280000000004</v>
      </c>
      <c r="BX107" s="1">
        <v>4388.835</v>
      </c>
      <c r="BY107" s="1">
        <v>5516.8860000000004</v>
      </c>
      <c r="BZ107" s="1">
        <v>5053.9490000000014</v>
      </c>
      <c r="CA107" s="1">
        <v>4658.8280000000004</v>
      </c>
      <c r="CB107" s="1">
        <v>4388.835</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1183.4829999999999</v>
      </c>
      <c r="CT107" s="1">
        <v>1068.096</v>
      </c>
      <c r="CU107" s="1">
        <v>1014.07</v>
      </c>
      <c r="CV107" s="1">
        <v>1019.221</v>
      </c>
      <c r="CW107" s="1">
        <v>1183.4829999999999</v>
      </c>
      <c r="CX107" s="1">
        <v>1068.096</v>
      </c>
      <c r="CY107" s="1">
        <v>1014.07</v>
      </c>
      <c r="CZ107" s="1">
        <v>1019.221</v>
      </c>
      <c r="DA107" s="1">
        <v>0</v>
      </c>
      <c r="DB107" s="1">
        <v>0</v>
      </c>
      <c r="DC107" s="1">
        <v>0</v>
      </c>
      <c r="DD107" s="1">
        <v>0</v>
      </c>
      <c r="DE107" s="1">
        <v>0</v>
      </c>
      <c r="DF107" s="1">
        <v>0</v>
      </c>
      <c r="DG107" s="1">
        <v>0</v>
      </c>
      <c r="DH107" s="1">
        <v>0</v>
      </c>
      <c r="DI107" s="1">
        <v>0</v>
      </c>
      <c r="DJ107" s="1">
        <v>0</v>
      </c>
      <c r="DK107" s="1">
        <v>0</v>
      </c>
      <c r="DL107" s="1">
        <v>0</v>
      </c>
      <c r="DM107" s="1">
        <v>3032.8580000000002</v>
      </c>
      <c r="DN107" s="1">
        <v>3374.05</v>
      </c>
      <c r="DO107" s="1">
        <v>3191.136</v>
      </c>
      <c r="DP107" s="1">
        <v>3312.2089999999998</v>
      </c>
      <c r="DQ107" s="1">
        <v>3032.8580000000002</v>
      </c>
      <c r="DR107" s="1">
        <v>3374.05</v>
      </c>
      <c r="DS107" s="1">
        <v>3191.136</v>
      </c>
      <c r="DT107" s="1">
        <v>3312.2089999999998</v>
      </c>
      <c r="DU107" s="1">
        <v>0</v>
      </c>
      <c r="DV107" s="1">
        <v>0</v>
      </c>
      <c r="DW107" s="1">
        <v>0</v>
      </c>
      <c r="DX107" s="1">
        <v>0</v>
      </c>
      <c r="DY107" s="1">
        <v>0</v>
      </c>
      <c r="DZ107" s="1">
        <v>0</v>
      </c>
      <c r="EA107" s="1">
        <v>0</v>
      </c>
      <c r="EB107" s="1">
        <v>0</v>
      </c>
      <c r="EC107" s="1">
        <v>0</v>
      </c>
      <c r="ED107" s="1">
        <v>0</v>
      </c>
      <c r="EE107" s="1">
        <v>0</v>
      </c>
      <c r="EF107" s="1">
        <v>0</v>
      </c>
      <c r="EG107" s="1">
        <v>0</v>
      </c>
      <c r="EH107" s="1">
        <v>0</v>
      </c>
      <c r="EI107" s="1">
        <v>0</v>
      </c>
      <c r="EJ107" s="1">
        <v>0</v>
      </c>
      <c r="EK107" s="1">
        <v>551.36899999999991</v>
      </c>
      <c r="EL107" s="1">
        <v>537.875</v>
      </c>
      <c r="EM107" s="1">
        <v>484.53800000000001</v>
      </c>
      <c r="EN107" s="1">
        <v>382.14600000000002</v>
      </c>
      <c r="EO107" s="1">
        <v>551.36899999999991</v>
      </c>
      <c r="EP107" s="1">
        <v>537.875</v>
      </c>
      <c r="EQ107" s="1">
        <v>484.53800000000001</v>
      </c>
      <c r="ER107" s="1">
        <v>382.14600000000002</v>
      </c>
      <c r="ES107" s="1">
        <v>0</v>
      </c>
      <c r="ET107" s="1">
        <v>0</v>
      </c>
      <c r="EU107" s="1">
        <v>0</v>
      </c>
      <c r="EV107" s="1">
        <v>0</v>
      </c>
      <c r="EW107" s="1">
        <v>0</v>
      </c>
      <c r="EX107" s="1">
        <v>0</v>
      </c>
      <c r="EY107" s="1">
        <v>0</v>
      </c>
      <c r="EZ107" s="1">
        <v>0</v>
      </c>
      <c r="FA107" s="1">
        <v>0</v>
      </c>
      <c r="FB107" s="1">
        <v>0</v>
      </c>
      <c r="FC107" s="1">
        <v>0</v>
      </c>
      <c r="FD107" s="1">
        <v>0</v>
      </c>
      <c r="FE107" s="1">
        <v>121.40900000000001</v>
      </c>
      <c r="FF107" s="1">
        <v>133.904</v>
      </c>
      <c r="FG107" s="1">
        <v>150.72</v>
      </c>
      <c r="FH107" s="1">
        <v>187.965</v>
      </c>
      <c r="FI107" s="1">
        <v>7.1070000000000002</v>
      </c>
      <c r="FJ107" s="1">
        <v>19.684000000000001</v>
      </c>
      <c r="FK107" s="1">
        <v>64.605000000000004</v>
      </c>
      <c r="FL107" s="1">
        <v>14.18</v>
      </c>
      <c r="FM107" s="1">
        <v>114.30200000000001</v>
      </c>
      <c r="FN107" s="1">
        <v>114.22</v>
      </c>
      <c r="FO107" s="1">
        <v>86.114999999999995</v>
      </c>
      <c r="FP107" s="1">
        <v>173.785</v>
      </c>
      <c r="FQ107" s="1">
        <v>0</v>
      </c>
      <c r="FR107" s="1">
        <v>0</v>
      </c>
      <c r="FS107" s="1">
        <v>0</v>
      </c>
      <c r="FT107" s="1">
        <v>0</v>
      </c>
      <c r="FU107" s="1">
        <v>0</v>
      </c>
      <c r="FV107" s="1">
        <v>0</v>
      </c>
      <c r="FW107" s="1">
        <v>0</v>
      </c>
      <c r="FX107" s="1">
        <v>0</v>
      </c>
      <c r="FY107" s="1">
        <v>0</v>
      </c>
      <c r="FZ107" s="1">
        <v>0</v>
      </c>
      <c r="GA107" s="1">
        <v>0</v>
      </c>
      <c r="GB107" s="1">
        <v>0</v>
      </c>
      <c r="GC107" s="1">
        <v>0</v>
      </c>
      <c r="GD107" s="1">
        <v>0.1</v>
      </c>
      <c r="GE107" s="1">
        <v>0</v>
      </c>
      <c r="GF107" s="1">
        <v>0</v>
      </c>
      <c r="GG107" s="1">
        <v>0</v>
      </c>
      <c r="GH107" s="1">
        <v>0.1</v>
      </c>
      <c r="GI107" s="1">
        <v>0</v>
      </c>
      <c r="GJ107" s="1">
        <v>0</v>
      </c>
      <c r="GK107" s="1">
        <v>0</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0.108</v>
      </c>
      <c r="HG107" s="1">
        <v>0</v>
      </c>
      <c r="HH107" s="1">
        <v>0</v>
      </c>
      <c r="HI107" s="1">
        <v>0</v>
      </c>
      <c r="HJ107" s="1">
        <v>0.108</v>
      </c>
      <c r="HK107" s="1">
        <v>0</v>
      </c>
      <c r="HL107" s="1">
        <v>0</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379.41699999999997</v>
      </c>
      <c r="IP107" s="1">
        <v>291.51299999999998</v>
      </c>
      <c r="IQ107" s="1">
        <v>351.45699999999999</v>
      </c>
      <c r="IR107" s="1">
        <v>299.09800000000001</v>
      </c>
      <c r="IS107" s="1">
        <v>367.714</v>
      </c>
      <c r="IT107" s="1">
        <v>260.03199999999998</v>
      </c>
      <c r="IU107" s="1">
        <v>328.41500000000002</v>
      </c>
      <c r="IV107" s="1">
        <v>258.90300000000002</v>
      </c>
      <c r="IW107" s="1">
        <v>11.702999999999999</v>
      </c>
      <c r="IX107" s="1">
        <v>31.481000000000002</v>
      </c>
      <c r="IY107" s="1">
        <v>23.042000000000002</v>
      </c>
      <c r="IZ107" s="1">
        <v>40.195000000000007</v>
      </c>
      <c r="JA107" s="1">
        <v>0</v>
      </c>
      <c r="JB107" s="1">
        <v>0</v>
      </c>
      <c r="JC107" s="1">
        <v>0</v>
      </c>
      <c r="JD107" s="1">
        <v>0</v>
      </c>
      <c r="JE107" s="1">
        <v>0</v>
      </c>
      <c r="JF107" s="1">
        <v>0</v>
      </c>
      <c r="JG107" s="1">
        <v>0</v>
      </c>
      <c r="JH107" s="1">
        <v>0</v>
      </c>
      <c r="JI107" s="1">
        <v>0</v>
      </c>
      <c r="JJ107" s="1">
        <v>0</v>
      </c>
      <c r="JK107" s="1">
        <v>0</v>
      </c>
      <c r="JL107" s="1">
        <v>0</v>
      </c>
      <c r="JM107" s="1">
        <v>0</v>
      </c>
      <c r="JN107" s="1">
        <v>0</v>
      </c>
      <c r="JO107" s="1">
        <v>0</v>
      </c>
      <c r="JP107" s="1">
        <v>0</v>
      </c>
      <c r="JQ107" s="9"/>
      <c r="JR107" s="1">
        <f t="shared" si="25"/>
        <v>4074.0518699999998</v>
      </c>
      <c r="JS107" s="1">
        <f t="shared" si="25"/>
        <v>3878.8275600000006</v>
      </c>
      <c r="JT107" s="1">
        <f t="shared" si="25"/>
        <v>3781.8916199999999</v>
      </c>
      <c r="JU107" s="1">
        <f t="shared" si="25"/>
        <v>3865.2859799999992</v>
      </c>
      <c r="JV107" s="1">
        <f t="shared" si="26"/>
        <v>754.45404999999994</v>
      </c>
      <c r="JW107" s="1">
        <f t="shared" si="26"/>
        <v>718.30140000000017</v>
      </c>
      <c r="JX107" s="1">
        <f t="shared" si="26"/>
        <v>700.35030000000006</v>
      </c>
      <c r="JY107" s="1">
        <f t="shared" si="26"/>
        <v>715.79369999999983</v>
      </c>
    </row>
    <row r="108" spans="1:285" x14ac:dyDescent="0.35">
      <c r="A108" s="2" t="s">
        <v>115</v>
      </c>
      <c r="B108" s="1">
        <v>269534</v>
      </c>
      <c r="C108" s="1">
        <v>264317</v>
      </c>
      <c r="D108" s="1">
        <v>262078</v>
      </c>
      <c r="E108" s="1">
        <v>263362</v>
      </c>
      <c r="F108" s="1">
        <v>65296.509999999987</v>
      </c>
      <c r="G108" s="1">
        <v>68023.31</v>
      </c>
      <c r="H108" s="1">
        <v>66158.429999999993</v>
      </c>
      <c r="I108" s="1">
        <v>62578.429999999993</v>
      </c>
      <c r="J108" s="1">
        <f t="shared" si="27"/>
        <v>35778.03</v>
      </c>
      <c r="K108" s="1">
        <f t="shared" si="28"/>
        <v>38735.440000000002</v>
      </c>
      <c r="L108" s="1">
        <f t="shared" si="29"/>
        <v>37590.700000000004</v>
      </c>
      <c r="M108" s="1">
        <f t="shared" si="30"/>
        <v>36534.71</v>
      </c>
      <c r="N108" s="1">
        <f t="shared" si="31"/>
        <v>29518.479999999989</v>
      </c>
      <c r="O108" s="1">
        <f t="shared" si="32"/>
        <v>29287.869999999995</v>
      </c>
      <c r="P108" s="1">
        <f t="shared" si="33"/>
        <v>28567.729999999989</v>
      </c>
      <c r="Q108" s="1">
        <f t="shared" si="34"/>
        <v>26043.719999999994</v>
      </c>
      <c r="R108" s="1">
        <v>2411.6999999999998</v>
      </c>
      <c r="S108" s="1">
        <v>3476.28</v>
      </c>
      <c r="T108" s="1">
        <v>3390.14</v>
      </c>
      <c r="U108" s="1">
        <v>3366.66</v>
      </c>
      <c r="V108" s="1">
        <v>0</v>
      </c>
      <c r="W108" s="1">
        <v>0</v>
      </c>
      <c r="X108" s="1">
        <v>2411.6999999999998</v>
      </c>
      <c r="Y108" s="1">
        <v>0</v>
      </c>
      <c r="Z108" s="1">
        <v>0</v>
      </c>
      <c r="AA108" s="1">
        <v>3476.28</v>
      </c>
      <c r="AB108" s="1">
        <v>0</v>
      </c>
      <c r="AC108" s="1">
        <v>0</v>
      </c>
      <c r="AD108" s="1">
        <v>3390.14</v>
      </c>
      <c r="AE108" s="1">
        <v>0</v>
      </c>
      <c r="AF108" s="1">
        <v>0</v>
      </c>
      <c r="AG108" s="1">
        <v>3366.66</v>
      </c>
      <c r="AH108" s="1">
        <v>0</v>
      </c>
      <c r="AI108" s="1">
        <v>0</v>
      </c>
      <c r="AJ108" s="1">
        <v>0</v>
      </c>
      <c r="AK108" s="1">
        <v>0</v>
      </c>
      <c r="AL108" s="1">
        <v>0</v>
      </c>
      <c r="AM108" s="1">
        <v>0</v>
      </c>
      <c r="AN108" s="1">
        <v>0</v>
      </c>
      <c r="AO108" s="1">
        <v>0</v>
      </c>
      <c r="AP108" s="1">
        <v>4969.93</v>
      </c>
      <c r="AQ108" s="1">
        <v>3918.16</v>
      </c>
      <c r="AR108" s="1">
        <v>3321.1499999999996</v>
      </c>
      <c r="AS108" s="1">
        <v>3860.58</v>
      </c>
      <c r="AT108" s="1">
        <v>2749.5</v>
      </c>
      <c r="AU108" s="1">
        <v>2220.4299999999998</v>
      </c>
      <c r="AV108" s="1">
        <v>0</v>
      </c>
      <c r="AW108" s="1">
        <v>0</v>
      </c>
      <c r="AX108" s="1">
        <v>1024.8800000000001</v>
      </c>
      <c r="AY108" s="1">
        <v>2893.2799999999997</v>
      </c>
      <c r="AZ108" s="1">
        <v>0</v>
      </c>
      <c r="BA108" s="1">
        <v>0</v>
      </c>
      <c r="BB108" s="1">
        <v>379.71999999999997</v>
      </c>
      <c r="BC108" s="1">
        <v>2941.43</v>
      </c>
      <c r="BD108" s="1">
        <v>0</v>
      </c>
      <c r="BE108" s="1">
        <v>1473.4899999999998</v>
      </c>
      <c r="BF108" s="1">
        <v>2387.09</v>
      </c>
      <c r="BG108" s="1">
        <v>0</v>
      </c>
      <c r="BH108" s="1">
        <v>0</v>
      </c>
      <c r="BI108" s="1">
        <v>0</v>
      </c>
      <c r="BJ108" s="1">
        <v>0</v>
      </c>
      <c r="BK108" s="1">
        <v>0</v>
      </c>
      <c r="BL108" s="1">
        <v>0</v>
      </c>
      <c r="BM108" s="1">
        <v>0</v>
      </c>
      <c r="BN108" s="1">
        <v>0</v>
      </c>
      <c r="BO108" s="1">
        <v>0</v>
      </c>
      <c r="BP108" s="1">
        <v>0</v>
      </c>
      <c r="BQ108" s="1">
        <v>0</v>
      </c>
      <c r="BR108" s="1">
        <v>0</v>
      </c>
      <c r="BS108" s="1">
        <v>0</v>
      </c>
      <c r="BT108" s="1">
        <v>0</v>
      </c>
      <c r="BU108" s="1">
        <v>13341.59</v>
      </c>
      <c r="BV108" s="1">
        <v>15304.14</v>
      </c>
      <c r="BW108" s="1">
        <v>15472.9</v>
      </c>
      <c r="BX108" s="1">
        <v>17090.25</v>
      </c>
      <c r="BY108" s="1">
        <v>13292.96</v>
      </c>
      <c r="BZ108" s="1">
        <v>15257.4</v>
      </c>
      <c r="CA108" s="1">
        <v>15386.02</v>
      </c>
      <c r="CB108" s="1">
        <v>16998.21</v>
      </c>
      <c r="CC108" s="1">
        <v>48.63</v>
      </c>
      <c r="CD108" s="1">
        <v>46.74</v>
      </c>
      <c r="CE108" s="1">
        <v>86.88</v>
      </c>
      <c r="CF108" s="1">
        <v>92.04</v>
      </c>
      <c r="CG108" s="1">
        <v>0</v>
      </c>
      <c r="CH108" s="1">
        <v>0</v>
      </c>
      <c r="CI108" s="1">
        <v>0</v>
      </c>
      <c r="CJ108" s="1">
        <v>0</v>
      </c>
      <c r="CK108" s="1">
        <v>0</v>
      </c>
      <c r="CL108" s="1">
        <v>0</v>
      </c>
      <c r="CM108" s="1">
        <v>0</v>
      </c>
      <c r="CN108" s="1">
        <v>0</v>
      </c>
      <c r="CO108" s="1">
        <v>0</v>
      </c>
      <c r="CP108" s="1">
        <v>0</v>
      </c>
      <c r="CQ108" s="1">
        <v>0</v>
      </c>
      <c r="CR108" s="1">
        <v>0</v>
      </c>
      <c r="CS108" s="1">
        <v>4053.12</v>
      </c>
      <c r="CT108" s="1">
        <v>5273.16</v>
      </c>
      <c r="CU108" s="1">
        <v>3807.4</v>
      </c>
      <c r="CV108" s="1">
        <v>2497.54</v>
      </c>
      <c r="CW108" s="1">
        <v>4053.12</v>
      </c>
      <c r="CX108" s="1">
        <v>5273.16</v>
      </c>
      <c r="CY108" s="1">
        <v>3807.4</v>
      </c>
      <c r="CZ108" s="1">
        <v>2497.54</v>
      </c>
      <c r="DA108" s="1">
        <v>0</v>
      </c>
      <c r="DB108" s="1">
        <v>0</v>
      </c>
      <c r="DC108" s="1">
        <v>0</v>
      </c>
      <c r="DD108" s="1">
        <v>0</v>
      </c>
      <c r="DE108" s="1">
        <v>0</v>
      </c>
      <c r="DF108" s="1">
        <v>0</v>
      </c>
      <c r="DG108" s="1">
        <v>0</v>
      </c>
      <c r="DH108" s="1">
        <v>0</v>
      </c>
      <c r="DI108" s="1">
        <v>0</v>
      </c>
      <c r="DJ108" s="1">
        <v>0</v>
      </c>
      <c r="DK108" s="1">
        <v>0</v>
      </c>
      <c r="DL108" s="1">
        <v>0</v>
      </c>
      <c r="DM108" s="1">
        <v>7362.9600000000009</v>
      </c>
      <c r="DN108" s="1">
        <v>6180.9</v>
      </c>
      <c r="DO108" s="1">
        <v>7046.78</v>
      </c>
      <c r="DP108" s="1">
        <v>5636.43</v>
      </c>
      <c r="DQ108" s="1">
        <v>7362.9600000000009</v>
      </c>
      <c r="DR108" s="1">
        <v>6180.9</v>
      </c>
      <c r="DS108" s="1">
        <v>7046.78</v>
      </c>
      <c r="DT108" s="1">
        <v>5636.43</v>
      </c>
      <c r="DU108" s="1">
        <v>0</v>
      </c>
      <c r="DV108" s="1">
        <v>0</v>
      </c>
      <c r="DW108" s="1">
        <v>0</v>
      </c>
      <c r="DX108" s="1">
        <v>0</v>
      </c>
      <c r="DY108" s="1">
        <v>0</v>
      </c>
      <c r="DZ108" s="1">
        <v>0</v>
      </c>
      <c r="EA108" s="1">
        <v>0</v>
      </c>
      <c r="EB108" s="1">
        <v>0</v>
      </c>
      <c r="EC108" s="1">
        <v>0</v>
      </c>
      <c r="ED108" s="1">
        <v>0</v>
      </c>
      <c r="EE108" s="1">
        <v>0</v>
      </c>
      <c r="EF108" s="1">
        <v>0</v>
      </c>
      <c r="EG108" s="1">
        <v>0</v>
      </c>
      <c r="EH108" s="1">
        <v>0</v>
      </c>
      <c r="EI108" s="1">
        <v>0</v>
      </c>
      <c r="EJ108" s="1">
        <v>0</v>
      </c>
      <c r="EK108" s="1">
        <v>1405.42</v>
      </c>
      <c r="EL108" s="1">
        <v>1205.8</v>
      </c>
      <c r="EM108" s="1">
        <v>1314.9</v>
      </c>
      <c r="EN108" s="1">
        <v>891.37999999999988</v>
      </c>
      <c r="EO108" s="1">
        <v>1397.53</v>
      </c>
      <c r="EP108" s="1">
        <v>1195.5899999999999</v>
      </c>
      <c r="EQ108" s="1">
        <v>1300.2</v>
      </c>
      <c r="ER108" s="1">
        <v>877.95999999999992</v>
      </c>
      <c r="ES108" s="1">
        <v>7.8900000000000006</v>
      </c>
      <c r="ET108" s="1">
        <v>10.210000000000001</v>
      </c>
      <c r="EU108" s="1">
        <v>14.7</v>
      </c>
      <c r="EV108" s="1">
        <v>13.42</v>
      </c>
      <c r="EW108" s="1">
        <v>0</v>
      </c>
      <c r="EX108" s="1">
        <v>0</v>
      </c>
      <c r="EY108" s="1">
        <v>0</v>
      </c>
      <c r="EZ108" s="1">
        <v>0</v>
      </c>
      <c r="FA108" s="1">
        <v>0</v>
      </c>
      <c r="FB108" s="1">
        <v>0</v>
      </c>
      <c r="FC108" s="1">
        <v>0</v>
      </c>
      <c r="FD108" s="1">
        <v>0</v>
      </c>
      <c r="FE108" s="1">
        <v>200.47</v>
      </c>
      <c r="FF108" s="1">
        <v>258.76</v>
      </c>
      <c r="FG108" s="1">
        <v>271.56</v>
      </c>
      <c r="FH108" s="1">
        <v>265.08</v>
      </c>
      <c r="FI108" s="1">
        <v>49.88</v>
      </c>
      <c r="FJ108" s="1">
        <v>69.11</v>
      </c>
      <c r="FK108" s="1">
        <v>62.99</v>
      </c>
      <c r="FL108" s="1">
        <v>66.55</v>
      </c>
      <c r="FM108" s="1">
        <v>150.59</v>
      </c>
      <c r="FN108" s="1">
        <v>189.65</v>
      </c>
      <c r="FO108" s="1">
        <v>208.57</v>
      </c>
      <c r="FP108" s="1">
        <v>198.53</v>
      </c>
      <c r="FQ108" s="1">
        <v>0</v>
      </c>
      <c r="FR108" s="1">
        <v>0</v>
      </c>
      <c r="FS108" s="1">
        <v>0</v>
      </c>
      <c r="FT108" s="1">
        <v>0</v>
      </c>
      <c r="FU108" s="1">
        <v>0</v>
      </c>
      <c r="FV108" s="1">
        <v>0</v>
      </c>
      <c r="FW108" s="1">
        <v>0</v>
      </c>
      <c r="FX108" s="1">
        <v>0</v>
      </c>
      <c r="FY108" s="1">
        <v>0</v>
      </c>
      <c r="FZ108" s="1">
        <v>0</v>
      </c>
      <c r="GA108" s="1">
        <v>0</v>
      </c>
      <c r="GB108" s="1">
        <v>0</v>
      </c>
      <c r="GC108" s="1">
        <v>587.63</v>
      </c>
      <c r="GD108" s="1">
        <v>761.81000000000006</v>
      </c>
      <c r="GE108" s="1">
        <v>354.22</v>
      </c>
      <c r="GF108" s="1">
        <v>358.3</v>
      </c>
      <c r="GG108" s="1">
        <v>587.63</v>
      </c>
      <c r="GH108" s="1">
        <v>761.81000000000006</v>
      </c>
      <c r="GI108" s="1">
        <v>354.22</v>
      </c>
      <c r="GJ108" s="1">
        <v>358.3</v>
      </c>
      <c r="GK108" s="1">
        <v>0</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1399.36</v>
      </c>
      <c r="HF108" s="1">
        <v>2317.14</v>
      </c>
      <c r="HG108" s="1">
        <v>2602.16</v>
      </c>
      <c r="HH108" s="1">
        <v>2564.29</v>
      </c>
      <c r="HI108" s="1">
        <v>1399.36</v>
      </c>
      <c r="HJ108" s="1">
        <v>1969.91</v>
      </c>
      <c r="HK108" s="1">
        <v>1542.28</v>
      </c>
      <c r="HL108" s="1">
        <v>2460.37</v>
      </c>
      <c r="HM108" s="1">
        <v>0</v>
      </c>
      <c r="HN108" s="1">
        <v>0</v>
      </c>
      <c r="HO108" s="1">
        <v>0</v>
      </c>
      <c r="HP108" s="1">
        <v>0</v>
      </c>
      <c r="HQ108" s="1">
        <v>0</v>
      </c>
      <c r="HR108" s="1">
        <v>0</v>
      </c>
      <c r="HS108" s="1">
        <v>0</v>
      </c>
      <c r="HT108" s="1">
        <v>0</v>
      </c>
      <c r="HU108" s="1">
        <v>0</v>
      </c>
      <c r="HV108" s="1">
        <v>0</v>
      </c>
      <c r="HW108" s="1">
        <v>0</v>
      </c>
      <c r="HX108" s="1">
        <v>0</v>
      </c>
      <c r="HY108" s="1">
        <v>0</v>
      </c>
      <c r="HZ108" s="1">
        <v>0</v>
      </c>
      <c r="IA108" s="1">
        <v>107.54</v>
      </c>
      <c r="IB108" s="1">
        <v>0</v>
      </c>
      <c r="IC108" s="1">
        <v>0</v>
      </c>
      <c r="ID108" s="1">
        <v>347.23</v>
      </c>
      <c r="IE108" s="1">
        <v>941.29</v>
      </c>
      <c r="IF108" s="1">
        <v>64.12</v>
      </c>
      <c r="IG108" s="1">
        <v>0</v>
      </c>
      <c r="IH108" s="1">
        <v>0</v>
      </c>
      <c r="II108" s="1">
        <v>11.05</v>
      </c>
      <c r="IJ108" s="1">
        <v>39.799999999999997</v>
      </c>
      <c r="IK108" s="1">
        <v>0</v>
      </c>
      <c r="IL108" s="1">
        <v>0</v>
      </c>
      <c r="IM108" s="1">
        <v>0</v>
      </c>
      <c r="IN108" s="1">
        <v>0</v>
      </c>
      <c r="IO108" s="1">
        <v>45.85</v>
      </c>
      <c r="IP108" s="1">
        <v>39.29</v>
      </c>
      <c r="IQ108" s="1">
        <v>9.49</v>
      </c>
      <c r="IR108" s="1">
        <v>4.1999999999999993</v>
      </c>
      <c r="IS108" s="1">
        <v>45.85</v>
      </c>
      <c r="IT108" s="1">
        <v>39.29</v>
      </c>
      <c r="IU108" s="1">
        <v>9.49</v>
      </c>
      <c r="IV108" s="1">
        <v>4.1999999999999993</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0</v>
      </c>
      <c r="JO108" s="1">
        <v>0</v>
      </c>
      <c r="JP108" s="1">
        <v>0</v>
      </c>
      <c r="JQ108" s="9"/>
      <c r="JR108" s="1">
        <f t="shared" si="25"/>
        <v>7969.9895999999972</v>
      </c>
      <c r="JS108" s="1">
        <f t="shared" si="25"/>
        <v>7907.7248999999993</v>
      </c>
      <c r="JT108" s="1">
        <f t="shared" si="25"/>
        <v>7713.2870999999977</v>
      </c>
      <c r="JU108" s="1">
        <f t="shared" si="25"/>
        <v>7031.8043999999991</v>
      </c>
      <c r="JV108" s="1">
        <f t="shared" si="26"/>
        <v>1475.9239999999995</v>
      </c>
      <c r="JW108" s="1">
        <f t="shared" si="26"/>
        <v>1464.3934999999999</v>
      </c>
      <c r="JX108" s="1">
        <f t="shared" si="26"/>
        <v>1428.3864999999996</v>
      </c>
      <c r="JY108" s="1">
        <f t="shared" si="26"/>
        <v>1302.1859999999997</v>
      </c>
    </row>
    <row r="109" spans="1:285" x14ac:dyDescent="0.35">
      <c r="A109" s="2" t="s">
        <v>116</v>
      </c>
      <c r="B109" s="1">
        <v>92415</v>
      </c>
      <c r="C109" s="1">
        <v>93428</v>
      </c>
      <c r="D109" s="1">
        <v>94447</v>
      </c>
      <c r="E109" s="1">
        <v>96429</v>
      </c>
      <c r="F109" s="1">
        <v>28779.113000000001</v>
      </c>
      <c r="G109" s="1">
        <v>27381.16</v>
      </c>
      <c r="H109" s="1">
        <v>25377.441999999999</v>
      </c>
      <c r="I109" s="1">
        <v>25991.215</v>
      </c>
      <c r="J109" s="1">
        <f t="shared" si="27"/>
        <v>17959.801999999996</v>
      </c>
      <c r="K109" s="1">
        <f t="shared" si="28"/>
        <v>16116.38</v>
      </c>
      <c r="L109" s="1">
        <f t="shared" si="29"/>
        <v>15616.182999999999</v>
      </c>
      <c r="M109" s="1">
        <f t="shared" si="30"/>
        <v>16779.589999999997</v>
      </c>
      <c r="N109" s="1">
        <f t="shared" si="31"/>
        <v>10819.311000000005</v>
      </c>
      <c r="O109" s="1">
        <f t="shared" si="32"/>
        <v>11264.78</v>
      </c>
      <c r="P109" s="1">
        <f t="shared" si="33"/>
        <v>9761.259</v>
      </c>
      <c r="Q109" s="1">
        <f t="shared" si="34"/>
        <v>9211.6250000000036</v>
      </c>
      <c r="R109" s="1">
        <v>3209.82</v>
      </c>
      <c r="S109" s="1">
        <v>2588.94</v>
      </c>
      <c r="T109" s="1">
        <v>2648.34</v>
      </c>
      <c r="U109" s="1">
        <v>3513.62</v>
      </c>
      <c r="V109" s="1">
        <v>0</v>
      </c>
      <c r="W109" s="1">
        <v>0</v>
      </c>
      <c r="X109" s="1">
        <v>3209.82</v>
      </c>
      <c r="Y109" s="1">
        <v>0</v>
      </c>
      <c r="Z109" s="1">
        <v>0</v>
      </c>
      <c r="AA109" s="1">
        <v>2588.94</v>
      </c>
      <c r="AB109" s="1">
        <v>0</v>
      </c>
      <c r="AC109" s="1">
        <v>0</v>
      </c>
      <c r="AD109" s="1">
        <v>2648.34</v>
      </c>
      <c r="AE109" s="1">
        <v>0</v>
      </c>
      <c r="AF109" s="1">
        <v>0</v>
      </c>
      <c r="AG109" s="1">
        <v>3513.62</v>
      </c>
      <c r="AH109" s="1">
        <v>0</v>
      </c>
      <c r="AI109" s="1">
        <v>0</v>
      </c>
      <c r="AJ109" s="1">
        <v>0</v>
      </c>
      <c r="AK109" s="1">
        <v>0</v>
      </c>
      <c r="AL109" s="1">
        <v>0</v>
      </c>
      <c r="AM109" s="1">
        <v>0</v>
      </c>
      <c r="AN109" s="1">
        <v>0</v>
      </c>
      <c r="AO109" s="1">
        <v>0</v>
      </c>
      <c r="AP109" s="1">
        <v>731.64</v>
      </c>
      <c r="AQ109" s="1">
        <v>1112.8800000000001</v>
      </c>
      <c r="AR109" s="1">
        <v>899.43999999999994</v>
      </c>
      <c r="AS109" s="1">
        <v>1157.94</v>
      </c>
      <c r="AT109" s="1">
        <v>731.64</v>
      </c>
      <c r="AU109" s="1">
        <v>0</v>
      </c>
      <c r="AV109" s="1">
        <v>0</v>
      </c>
      <c r="AW109" s="1">
        <v>0</v>
      </c>
      <c r="AX109" s="1">
        <v>1112.8800000000001</v>
      </c>
      <c r="AY109" s="1">
        <v>0</v>
      </c>
      <c r="AZ109" s="1">
        <v>0</v>
      </c>
      <c r="BA109" s="1">
        <v>0</v>
      </c>
      <c r="BB109" s="1">
        <v>899.43999999999994</v>
      </c>
      <c r="BC109" s="1">
        <v>0</v>
      </c>
      <c r="BD109" s="1">
        <v>0</v>
      </c>
      <c r="BE109" s="1">
        <v>1157.94</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9272.2160000000003</v>
      </c>
      <c r="BV109" s="1">
        <v>8667.7659999999996</v>
      </c>
      <c r="BW109" s="1">
        <v>8125.9979999999996</v>
      </c>
      <c r="BX109" s="1">
        <v>7706.0569999999998</v>
      </c>
      <c r="BY109" s="1">
        <v>9272.2160000000003</v>
      </c>
      <c r="BZ109" s="1">
        <v>8667.7659999999996</v>
      </c>
      <c r="CA109" s="1">
        <v>8125.9979999999996</v>
      </c>
      <c r="CB109" s="1">
        <v>7706.0569999999998</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966.52800000000002</v>
      </c>
      <c r="CT109" s="1">
        <v>518.20299999999997</v>
      </c>
      <c r="CU109" s="1">
        <v>718.89800000000002</v>
      </c>
      <c r="CV109" s="1">
        <v>961.2589999999999</v>
      </c>
      <c r="CW109" s="1">
        <v>966.52800000000002</v>
      </c>
      <c r="CX109" s="1">
        <v>518.20299999999997</v>
      </c>
      <c r="CY109" s="1">
        <v>718.89800000000002</v>
      </c>
      <c r="CZ109" s="1">
        <v>961.2589999999999</v>
      </c>
      <c r="DA109" s="1">
        <v>0</v>
      </c>
      <c r="DB109" s="1">
        <v>0</v>
      </c>
      <c r="DC109" s="1">
        <v>0</v>
      </c>
      <c r="DD109" s="1">
        <v>0</v>
      </c>
      <c r="DE109" s="1">
        <v>0</v>
      </c>
      <c r="DF109" s="1">
        <v>0</v>
      </c>
      <c r="DG109" s="1">
        <v>0</v>
      </c>
      <c r="DH109" s="1">
        <v>0</v>
      </c>
      <c r="DI109" s="1">
        <v>0</v>
      </c>
      <c r="DJ109" s="1">
        <v>0</v>
      </c>
      <c r="DK109" s="1">
        <v>0</v>
      </c>
      <c r="DL109" s="1">
        <v>0</v>
      </c>
      <c r="DM109" s="1">
        <v>2228.0210000000002</v>
      </c>
      <c r="DN109" s="1">
        <v>2093.7269999999999</v>
      </c>
      <c r="DO109" s="1">
        <v>2131.27</v>
      </c>
      <c r="DP109" s="1">
        <v>2048.4560000000001</v>
      </c>
      <c r="DQ109" s="1">
        <v>2228.0210000000002</v>
      </c>
      <c r="DR109" s="1">
        <v>2093.7269999999999</v>
      </c>
      <c r="DS109" s="1">
        <v>2131.27</v>
      </c>
      <c r="DT109" s="1">
        <v>2048.4560000000001</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639.41100000000006</v>
      </c>
      <c r="EL109" s="1">
        <v>374.06200000000001</v>
      </c>
      <c r="EM109" s="1">
        <v>394.26499999999999</v>
      </c>
      <c r="EN109" s="1">
        <v>553.428</v>
      </c>
      <c r="EO109" s="1">
        <v>639.41100000000006</v>
      </c>
      <c r="EP109" s="1">
        <v>374.06200000000001</v>
      </c>
      <c r="EQ109" s="1">
        <v>394.26499999999999</v>
      </c>
      <c r="ER109" s="1">
        <v>553.428</v>
      </c>
      <c r="ES109" s="1">
        <v>0</v>
      </c>
      <c r="ET109" s="1">
        <v>0</v>
      </c>
      <c r="EU109" s="1">
        <v>0</v>
      </c>
      <c r="EV109" s="1">
        <v>0</v>
      </c>
      <c r="EW109" s="1">
        <v>0</v>
      </c>
      <c r="EX109" s="1">
        <v>0</v>
      </c>
      <c r="EY109" s="1">
        <v>0</v>
      </c>
      <c r="EZ109" s="1">
        <v>0</v>
      </c>
      <c r="FA109" s="1">
        <v>0</v>
      </c>
      <c r="FB109" s="1">
        <v>0</v>
      </c>
      <c r="FC109" s="1">
        <v>0</v>
      </c>
      <c r="FD109" s="1">
        <v>0</v>
      </c>
      <c r="FE109" s="1">
        <v>111.40600000000001</v>
      </c>
      <c r="FF109" s="1">
        <v>147.90899999999999</v>
      </c>
      <c r="FG109" s="1">
        <v>94.669000000000011</v>
      </c>
      <c r="FH109" s="1">
        <v>97.462999999999994</v>
      </c>
      <c r="FI109" s="1">
        <v>111.40600000000001</v>
      </c>
      <c r="FJ109" s="1">
        <v>147.90899999999999</v>
      </c>
      <c r="FK109" s="1">
        <v>94.669000000000011</v>
      </c>
      <c r="FL109" s="1">
        <v>97.462999999999994</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313.82</v>
      </c>
      <c r="GD109" s="1">
        <v>152.45599999999999</v>
      </c>
      <c r="GE109" s="1">
        <v>197.15299999999999</v>
      </c>
      <c r="GF109" s="1">
        <v>251.99700000000001</v>
      </c>
      <c r="GG109" s="1">
        <v>313.82</v>
      </c>
      <c r="GH109" s="1">
        <v>152.45599999999999</v>
      </c>
      <c r="GI109" s="1">
        <v>197.15299999999999</v>
      </c>
      <c r="GJ109" s="1">
        <v>251.99700000000001</v>
      </c>
      <c r="GK109" s="1">
        <v>0</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486.94</v>
      </c>
      <c r="IP109" s="1">
        <v>460.43700000000001</v>
      </c>
      <c r="IQ109" s="1">
        <v>406.15</v>
      </c>
      <c r="IR109" s="1">
        <v>489.37</v>
      </c>
      <c r="IS109" s="1">
        <v>486.94</v>
      </c>
      <c r="IT109" s="1">
        <v>460.43700000000001</v>
      </c>
      <c r="IU109" s="1">
        <v>406.15</v>
      </c>
      <c r="IV109" s="1">
        <v>489.37</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0</v>
      </c>
      <c r="JO109" s="1">
        <v>0</v>
      </c>
      <c r="JP109" s="1">
        <v>0</v>
      </c>
      <c r="JQ109" s="9"/>
      <c r="JR109" s="1">
        <f t="shared" si="25"/>
        <v>2921.2139700000016</v>
      </c>
      <c r="JS109" s="1">
        <f t="shared" si="25"/>
        <v>3041.4906000000005</v>
      </c>
      <c r="JT109" s="1">
        <f t="shared" si="25"/>
        <v>2635.5399300000004</v>
      </c>
      <c r="JU109" s="1">
        <f t="shared" si="25"/>
        <v>2487.138750000001</v>
      </c>
      <c r="JV109" s="1">
        <f t="shared" si="26"/>
        <v>540.96555000000023</v>
      </c>
      <c r="JW109" s="1">
        <f t="shared" si="26"/>
        <v>563.23900000000003</v>
      </c>
      <c r="JX109" s="1">
        <f t="shared" si="26"/>
        <v>488.06295</v>
      </c>
      <c r="JY109" s="1">
        <f t="shared" si="26"/>
        <v>460.58125000000018</v>
      </c>
    </row>
    <row r="110" spans="1:285" x14ac:dyDescent="0.35">
      <c r="A110" s="2" t="s">
        <v>117</v>
      </c>
      <c r="B110" s="1">
        <v>262281</v>
      </c>
      <c r="C110" s="1">
        <v>261159</v>
      </c>
      <c r="D110" s="1">
        <v>261798</v>
      </c>
      <c r="E110" s="1">
        <v>266891</v>
      </c>
      <c r="F110" s="1">
        <v>81664.679000000004</v>
      </c>
      <c r="G110" s="1">
        <v>78943.989000000001</v>
      </c>
      <c r="H110" s="1">
        <v>63815.832999999999</v>
      </c>
      <c r="I110" s="1">
        <v>70739.468999999997</v>
      </c>
      <c r="J110" s="1">
        <f t="shared" si="27"/>
        <v>60235.644999999997</v>
      </c>
      <c r="K110" s="1">
        <f t="shared" si="28"/>
        <v>58426.838999999993</v>
      </c>
      <c r="L110" s="1">
        <f t="shared" si="29"/>
        <v>43408.578999999998</v>
      </c>
      <c r="M110" s="1">
        <f t="shared" si="30"/>
        <v>49300.341999999997</v>
      </c>
      <c r="N110" s="1">
        <f t="shared" si="31"/>
        <v>21429.034000000007</v>
      </c>
      <c r="O110" s="1">
        <f t="shared" si="32"/>
        <v>20517.150000000009</v>
      </c>
      <c r="P110" s="1">
        <f t="shared" si="33"/>
        <v>20407.254000000001</v>
      </c>
      <c r="Q110" s="1">
        <f t="shared" si="34"/>
        <v>21439.127</v>
      </c>
      <c r="R110" s="1">
        <v>7283.61</v>
      </c>
      <c r="S110" s="1">
        <v>6597.4</v>
      </c>
      <c r="T110" s="1">
        <v>5886.7</v>
      </c>
      <c r="U110" s="1">
        <v>5724.08</v>
      </c>
      <c r="V110" s="1">
        <v>0</v>
      </c>
      <c r="W110" s="1">
        <v>0</v>
      </c>
      <c r="X110" s="1">
        <v>7283.61</v>
      </c>
      <c r="Y110" s="1">
        <v>0</v>
      </c>
      <c r="Z110" s="1">
        <v>0</v>
      </c>
      <c r="AA110" s="1">
        <v>6597.4</v>
      </c>
      <c r="AB110" s="1">
        <v>0</v>
      </c>
      <c r="AC110" s="1">
        <v>0</v>
      </c>
      <c r="AD110" s="1">
        <v>5886.7</v>
      </c>
      <c r="AE110" s="1">
        <v>0</v>
      </c>
      <c r="AF110" s="1">
        <v>0</v>
      </c>
      <c r="AG110" s="1">
        <v>5724.08</v>
      </c>
      <c r="AH110" s="1">
        <v>0</v>
      </c>
      <c r="AI110" s="1">
        <v>0</v>
      </c>
      <c r="AJ110" s="1">
        <v>0</v>
      </c>
      <c r="AK110" s="1">
        <v>0</v>
      </c>
      <c r="AL110" s="1">
        <v>0</v>
      </c>
      <c r="AM110" s="1">
        <v>0</v>
      </c>
      <c r="AN110" s="1">
        <v>0</v>
      </c>
      <c r="AO110" s="1">
        <v>0</v>
      </c>
      <c r="AP110" s="1">
        <v>7952.3799999999992</v>
      </c>
      <c r="AQ110" s="1">
        <v>10003.83</v>
      </c>
      <c r="AR110" s="1">
        <v>8605.34</v>
      </c>
      <c r="AS110" s="1">
        <v>9606.1</v>
      </c>
      <c r="AT110" s="1">
        <v>7952.3799999999992</v>
      </c>
      <c r="AU110" s="1">
        <v>0</v>
      </c>
      <c r="AV110" s="1">
        <v>0</v>
      </c>
      <c r="AW110" s="1">
        <v>0</v>
      </c>
      <c r="AX110" s="1">
        <v>10003.83</v>
      </c>
      <c r="AY110" s="1">
        <v>0</v>
      </c>
      <c r="AZ110" s="1">
        <v>0</v>
      </c>
      <c r="BA110" s="1">
        <v>0</v>
      </c>
      <c r="BB110" s="1">
        <v>8605.34</v>
      </c>
      <c r="BC110" s="1">
        <v>0</v>
      </c>
      <c r="BD110" s="1">
        <v>0</v>
      </c>
      <c r="BE110" s="1">
        <v>9606.1</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29614.61</v>
      </c>
      <c r="BV110" s="1">
        <v>28328.27</v>
      </c>
      <c r="BW110" s="1">
        <v>18271.84</v>
      </c>
      <c r="BX110" s="1">
        <v>19219.150000000001</v>
      </c>
      <c r="BY110" s="1">
        <v>29614.61</v>
      </c>
      <c r="BZ110" s="1">
        <v>28328.27</v>
      </c>
      <c r="CA110" s="1">
        <v>18271.84</v>
      </c>
      <c r="CB110" s="1">
        <v>19219.150000000001</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8029.0099999999993</v>
      </c>
      <c r="CT110" s="1">
        <v>4997.88</v>
      </c>
      <c r="CU110" s="1">
        <v>2917.33</v>
      </c>
      <c r="CV110" s="1">
        <v>2671.85</v>
      </c>
      <c r="CW110" s="1">
        <v>8029.0099999999993</v>
      </c>
      <c r="CX110" s="1">
        <v>4997.88</v>
      </c>
      <c r="CY110" s="1">
        <v>2917.33</v>
      </c>
      <c r="CZ110" s="1">
        <v>2671.85</v>
      </c>
      <c r="DA110" s="1">
        <v>0</v>
      </c>
      <c r="DB110" s="1">
        <v>0</v>
      </c>
      <c r="DC110" s="1">
        <v>0</v>
      </c>
      <c r="DD110" s="1">
        <v>0</v>
      </c>
      <c r="DE110" s="1">
        <v>0</v>
      </c>
      <c r="DF110" s="1">
        <v>0</v>
      </c>
      <c r="DG110" s="1">
        <v>0</v>
      </c>
      <c r="DH110" s="1">
        <v>0</v>
      </c>
      <c r="DI110" s="1">
        <v>0</v>
      </c>
      <c r="DJ110" s="1">
        <v>0</v>
      </c>
      <c r="DK110" s="1">
        <v>0</v>
      </c>
      <c r="DL110" s="1">
        <v>0</v>
      </c>
      <c r="DM110" s="1">
        <v>3217.32</v>
      </c>
      <c r="DN110" s="1">
        <v>4243.7</v>
      </c>
      <c r="DO110" s="1">
        <v>3818.57</v>
      </c>
      <c r="DP110" s="1">
        <v>3513.36</v>
      </c>
      <c r="DQ110" s="1">
        <v>3217.32</v>
      </c>
      <c r="DR110" s="1">
        <v>4243.7</v>
      </c>
      <c r="DS110" s="1">
        <v>3818.57</v>
      </c>
      <c r="DT110" s="1">
        <v>3513.36</v>
      </c>
      <c r="DU110" s="1">
        <v>0</v>
      </c>
      <c r="DV110" s="1">
        <v>0</v>
      </c>
      <c r="DW110" s="1">
        <v>0</v>
      </c>
      <c r="DX110" s="1">
        <v>0</v>
      </c>
      <c r="DY110" s="1">
        <v>0</v>
      </c>
      <c r="DZ110" s="1">
        <v>0</v>
      </c>
      <c r="EA110" s="1">
        <v>0</v>
      </c>
      <c r="EB110" s="1">
        <v>0</v>
      </c>
      <c r="EC110" s="1">
        <v>0</v>
      </c>
      <c r="ED110" s="1">
        <v>0</v>
      </c>
      <c r="EE110" s="1">
        <v>0</v>
      </c>
      <c r="EF110" s="1">
        <v>0</v>
      </c>
      <c r="EG110" s="1">
        <v>0</v>
      </c>
      <c r="EH110" s="1">
        <v>0</v>
      </c>
      <c r="EI110" s="1">
        <v>0</v>
      </c>
      <c r="EJ110" s="1">
        <v>0</v>
      </c>
      <c r="EK110" s="1">
        <v>2697.14</v>
      </c>
      <c r="EL110" s="1">
        <v>2421.12</v>
      </c>
      <c r="EM110" s="1">
        <v>2406.19</v>
      </c>
      <c r="EN110" s="1">
        <v>6930.67</v>
      </c>
      <c r="EO110" s="1">
        <v>2697.14</v>
      </c>
      <c r="EP110" s="1">
        <v>2421.12</v>
      </c>
      <c r="EQ110" s="1">
        <v>2406.19</v>
      </c>
      <c r="ER110" s="1">
        <v>6930.67</v>
      </c>
      <c r="ES110" s="1">
        <v>0</v>
      </c>
      <c r="ET110" s="1">
        <v>0</v>
      </c>
      <c r="EU110" s="1">
        <v>0</v>
      </c>
      <c r="EV110" s="1">
        <v>0</v>
      </c>
      <c r="EW110" s="1">
        <v>0</v>
      </c>
      <c r="EX110" s="1">
        <v>0</v>
      </c>
      <c r="EY110" s="1">
        <v>0</v>
      </c>
      <c r="EZ110" s="1">
        <v>0</v>
      </c>
      <c r="FA110" s="1">
        <v>0</v>
      </c>
      <c r="FB110" s="1">
        <v>0</v>
      </c>
      <c r="FC110" s="1">
        <v>0</v>
      </c>
      <c r="FD110" s="1">
        <v>0</v>
      </c>
      <c r="FE110" s="1">
        <v>104.255</v>
      </c>
      <c r="FF110" s="1">
        <v>124.789</v>
      </c>
      <c r="FG110" s="1">
        <v>110.009</v>
      </c>
      <c r="FH110" s="1">
        <v>105.27200000000001</v>
      </c>
      <c r="FI110" s="1">
        <v>103.93300000000001</v>
      </c>
      <c r="FJ110" s="1">
        <v>124.363</v>
      </c>
      <c r="FK110" s="1">
        <v>109.441</v>
      </c>
      <c r="FL110" s="1">
        <v>104.70399999999999</v>
      </c>
      <c r="FM110" s="1">
        <v>0.32200000000000001</v>
      </c>
      <c r="FN110" s="1">
        <v>0.42599999999999988</v>
      </c>
      <c r="FO110" s="1">
        <v>0.56799999999999995</v>
      </c>
      <c r="FP110" s="1">
        <v>0.56799999999999995</v>
      </c>
      <c r="FQ110" s="1">
        <v>0</v>
      </c>
      <c r="FR110" s="1">
        <v>0</v>
      </c>
      <c r="FS110" s="1">
        <v>0</v>
      </c>
      <c r="FT110" s="1">
        <v>0</v>
      </c>
      <c r="FU110" s="1">
        <v>0</v>
      </c>
      <c r="FV110" s="1">
        <v>0</v>
      </c>
      <c r="FW110" s="1">
        <v>0</v>
      </c>
      <c r="FX110" s="1">
        <v>0</v>
      </c>
      <c r="FY110" s="1">
        <v>0</v>
      </c>
      <c r="FZ110" s="1">
        <v>0</v>
      </c>
      <c r="GA110" s="1">
        <v>0</v>
      </c>
      <c r="GB110" s="1">
        <v>0</v>
      </c>
      <c r="GC110" s="1">
        <v>1337.32</v>
      </c>
      <c r="GD110" s="1">
        <v>1709.85</v>
      </c>
      <c r="GE110" s="1">
        <v>1392.6</v>
      </c>
      <c r="GF110" s="1">
        <v>1529.86</v>
      </c>
      <c r="GG110" s="1">
        <v>1337.32</v>
      </c>
      <c r="GH110" s="1">
        <v>1709.85</v>
      </c>
      <c r="GI110" s="1">
        <v>1392.6</v>
      </c>
      <c r="GJ110" s="1">
        <v>1529.86</v>
      </c>
      <c r="GK110" s="1">
        <v>0</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0</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0</v>
      </c>
      <c r="JO110" s="1">
        <v>0</v>
      </c>
      <c r="JP110" s="1">
        <v>0</v>
      </c>
      <c r="JQ110" s="9"/>
      <c r="JR110" s="1">
        <f t="shared" si="25"/>
        <v>5785.8391800000027</v>
      </c>
      <c r="JS110" s="1">
        <f t="shared" si="25"/>
        <v>5539.6305000000029</v>
      </c>
      <c r="JT110" s="1">
        <f t="shared" si="25"/>
        <v>5509.9585800000004</v>
      </c>
      <c r="JU110" s="1">
        <f t="shared" si="25"/>
        <v>5788.5642900000003</v>
      </c>
      <c r="JV110" s="1">
        <f t="shared" si="26"/>
        <v>1071.4517000000003</v>
      </c>
      <c r="JW110" s="1">
        <f t="shared" si="26"/>
        <v>1025.8575000000005</v>
      </c>
      <c r="JX110" s="1">
        <f t="shared" si="26"/>
        <v>1020.3627000000001</v>
      </c>
      <c r="JY110" s="1">
        <f t="shared" si="26"/>
        <v>1071.9563500000002</v>
      </c>
    </row>
    <row r="111" spans="1:285" x14ac:dyDescent="0.35">
      <c r="A111" s="2" t="s">
        <v>118</v>
      </c>
      <c r="B111" s="1">
        <v>98299</v>
      </c>
      <c r="C111" s="1">
        <v>100262</v>
      </c>
      <c r="D111" s="1">
        <v>100975</v>
      </c>
      <c r="E111" s="1">
        <v>102305</v>
      </c>
      <c r="F111" s="1">
        <v>33988.559000000001</v>
      </c>
      <c r="G111" s="1">
        <v>37438.83</v>
      </c>
      <c r="H111" s="1">
        <v>35781.89</v>
      </c>
      <c r="I111" s="1">
        <v>34973.660000000003</v>
      </c>
      <c r="J111" s="1">
        <f t="shared" si="27"/>
        <v>22403.279000000006</v>
      </c>
      <c r="K111" s="1">
        <f t="shared" si="28"/>
        <v>25392.57</v>
      </c>
      <c r="L111" s="1">
        <f t="shared" si="29"/>
        <v>23776.229999999996</v>
      </c>
      <c r="M111" s="1">
        <f t="shared" si="30"/>
        <v>23443.089999999997</v>
      </c>
      <c r="N111" s="1">
        <f t="shared" si="31"/>
        <v>11585.279999999995</v>
      </c>
      <c r="O111" s="1">
        <f t="shared" si="32"/>
        <v>12046.260000000002</v>
      </c>
      <c r="P111" s="1">
        <f t="shared" si="33"/>
        <v>12005.660000000003</v>
      </c>
      <c r="Q111" s="1">
        <f t="shared" si="34"/>
        <v>11530.570000000007</v>
      </c>
      <c r="R111" s="1">
        <v>0</v>
      </c>
      <c r="S111" s="1">
        <v>0</v>
      </c>
      <c r="T111" s="1">
        <v>0</v>
      </c>
      <c r="U111" s="1">
        <v>0</v>
      </c>
      <c r="V111" s="1">
        <v>0</v>
      </c>
      <c r="W111" s="1">
        <v>0</v>
      </c>
      <c r="X111" s="1">
        <v>0</v>
      </c>
      <c r="Y111" s="1">
        <v>0</v>
      </c>
      <c r="Z111" s="1">
        <v>0</v>
      </c>
      <c r="AA111" s="1">
        <v>0</v>
      </c>
      <c r="AB111" s="1">
        <v>0</v>
      </c>
      <c r="AC111" s="1">
        <v>0</v>
      </c>
      <c r="AD111" s="1">
        <v>0</v>
      </c>
      <c r="AE111" s="1">
        <v>0</v>
      </c>
      <c r="AF111" s="1">
        <v>0</v>
      </c>
      <c r="AG111" s="1">
        <v>0</v>
      </c>
      <c r="AH111" s="1">
        <v>0</v>
      </c>
      <c r="AI111" s="1">
        <v>0</v>
      </c>
      <c r="AJ111" s="1">
        <v>0</v>
      </c>
      <c r="AK111" s="1">
        <v>0</v>
      </c>
      <c r="AL111" s="1">
        <v>0</v>
      </c>
      <c r="AM111" s="1">
        <v>0</v>
      </c>
      <c r="AN111" s="1">
        <v>0</v>
      </c>
      <c r="AO111" s="1">
        <v>0</v>
      </c>
      <c r="AP111" s="1">
        <v>4134.42</v>
      </c>
      <c r="AQ111" s="1">
        <v>4793.28</v>
      </c>
      <c r="AR111" s="1">
        <v>4934.55</v>
      </c>
      <c r="AS111" s="1">
        <v>5786.21</v>
      </c>
      <c r="AT111" s="1">
        <v>0</v>
      </c>
      <c r="AU111" s="1">
        <v>4134.42</v>
      </c>
      <c r="AV111" s="1">
        <v>0</v>
      </c>
      <c r="AW111" s="1">
        <v>0</v>
      </c>
      <c r="AX111" s="1">
        <v>0</v>
      </c>
      <c r="AY111" s="1">
        <v>4793.28</v>
      </c>
      <c r="AZ111" s="1">
        <v>0</v>
      </c>
      <c r="BA111" s="1">
        <v>0</v>
      </c>
      <c r="BB111" s="1">
        <v>0</v>
      </c>
      <c r="BC111" s="1">
        <v>4934.55</v>
      </c>
      <c r="BD111" s="1">
        <v>0</v>
      </c>
      <c r="BE111" s="1">
        <v>0</v>
      </c>
      <c r="BF111" s="1">
        <v>5786.21</v>
      </c>
      <c r="BG111" s="1">
        <v>0</v>
      </c>
      <c r="BH111" s="1">
        <v>0</v>
      </c>
      <c r="BI111" s="1">
        <v>0</v>
      </c>
      <c r="BJ111" s="1">
        <v>0</v>
      </c>
      <c r="BK111" s="1">
        <v>0</v>
      </c>
      <c r="BL111" s="1">
        <v>0</v>
      </c>
      <c r="BM111" s="1">
        <v>0</v>
      </c>
      <c r="BN111" s="1">
        <v>0</v>
      </c>
      <c r="BO111" s="1">
        <v>0</v>
      </c>
      <c r="BP111" s="1">
        <v>0</v>
      </c>
      <c r="BQ111" s="1">
        <v>0</v>
      </c>
      <c r="BR111" s="1">
        <v>0</v>
      </c>
      <c r="BS111" s="1">
        <v>0</v>
      </c>
      <c r="BT111" s="1">
        <v>0</v>
      </c>
      <c r="BU111" s="1">
        <v>8597.0630000000001</v>
      </c>
      <c r="BV111" s="1">
        <v>11229.88</v>
      </c>
      <c r="BW111" s="1">
        <v>9534.2099999999991</v>
      </c>
      <c r="BX111" s="1">
        <v>8581.39</v>
      </c>
      <c r="BY111" s="1">
        <v>8597.0630000000001</v>
      </c>
      <c r="BZ111" s="1">
        <v>11229.88</v>
      </c>
      <c r="CA111" s="1">
        <v>9534.2099999999991</v>
      </c>
      <c r="CB111" s="1">
        <v>8581.39</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1148.5150000000001</v>
      </c>
      <c r="CT111" s="1">
        <v>1191.43</v>
      </c>
      <c r="CU111" s="1">
        <v>1047.4100000000001</v>
      </c>
      <c r="CV111" s="1">
        <v>1032.3900000000001</v>
      </c>
      <c r="CW111" s="1">
        <v>1135.895</v>
      </c>
      <c r="CX111" s="1">
        <v>1189.8599999999999</v>
      </c>
      <c r="CY111" s="1">
        <v>972.42000000000007</v>
      </c>
      <c r="CZ111" s="1">
        <v>927.97</v>
      </c>
      <c r="DA111" s="1">
        <v>0</v>
      </c>
      <c r="DB111" s="1">
        <v>0</v>
      </c>
      <c r="DC111" s="1">
        <v>0</v>
      </c>
      <c r="DD111" s="1">
        <v>0</v>
      </c>
      <c r="DE111" s="1">
        <v>0</v>
      </c>
      <c r="DF111" s="1">
        <v>0</v>
      </c>
      <c r="DG111" s="1">
        <v>0</v>
      </c>
      <c r="DH111" s="1">
        <v>0</v>
      </c>
      <c r="DI111" s="1">
        <v>12.62</v>
      </c>
      <c r="DJ111" s="1">
        <v>1.57</v>
      </c>
      <c r="DK111" s="1">
        <v>74.990000000000009</v>
      </c>
      <c r="DL111" s="1">
        <v>104.42</v>
      </c>
      <c r="DM111" s="1">
        <v>6861.9400000000014</v>
      </c>
      <c r="DN111" s="1">
        <v>6721.04</v>
      </c>
      <c r="DO111" s="1">
        <v>6010.94</v>
      </c>
      <c r="DP111" s="1">
        <v>5596.58</v>
      </c>
      <c r="DQ111" s="1">
        <v>6861.9400000000014</v>
      </c>
      <c r="DR111" s="1">
        <v>6721.04</v>
      </c>
      <c r="DS111" s="1">
        <v>6010.94</v>
      </c>
      <c r="DT111" s="1">
        <v>5596.58</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401.38099999999997</v>
      </c>
      <c r="EL111" s="1">
        <v>392.6</v>
      </c>
      <c r="EM111" s="1">
        <v>903.17</v>
      </c>
      <c r="EN111" s="1">
        <v>349.55</v>
      </c>
      <c r="EO111" s="1">
        <v>401.38099999999997</v>
      </c>
      <c r="EP111" s="1">
        <v>392.6</v>
      </c>
      <c r="EQ111" s="1">
        <v>903.17</v>
      </c>
      <c r="ER111" s="1">
        <v>349.55</v>
      </c>
      <c r="ES111" s="1">
        <v>0</v>
      </c>
      <c r="ET111" s="1">
        <v>0</v>
      </c>
      <c r="EU111" s="1">
        <v>0</v>
      </c>
      <c r="EV111" s="1">
        <v>0</v>
      </c>
      <c r="EW111" s="1">
        <v>0</v>
      </c>
      <c r="EX111" s="1">
        <v>0</v>
      </c>
      <c r="EY111" s="1">
        <v>0</v>
      </c>
      <c r="EZ111" s="1">
        <v>0</v>
      </c>
      <c r="FA111" s="1">
        <v>0</v>
      </c>
      <c r="FB111" s="1">
        <v>0</v>
      </c>
      <c r="FC111" s="1">
        <v>0</v>
      </c>
      <c r="FD111" s="1">
        <v>0</v>
      </c>
      <c r="FE111" s="1">
        <v>313.47000000000003</v>
      </c>
      <c r="FF111" s="1">
        <v>260.93</v>
      </c>
      <c r="FG111" s="1">
        <v>325.39</v>
      </c>
      <c r="FH111" s="1">
        <v>266.75</v>
      </c>
      <c r="FI111" s="1">
        <v>313.47000000000003</v>
      </c>
      <c r="FJ111" s="1">
        <v>260.93</v>
      </c>
      <c r="FK111" s="1">
        <v>325.39</v>
      </c>
      <c r="FL111" s="1">
        <v>266.75</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101.81</v>
      </c>
      <c r="GD111" s="1">
        <v>61.28</v>
      </c>
      <c r="GE111" s="1">
        <v>61.64</v>
      </c>
      <c r="GF111" s="1">
        <v>64.39</v>
      </c>
      <c r="GG111" s="1">
        <v>71.589999999999989</v>
      </c>
      <c r="GH111" s="1">
        <v>26.7</v>
      </c>
      <c r="GI111" s="1">
        <v>39.619999999999997</v>
      </c>
      <c r="GJ111" s="1">
        <v>35.39</v>
      </c>
      <c r="GK111" s="1">
        <v>30.22</v>
      </c>
      <c r="GL111" s="1">
        <v>34.58</v>
      </c>
      <c r="GM111" s="1">
        <v>22.02</v>
      </c>
      <c r="GN111" s="1">
        <v>29</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0</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844.68</v>
      </c>
      <c r="IP111" s="1">
        <v>742.13</v>
      </c>
      <c r="IQ111" s="1">
        <v>958.92000000000007</v>
      </c>
      <c r="IR111" s="1">
        <v>1765.83</v>
      </c>
      <c r="IS111" s="1">
        <v>844.68</v>
      </c>
      <c r="IT111" s="1">
        <v>742.13</v>
      </c>
      <c r="IU111" s="1">
        <v>958.92000000000007</v>
      </c>
      <c r="IV111" s="1">
        <v>1765.83</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0</v>
      </c>
      <c r="JO111" s="1">
        <v>0</v>
      </c>
      <c r="JP111" s="1">
        <v>0</v>
      </c>
      <c r="JQ111" s="9"/>
      <c r="JR111" s="1">
        <f t="shared" si="25"/>
        <v>3128.025599999999</v>
      </c>
      <c r="JS111" s="1">
        <f t="shared" si="25"/>
        <v>3252.4902000000006</v>
      </c>
      <c r="JT111" s="1">
        <f t="shared" si="25"/>
        <v>3241.5282000000011</v>
      </c>
      <c r="JU111" s="1">
        <f t="shared" si="25"/>
        <v>3113.253900000002</v>
      </c>
      <c r="JV111" s="1">
        <f t="shared" si="26"/>
        <v>579.26399999999978</v>
      </c>
      <c r="JW111" s="1">
        <f t="shared" si="26"/>
        <v>602.3130000000001</v>
      </c>
      <c r="JX111" s="1">
        <f t="shared" si="26"/>
        <v>600.28300000000024</v>
      </c>
      <c r="JY111" s="1">
        <f t="shared" si="26"/>
        <v>576.52850000000035</v>
      </c>
    </row>
    <row r="112" spans="1:285" x14ac:dyDescent="0.35">
      <c r="A112" s="2" t="s">
        <v>119</v>
      </c>
      <c r="B112" s="1">
        <v>92202</v>
      </c>
      <c r="C112" s="1">
        <v>92575</v>
      </c>
      <c r="D112" s="1">
        <v>94161</v>
      </c>
      <c r="E112" s="1">
        <v>95942</v>
      </c>
      <c r="F112" s="1">
        <v>92732.235000000001</v>
      </c>
      <c r="G112" s="1">
        <v>121744.62699999999</v>
      </c>
      <c r="H112" s="1">
        <v>90978.667000000001</v>
      </c>
      <c r="I112" s="1">
        <v>92228.739999999991</v>
      </c>
      <c r="J112" s="1">
        <f t="shared" si="27"/>
        <v>21922.95</v>
      </c>
      <c r="K112" s="1">
        <f t="shared" si="28"/>
        <v>46572.070000000014</v>
      </c>
      <c r="L112" s="1">
        <f t="shared" si="29"/>
        <v>24240.593000000004</v>
      </c>
      <c r="M112" s="1">
        <f t="shared" si="30"/>
        <v>21208.83</v>
      </c>
      <c r="N112" s="1">
        <f t="shared" si="31"/>
        <v>70809.285000000003</v>
      </c>
      <c r="O112" s="1">
        <f t="shared" si="32"/>
        <v>75172.556999999972</v>
      </c>
      <c r="P112" s="1">
        <f t="shared" si="33"/>
        <v>66738.073999999993</v>
      </c>
      <c r="Q112" s="1">
        <f t="shared" si="34"/>
        <v>71019.909999999989</v>
      </c>
      <c r="R112" s="1">
        <v>0</v>
      </c>
      <c r="S112" s="1">
        <v>0</v>
      </c>
      <c r="T112" s="1">
        <v>0</v>
      </c>
      <c r="U112" s="1">
        <v>0</v>
      </c>
      <c r="V112" s="1">
        <v>0</v>
      </c>
      <c r="W112" s="1">
        <v>0</v>
      </c>
      <c r="X112" s="1">
        <v>0</v>
      </c>
      <c r="Y112" s="1">
        <v>0</v>
      </c>
      <c r="Z112" s="1">
        <v>0</v>
      </c>
      <c r="AA112" s="1">
        <v>0</v>
      </c>
      <c r="AB112" s="1">
        <v>0</v>
      </c>
      <c r="AC112" s="1">
        <v>0</v>
      </c>
      <c r="AD112" s="1">
        <v>0</v>
      </c>
      <c r="AE112" s="1">
        <v>0</v>
      </c>
      <c r="AF112" s="1">
        <v>0</v>
      </c>
      <c r="AG112" s="1">
        <v>0</v>
      </c>
      <c r="AH112" s="1">
        <v>0</v>
      </c>
      <c r="AI112" s="1">
        <v>0</v>
      </c>
      <c r="AJ112" s="1">
        <v>0</v>
      </c>
      <c r="AK112" s="1">
        <v>0</v>
      </c>
      <c r="AL112" s="1">
        <v>0</v>
      </c>
      <c r="AM112" s="1">
        <v>0</v>
      </c>
      <c r="AN112" s="1">
        <v>0</v>
      </c>
      <c r="AO112" s="1">
        <v>0</v>
      </c>
      <c r="AP112" s="1">
        <v>4011.98</v>
      </c>
      <c r="AQ112" s="1">
        <v>4899.12</v>
      </c>
      <c r="AR112" s="1">
        <v>4055.52</v>
      </c>
      <c r="AS112" s="1">
        <v>3113.21</v>
      </c>
      <c r="AT112" s="1">
        <v>0</v>
      </c>
      <c r="AU112" s="1">
        <v>4011.98</v>
      </c>
      <c r="AV112" s="1">
        <v>0</v>
      </c>
      <c r="AW112" s="1">
        <v>0</v>
      </c>
      <c r="AX112" s="1">
        <v>0</v>
      </c>
      <c r="AY112" s="1">
        <v>4899.12</v>
      </c>
      <c r="AZ112" s="1">
        <v>0</v>
      </c>
      <c r="BA112" s="1">
        <v>0</v>
      </c>
      <c r="BB112" s="1">
        <v>0</v>
      </c>
      <c r="BC112" s="1">
        <v>4055.52</v>
      </c>
      <c r="BD112" s="1">
        <v>0</v>
      </c>
      <c r="BE112" s="1">
        <v>0</v>
      </c>
      <c r="BF112" s="1">
        <v>3113.21</v>
      </c>
      <c r="BG112" s="1">
        <v>0</v>
      </c>
      <c r="BH112" s="1">
        <v>0</v>
      </c>
      <c r="BI112" s="1">
        <v>0</v>
      </c>
      <c r="BJ112" s="1">
        <v>0</v>
      </c>
      <c r="BK112" s="1">
        <v>0</v>
      </c>
      <c r="BL112" s="1">
        <v>0</v>
      </c>
      <c r="BM112" s="1">
        <v>0</v>
      </c>
      <c r="BN112" s="1">
        <v>0</v>
      </c>
      <c r="BO112" s="1">
        <v>0</v>
      </c>
      <c r="BP112" s="1">
        <v>0</v>
      </c>
      <c r="BQ112" s="1">
        <v>0</v>
      </c>
      <c r="BR112" s="1">
        <v>0</v>
      </c>
      <c r="BS112" s="1">
        <v>0</v>
      </c>
      <c r="BT112" s="1">
        <v>0</v>
      </c>
      <c r="BU112" s="1">
        <v>2895.97</v>
      </c>
      <c r="BV112" s="1">
        <v>10847.03</v>
      </c>
      <c r="BW112" s="1">
        <v>6059.91</v>
      </c>
      <c r="BX112" s="1">
        <v>5153.16</v>
      </c>
      <c r="BY112" s="1">
        <v>2895.97</v>
      </c>
      <c r="BZ112" s="1">
        <v>10847.03</v>
      </c>
      <c r="CA112" s="1">
        <v>6059.91</v>
      </c>
      <c r="CB112" s="1">
        <v>5153.16</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833.04</v>
      </c>
      <c r="CT112" s="1">
        <v>5395.4699999999993</v>
      </c>
      <c r="CU112" s="1">
        <v>1924.66</v>
      </c>
      <c r="CV112" s="1">
        <v>1679.15</v>
      </c>
      <c r="CW112" s="1">
        <v>833.04</v>
      </c>
      <c r="CX112" s="1">
        <v>5395.4699999999993</v>
      </c>
      <c r="CY112" s="1">
        <v>1924.66</v>
      </c>
      <c r="CZ112" s="1">
        <v>1679.15</v>
      </c>
      <c r="DA112" s="1">
        <v>0</v>
      </c>
      <c r="DB112" s="1">
        <v>0</v>
      </c>
      <c r="DC112" s="1">
        <v>0</v>
      </c>
      <c r="DD112" s="1">
        <v>0</v>
      </c>
      <c r="DE112" s="1">
        <v>0</v>
      </c>
      <c r="DF112" s="1">
        <v>0</v>
      </c>
      <c r="DG112" s="1">
        <v>0</v>
      </c>
      <c r="DH112" s="1">
        <v>0</v>
      </c>
      <c r="DI112" s="1">
        <v>0</v>
      </c>
      <c r="DJ112" s="1">
        <v>0</v>
      </c>
      <c r="DK112" s="1">
        <v>0</v>
      </c>
      <c r="DL112" s="1">
        <v>0</v>
      </c>
      <c r="DM112" s="1">
        <v>2301.11</v>
      </c>
      <c r="DN112" s="1">
        <v>5163.0200000000004</v>
      </c>
      <c r="DO112" s="1">
        <v>2220.13</v>
      </c>
      <c r="DP112" s="1">
        <v>2417.2600000000002</v>
      </c>
      <c r="DQ112" s="1">
        <v>2301.11</v>
      </c>
      <c r="DR112" s="1">
        <v>5163.0200000000004</v>
      </c>
      <c r="DS112" s="1">
        <v>2220.13</v>
      </c>
      <c r="DT112" s="1">
        <v>2417.2600000000002</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10248.91</v>
      </c>
      <c r="EL112" s="1">
        <v>15691.2</v>
      </c>
      <c r="EM112" s="1">
        <v>7837.1330000000007</v>
      </c>
      <c r="EN112" s="1">
        <v>6974.52</v>
      </c>
      <c r="EO112" s="1">
        <v>10248.91</v>
      </c>
      <c r="EP112" s="1">
        <v>15691.2</v>
      </c>
      <c r="EQ112" s="1">
        <v>7837.1330000000007</v>
      </c>
      <c r="ER112" s="1">
        <v>6974.52</v>
      </c>
      <c r="ES112" s="1">
        <v>0</v>
      </c>
      <c r="ET112" s="1">
        <v>0</v>
      </c>
      <c r="EU112" s="1">
        <v>0</v>
      </c>
      <c r="EV112" s="1">
        <v>0</v>
      </c>
      <c r="EW112" s="1">
        <v>0</v>
      </c>
      <c r="EX112" s="1">
        <v>0</v>
      </c>
      <c r="EY112" s="1">
        <v>0</v>
      </c>
      <c r="EZ112" s="1">
        <v>0</v>
      </c>
      <c r="FA112" s="1">
        <v>0</v>
      </c>
      <c r="FB112" s="1">
        <v>0</v>
      </c>
      <c r="FC112" s="1">
        <v>0</v>
      </c>
      <c r="FD112" s="1">
        <v>0</v>
      </c>
      <c r="FE112" s="1">
        <v>7.6300000000000008</v>
      </c>
      <c r="FF112" s="1">
        <v>426.48</v>
      </c>
      <c r="FG112" s="1">
        <v>7.04</v>
      </c>
      <c r="FH112" s="1">
        <v>13.56</v>
      </c>
      <c r="FI112" s="1">
        <v>7.6300000000000008</v>
      </c>
      <c r="FJ112" s="1">
        <v>426.48</v>
      </c>
      <c r="FK112" s="1">
        <v>7.04</v>
      </c>
      <c r="FL112" s="1">
        <v>13.56</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818.32999999999993</v>
      </c>
      <c r="GD112" s="1">
        <v>1642.73</v>
      </c>
      <c r="GE112" s="1">
        <v>2136.1999999999998</v>
      </c>
      <c r="GF112" s="1">
        <v>1857.97</v>
      </c>
      <c r="GG112" s="1">
        <v>818.32999999999993</v>
      </c>
      <c r="GH112" s="1">
        <v>1642.73</v>
      </c>
      <c r="GI112" s="1">
        <v>2136.1999999999998</v>
      </c>
      <c r="GJ112" s="1">
        <v>1857.97</v>
      </c>
      <c r="GK112" s="1">
        <v>0</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805.98</v>
      </c>
      <c r="HF112" s="1">
        <v>258.94</v>
      </c>
      <c r="HG112" s="1">
        <v>0</v>
      </c>
      <c r="HH112" s="1">
        <v>0</v>
      </c>
      <c r="HI112" s="1">
        <v>805.98</v>
      </c>
      <c r="HJ112" s="1">
        <v>258.94</v>
      </c>
      <c r="HK112" s="1">
        <v>0</v>
      </c>
      <c r="HL112" s="1">
        <v>0</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2248.08</v>
      </c>
      <c r="IQ112" s="1">
        <v>0</v>
      </c>
      <c r="IR112" s="1">
        <v>0</v>
      </c>
      <c r="IS112" s="1">
        <v>0</v>
      </c>
      <c r="IT112" s="1">
        <v>2248.08</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0</v>
      </c>
      <c r="JO112" s="1">
        <v>0</v>
      </c>
      <c r="JP112" s="1">
        <v>0</v>
      </c>
      <c r="JQ112" s="9"/>
      <c r="JR112" s="1">
        <f t="shared" si="25"/>
        <v>19118.506950000003</v>
      </c>
      <c r="JS112" s="1">
        <f t="shared" si="25"/>
        <v>20296.590389999994</v>
      </c>
      <c r="JT112" s="1">
        <f t="shared" si="25"/>
        <v>18019.279979999999</v>
      </c>
      <c r="JU112" s="1">
        <f t="shared" si="25"/>
        <v>19175.375699999997</v>
      </c>
      <c r="JV112" s="1">
        <f t="shared" si="26"/>
        <v>3540.4642500000004</v>
      </c>
      <c r="JW112" s="1">
        <f t="shared" si="26"/>
        <v>3758.6278499999989</v>
      </c>
      <c r="JX112" s="1">
        <f t="shared" si="26"/>
        <v>3336.9036999999998</v>
      </c>
      <c r="JY112" s="1">
        <f t="shared" si="26"/>
        <v>3550.9954999999995</v>
      </c>
    </row>
    <row r="113" spans="1:285" x14ac:dyDescent="0.35">
      <c r="A113" s="2" t="s">
        <v>120</v>
      </c>
      <c r="B113" s="1">
        <v>91130</v>
      </c>
      <c r="C113" s="1">
        <v>90974</v>
      </c>
      <c r="D113" s="1">
        <v>90734</v>
      </c>
      <c r="E113" s="1">
        <v>91221</v>
      </c>
      <c r="F113" s="1">
        <v>19461.28</v>
      </c>
      <c r="G113" s="1">
        <v>19598.743999999999</v>
      </c>
      <c r="H113" s="1">
        <v>18109.761999999999</v>
      </c>
      <c r="I113" s="1">
        <v>17821.424999999999</v>
      </c>
      <c r="J113" s="1">
        <f t="shared" si="27"/>
        <v>9755.1889999999985</v>
      </c>
      <c r="K113" s="1">
        <f t="shared" si="28"/>
        <v>10166.847999999998</v>
      </c>
      <c r="L113" s="1">
        <f t="shared" si="29"/>
        <v>9154.996000000001</v>
      </c>
      <c r="M113" s="1">
        <f t="shared" si="30"/>
        <v>8737.3310000000001</v>
      </c>
      <c r="N113" s="1">
        <f t="shared" si="31"/>
        <v>9706.0910000000003</v>
      </c>
      <c r="O113" s="1">
        <f t="shared" si="32"/>
        <v>9431.8960000000006</v>
      </c>
      <c r="P113" s="1">
        <f t="shared" si="33"/>
        <v>8954.7659999999978</v>
      </c>
      <c r="Q113" s="1">
        <f t="shared" si="34"/>
        <v>9084.0939999999991</v>
      </c>
      <c r="R113" s="1">
        <v>0</v>
      </c>
      <c r="S113" s="1">
        <v>0</v>
      </c>
      <c r="T113" s="1">
        <v>0</v>
      </c>
      <c r="U113" s="1">
        <v>0</v>
      </c>
      <c r="V113" s="1">
        <v>0</v>
      </c>
      <c r="W113" s="1">
        <v>0</v>
      </c>
      <c r="X113" s="1">
        <v>0</v>
      </c>
      <c r="Y113" s="1">
        <v>0</v>
      </c>
      <c r="Z113" s="1">
        <v>0</v>
      </c>
      <c r="AA113" s="1">
        <v>0</v>
      </c>
      <c r="AB113" s="1">
        <v>0</v>
      </c>
      <c r="AC113" s="1">
        <v>0</v>
      </c>
      <c r="AD113" s="1">
        <v>0</v>
      </c>
      <c r="AE113" s="1">
        <v>0</v>
      </c>
      <c r="AF113" s="1">
        <v>0</v>
      </c>
      <c r="AG113" s="1">
        <v>0</v>
      </c>
      <c r="AH113" s="1">
        <v>0</v>
      </c>
      <c r="AI113" s="1">
        <v>0</v>
      </c>
      <c r="AJ113" s="1">
        <v>0</v>
      </c>
      <c r="AK113" s="1">
        <v>0</v>
      </c>
      <c r="AL113" s="1">
        <v>0</v>
      </c>
      <c r="AM113" s="1">
        <v>0</v>
      </c>
      <c r="AN113" s="1">
        <v>0</v>
      </c>
      <c r="AO113" s="1">
        <v>0</v>
      </c>
      <c r="AP113" s="1">
        <v>2068.7599999999998</v>
      </c>
      <c r="AQ113" s="1">
        <v>2562.3199999999997</v>
      </c>
      <c r="AR113" s="1">
        <v>2116.91</v>
      </c>
      <c r="AS113" s="1">
        <v>2532.92</v>
      </c>
      <c r="AT113" s="1">
        <v>2068.7599999999998</v>
      </c>
      <c r="AU113" s="1">
        <v>0</v>
      </c>
      <c r="AV113" s="1">
        <v>0</v>
      </c>
      <c r="AW113" s="1">
        <v>0</v>
      </c>
      <c r="AX113" s="1">
        <v>2562.3199999999997</v>
      </c>
      <c r="AY113" s="1">
        <v>0</v>
      </c>
      <c r="AZ113" s="1">
        <v>0</v>
      </c>
      <c r="BA113" s="1">
        <v>0</v>
      </c>
      <c r="BB113" s="1">
        <v>2116.91</v>
      </c>
      <c r="BC113" s="1">
        <v>0</v>
      </c>
      <c r="BD113" s="1">
        <v>0</v>
      </c>
      <c r="BE113" s="1">
        <v>2532.92</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3480.27</v>
      </c>
      <c r="BV113" s="1">
        <v>3515</v>
      </c>
      <c r="BW113" s="1">
        <v>3085.43</v>
      </c>
      <c r="BX113" s="1">
        <v>2648.45</v>
      </c>
      <c r="BY113" s="1">
        <v>3480.27</v>
      </c>
      <c r="BZ113" s="1">
        <v>3515</v>
      </c>
      <c r="CA113" s="1">
        <v>3085.43</v>
      </c>
      <c r="CB113" s="1">
        <v>2648.45</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969.04000000000008</v>
      </c>
      <c r="CT113" s="1">
        <v>876.36999999999989</v>
      </c>
      <c r="CU113" s="1">
        <v>878.58799999999997</v>
      </c>
      <c r="CV113" s="1">
        <v>846.14599999999996</v>
      </c>
      <c r="CW113" s="1">
        <v>969.04000000000008</v>
      </c>
      <c r="CX113" s="1">
        <v>876.36999999999989</v>
      </c>
      <c r="CY113" s="1">
        <v>878.58799999999997</v>
      </c>
      <c r="CZ113" s="1">
        <v>846.14599999999996</v>
      </c>
      <c r="DA113" s="1">
        <v>0</v>
      </c>
      <c r="DB113" s="1">
        <v>0</v>
      </c>
      <c r="DC113" s="1">
        <v>0</v>
      </c>
      <c r="DD113" s="1">
        <v>0</v>
      </c>
      <c r="DE113" s="1">
        <v>0</v>
      </c>
      <c r="DF113" s="1">
        <v>0</v>
      </c>
      <c r="DG113" s="1">
        <v>0</v>
      </c>
      <c r="DH113" s="1">
        <v>0</v>
      </c>
      <c r="DI113" s="1">
        <v>0</v>
      </c>
      <c r="DJ113" s="1">
        <v>0</v>
      </c>
      <c r="DK113" s="1">
        <v>0</v>
      </c>
      <c r="DL113" s="1">
        <v>0</v>
      </c>
      <c r="DM113" s="1">
        <v>1903.03</v>
      </c>
      <c r="DN113" s="1">
        <v>1791.28</v>
      </c>
      <c r="DO113" s="1">
        <v>1817.22</v>
      </c>
      <c r="DP113" s="1">
        <v>1497.42</v>
      </c>
      <c r="DQ113" s="1">
        <v>1903.03</v>
      </c>
      <c r="DR113" s="1">
        <v>1791.28</v>
      </c>
      <c r="DS113" s="1">
        <v>1817.22</v>
      </c>
      <c r="DT113" s="1">
        <v>1497.42</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520.54999999999995</v>
      </c>
      <c r="EL113" s="1">
        <v>621.673</v>
      </c>
      <c r="EM113" s="1">
        <v>533.053</v>
      </c>
      <c r="EN113" s="1">
        <v>469.44400000000002</v>
      </c>
      <c r="EO113" s="1">
        <v>520.54999999999995</v>
      </c>
      <c r="EP113" s="1">
        <v>621.673</v>
      </c>
      <c r="EQ113" s="1">
        <v>533.053</v>
      </c>
      <c r="ER113" s="1">
        <v>469.44400000000002</v>
      </c>
      <c r="ES113" s="1">
        <v>0</v>
      </c>
      <c r="ET113" s="1">
        <v>0</v>
      </c>
      <c r="EU113" s="1">
        <v>0</v>
      </c>
      <c r="EV113" s="1">
        <v>0</v>
      </c>
      <c r="EW113" s="1">
        <v>0</v>
      </c>
      <c r="EX113" s="1">
        <v>0</v>
      </c>
      <c r="EY113" s="1">
        <v>0</v>
      </c>
      <c r="EZ113" s="1">
        <v>0</v>
      </c>
      <c r="FA113" s="1">
        <v>0</v>
      </c>
      <c r="FB113" s="1">
        <v>0</v>
      </c>
      <c r="FC113" s="1">
        <v>0</v>
      </c>
      <c r="FD113" s="1">
        <v>0</v>
      </c>
      <c r="FE113" s="1">
        <v>126.732</v>
      </c>
      <c r="FF113" s="1">
        <v>155.428</v>
      </c>
      <c r="FG113" s="1">
        <v>117.322</v>
      </c>
      <c r="FH113" s="1">
        <v>76.204999999999998</v>
      </c>
      <c r="FI113" s="1">
        <v>126.732</v>
      </c>
      <c r="FJ113" s="1">
        <v>155.428</v>
      </c>
      <c r="FK113" s="1">
        <v>117.322</v>
      </c>
      <c r="FL113" s="1">
        <v>76.204999999999998</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283.74</v>
      </c>
      <c r="GD113" s="1">
        <v>314.45999999999998</v>
      </c>
      <c r="GE113" s="1">
        <v>299.49</v>
      </c>
      <c r="GF113" s="1">
        <v>263.45999999999998</v>
      </c>
      <c r="GG113" s="1">
        <v>283.74</v>
      </c>
      <c r="GH113" s="1">
        <v>314.45999999999998</v>
      </c>
      <c r="GI113" s="1">
        <v>299.49</v>
      </c>
      <c r="GJ113" s="1">
        <v>263.45999999999998</v>
      </c>
      <c r="GK113" s="1">
        <v>0</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0</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403.06700000000001</v>
      </c>
      <c r="IP113" s="1">
        <v>330.31700000000001</v>
      </c>
      <c r="IQ113" s="1">
        <v>306.983</v>
      </c>
      <c r="IR113" s="1">
        <v>403.286</v>
      </c>
      <c r="IS113" s="1">
        <v>403.06700000000001</v>
      </c>
      <c r="IT113" s="1">
        <v>330.31700000000001</v>
      </c>
      <c r="IU113" s="1">
        <v>306.983</v>
      </c>
      <c r="IV113" s="1">
        <v>403.286</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0</v>
      </c>
      <c r="JO113" s="1">
        <v>0</v>
      </c>
      <c r="JP113" s="1">
        <v>0</v>
      </c>
      <c r="JQ113" s="9"/>
      <c r="JR113" s="1">
        <f t="shared" si="25"/>
        <v>2620.6445700000004</v>
      </c>
      <c r="JS113" s="1">
        <f t="shared" si="25"/>
        <v>2546.6119200000003</v>
      </c>
      <c r="JT113" s="1">
        <f t="shared" si="25"/>
        <v>2417.7868199999994</v>
      </c>
      <c r="JU113" s="1">
        <f t="shared" si="25"/>
        <v>2452.7053799999999</v>
      </c>
      <c r="JV113" s="1">
        <f t="shared" si="26"/>
        <v>485.30455000000006</v>
      </c>
      <c r="JW113" s="1">
        <f t="shared" si="26"/>
        <v>471.59480000000008</v>
      </c>
      <c r="JX113" s="1">
        <f t="shared" si="26"/>
        <v>447.73829999999992</v>
      </c>
      <c r="JY113" s="1">
        <f t="shared" si="26"/>
        <v>454.2047</v>
      </c>
    </row>
    <row r="114" spans="1:285" x14ac:dyDescent="0.35">
      <c r="A114" s="2" t="s">
        <v>121</v>
      </c>
      <c r="B114" s="1">
        <v>124018</v>
      </c>
      <c r="C114" s="1">
        <v>124467</v>
      </c>
      <c r="D114" s="1">
        <v>124803</v>
      </c>
      <c r="E114" s="1">
        <v>126037</v>
      </c>
      <c r="F114" s="1">
        <v>39894.226000000002</v>
      </c>
      <c r="G114" s="1">
        <v>40406.425000000003</v>
      </c>
      <c r="H114" s="1">
        <v>37377.724000000002</v>
      </c>
      <c r="I114" s="1">
        <v>34771.105000000003</v>
      </c>
      <c r="J114" s="1">
        <f t="shared" si="27"/>
        <v>25895.525999999998</v>
      </c>
      <c r="K114" s="1">
        <f t="shared" si="28"/>
        <v>25938.555</v>
      </c>
      <c r="L114" s="1">
        <f t="shared" si="29"/>
        <v>23158.024000000005</v>
      </c>
      <c r="M114" s="1">
        <f t="shared" si="30"/>
        <v>21131.894999999997</v>
      </c>
      <c r="N114" s="1">
        <f t="shared" si="31"/>
        <v>13998.700000000004</v>
      </c>
      <c r="O114" s="1">
        <f t="shared" si="32"/>
        <v>14467.870000000003</v>
      </c>
      <c r="P114" s="1">
        <f t="shared" si="33"/>
        <v>14219.699999999997</v>
      </c>
      <c r="Q114" s="1">
        <f t="shared" si="34"/>
        <v>13639.210000000006</v>
      </c>
      <c r="R114" s="1">
        <v>0</v>
      </c>
      <c r="S114" s="1">
        <v>0</v>
      </c>
      <c r="T114" s="1">
        <v>0</v>
      </c>
      <c r="U114" s="1">
        <v>0</v>
      </c>
      <c r="V114" s="1">
        <v>0</v>
      </c>
      <c r="W114" s="1">
        <v>0</v>
      </c>
      <c r="X114" s="1">
        <v>0</v>
      </c>
      <c r="Y114" s="1">
        <v>0</v>
      </c>
      <c r="Z114" s="1">
        <v>0</v>
      </c>
      <c r="AA114" s="1">
        <v>0</v>
      </c>
      <c r="AB114" s="1">
        <v>0</v>
      </c>
      <c r="AC114" s="1">
        <v>0</v>
      </c>
      <c r="AD114" s="1">
        <v>0</v>
      </c>
      <c r="AE114" s="1">
        <v>0</v>
      </c>
      <c r="AF114" s="1">
        <v>0</v>
      </c>
      <c r="AG114" s="1">
        <v>0</v>
      </c>
      <c r="AH114" s="1">
        <v>0</v>
      </c>
      <c r="AI114" s="1">
        <v>0</v>
      </c>
      <c r="AJ114" s="1">
        <v>0</v>
      </c>
      <c r="AK114" s="1">
        <v>0</v>
      </c>
      <c r="AL114" s="1">
        <v>0</v>
      </c>
      <c r="AM114" s="1">
        <v>0</v>
      </c>
      <c r="AN114" s="1">
        <v>0</v>
      </c>
      <c r="AO114" s="1">
        <v>0</v>
      </c>
      <c r="AP114" s="1">
        <v>4359.9960000000001</v>
      </c>
      <c r="AQ114" s="1">
        <v>5141.7550000000001</v>
      </c>
      <c r="AR114" s="1">
        <v>4437.1740000000009</v>
      </c>
      <c r="AS114" s="1">
        <v>4925.7650000000003</v>
      </c>
      <c r="AT114" s="1">
        <v>0</v>
      </c>
      <c r="AU114" s="1">
        <v>4359.9960000000001</v>
      </c>
      <c r="AV114" s="1">
        <v>0</v>
      </c>
      <c r="AW114" s="1">
        <v>0</v>
      </c>
      <c r="AX114" s="1">
        <v>0</v>
      </c>
      <c r="AY114" s="1">
        <v>5141.7550000000001</v>
      </c>
      <c r="AZ114" s="1">
        <v>0</v>
      </c>
      <c r="BA114" s="1">
        <v>0</v>
      </c>
      <c r="BB114" s="1">
        <v>0</v>
      </c>
      <c r="BC114" s="1">
        <v>4437.1740000000009</v>
      </c>
      <c r="BD114" s="1">
        <v>0</v>
      </c>
      <c r="BE114" s="1">
        <v>0</v>
      </c>
      <c r="BF114" s="1">
        <v>4925.7650000000003</v>
      </c>
      <c r="BG114" s="1">
        <v>0</v>
      </c>
      <c r="BH114" s="1">
        <v>0</v>
      </c>
      <c r="BI114" s="1">
        <v>0</v>
      </c>
      <c r="BJ114" s="1">
        <v>0</v>
      </c>
      <c r="BK114" s="1">
        <v>0</v>
      </c>
      <c r="BL114" s="1">
        <v>0</v>
      </c>
      <c r="BM114" s="1">
        <v>0</v>
      </c>
      <c r="BN114" s="1">
        <v>0</v>
      </c>
      <c r="BO114" s="1">
        <v>0</v>
      </c>
      <c r="BP114" s="1">
        <v>0</v>
      </c>
      <c r="BQ114" s="1">
        <v>0</v>
      </c>
      <c r="BR114" s="1">
        <v>0</v>
      </c>
      <c r="BS114" s="1">
        <v>0</v>
      </c>
      <c r="BT114" s="1">
        <v>0</v>
      </c>
      <c r="BU114" s="1">
        <v>11981.066000000001</v>
      </c>
      <c r="BV114" s="1">
        <v>12666.18</v>
      </c>
      <c r="BW114" s="1">
        <v>11473.45</v>
      </c>
      <c r="BX114" s="1">
        <v>9278.9</v>
      </c>
      <c r="BY114" s="1">
        <v>11981.066000000001</v>
      </c>
      <c r="BZ114" s="1">
        <v>12666.18</v>
      </c>
      <c r="CA114" s="1">
        <v>11473.45</v>
      </c>
      <c r="CB114" s="1">
        <v>9278.9</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1644.923</v>
      </c>
      <c r="CT114" s="1">
        <v>1532.36</v>
      </c>
      <c r="CU114" s="1">
        <v>1477.89</v>
      </c>
      <c r="CV114" s="1">
        <v>1428.89</v>
      </c>
      <c r="CW114" s="1">
        <v>1627.0429999999999</v>
      </c>
      <c r="CX114" s="1">
        <v>1530.32</v>
      </c>
      <c r="CY114" s="1">
        <v>1374.13</v>
      </c>
      <c r="CZ114" s="1">
        <v>1286.76</v>
      </c>
      <c r="DA114" s="1">
        <v>0</v>
      </c>
      <c r="DB114" s="1">
        <v>0</v>
      </c>
      <c r="DC114" s="1">
        <v>0</v>
      </c>
      <c r="DD114" s="1">
        <v>0</v>
      </c>
      <c r="DE114" s="1">
        <v>0</v>
      </c>
      <c r="DF114" s="1">
        <v>0</v>
      </c>
      <c r="DG114" s="1">
        <v>0</v>
      </c>
      <c r="DH114" s="1">
        <v>0</v>
      </c>
      <c r="DI114" s="1">
        <v>17.88</v>
      </c>
      <c r="DJ114" s="1">
        <v>2.04</v>
      </c>
      <c r="DK114" s="1">
        <v>103.76</v>
      </c>
      <c r="DL114" s="1">
        <v>142.13</v>
      </c>
      <c r="DM114" s="1">
        <v>6387.6399999999994</v>
      </c>
      <c r="DN114" s="1">
        <v>5097.88</v>
      </c>
      <c r="DO114" s="1">
        <v>4414.5200000000004</v>
      </c>
      <c r="DP114" s="1">
        <v>4056.6</v>
      </c>
      <c r="DQ114" s="1">
        <v>6387.6399999999994</v>
      </c>
      <c r="DR114" s="1">
        <v>5097.88</v>
      </c>
      <c r="DS114" s="1">
        <v>4414.5200000000004</v>
      </c>
      <c r="DT114" s="1">
        <v>4056.6</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512.84100000000001</v>
      </c>
      <c r="EL114" s="1">
        <v>487.6</v>
      </c>
      <c r="EM114" s="1">
        <v>716.09999999999991</v>
      </c>
      <c r="EN114" s="1">
        <v>397.92</v>
      </c>
      <c r="EO114" s="1">
        <v>512.84100000000001</v>
      </c>
      <c r="EP114" s="1">
        <v>487.6</v>
      </c>
      <c r="EQ114" s="1">
        <v>716.09999999999991</v>
      </c>
      <c r="ER114" s="1">
        <v>397.92</v>
      </c>
      <c r="ES114" s="1">
        <v>0</v>
      </c>
      <c r="ET114" s="1">
        <v>0</v>
      </c>
      <c r="EU114" s="1">
        <v>0</v>
      </c>
      <c r="EV114" s="1">
        <v>0</v>
      </c>
      <c r="EW114" s="1">
        <v>0</v>
      </c>
      <c r="EX114" s="1">
        <v>0</v>
      </c>
      <c r="EY114" s="1">
        <v>0</v>
      </c>
      <c r="EZ114" s="1">
        <v>0</v>
      </c>
      <c r="FA114" s="1">
        <v>0</v>
      </c>
      <c r="FB114" s="1">
        <v>0</v>
      </c>
      <c r="FC114" s="1">
        <v>0</v>
      </c>
      <c r="FD114" s="1">
        <v>0</v>
      </c>
      <c r="FE114" s="1">
        <v>225.77</v>
      </c>
      <c r="FF114" s="1">
        <v>431.88</v>
      </c>
      <c r="FG114" s="1">
        <v>28.9</v>
      </c>
      <c r="FH114" s="1">
        <v>146.57</v>
      </c>
      <c r="FI114" s="1">
        <v>225.77</v>
      </c>
      <c r="FJ114" s="1">
        <v>431.88</v>
      </c>
      <c r="FK114" s="1">
        <v>28.9</v>
      </c>
      <c r="FL114" s="1">
        <v>146.57</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28.6</v>
      </c>
      <c r="GD114" s="1">
        <v>29.12</v>
      </c>
      <c r="GE114" s="1">
        <v>26.74</v>
      </c>
      <c r="GF114" s="1">
        <v>23.72</v>
      </c>
      <c r="GG114" s="1">
        <v>28.6</v>
      </c>
      <c r="GH114" s="1">
        <v>29.12</v>
      </c>
      <c r="GI114" s="1">
        <v>26.74</v>
      </c>
      <c r="GJ114" s="1">
        <v>23.72</v>
      </c>
      <c r="GK114" s="1">
        <v>0</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0</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754.68999999999994</v>
      </c>
      <c r="IP114" s="1">
        <v>551.78</v>
      </c>
      <c r="IQ114" s="1">
        <v>583.25</v>
      </c>
      <c r="IR114" s="1">
        <v>873.53</v>
      </c>
      <c r="IS114" s="1">
        <v>754.68999999999994</v>
      </c>
      <c r="IT114" s="1">
        <v>551.78</v>
      </c>
      <c r="IU114" s="1">
        <v>583.25</v>
      </c>
      <c r="IV114" s="1">
        <v>873.53</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0</v>
      </c>
      <c r="JO114" s="1">
        <v>0</v>
      </c>
      <c r="JP114" s="1">
        <v>0</v>
      </c>
      <c r="JQ114" s="9"/>
      <c r="JR114" s="1">
        <f t="shared" si="25"/>
        <v>3779.6490000000013</v>
      </c>
      <c r="JS114" s="1">
        <f t="shared" si="25"/>
        <v>3906.324900000001</v>
      </c>
      <c r="JT114" s="1">
        <f t="shared" si="25"/>
        <v>3839.3189999999995</v>
      </c>
      <c r="JU114" s="1">
        <f t="shared" si="25"/>
        <v>3682.5867000000021</v>
      </c>
      <c r="JV114" s="1">
        <f t="shared" si="26"/>
        <v>699.93500000000029</v>
      </c>
      <c r="JW114" s="1">
        <f t="shared" si="26"/>
        <v>723.39350000000013</v>
      </c>
      <c r="JX114" s="1">
        <f t="shared" si="26"/>
        <v>710.9849999999999</v>
      </c>
      <c r="JY114" s="1">
        <f t="shared" si="26"/>
        <v>681.96050000000037</v>
      </c>
    </row>
    <row r="115" spans="1:285" x14ac:dyDescent="0.35">
      <c r="A115" s="2" t="s">
        <v>122</v>
      </c>
      <c r="B115" s="1">
        <v>261906</v>
      </c>
      <c r="C115" s="1">
        <v>262086</v>
      </c>
      <c r="D115" s="1">
        <v>264786</v>
      </c>
      <c r="E115" s="1">
        <v>270305</v>
      </c>
      <c r="F115" s="1">
        <v>78320.37</v>
      </c>
      <c r="G115" s="1">
        <v>74593.919999999998</v>
      </c>
      <c r="H115" s="1">
        <v>72893.56</v>
      </c>
      <c r="I115" s="1">
        <v>71873.569999999992</v>
      </c>
      <c r="J115" s="1">
        <f t="shared" si="27"/>
        <v>44100.970000000008</v>
      </c>
      <c r="K115" s="1">
        <f t="shared" si="28"/>
        <v>41021.23000000001</v>
      </c>
      <c r="L115" s="1">
        <f t="shared" si="29"/>
        <v>37849.480000000003</v>
      </c>
      <c r="M115" s="1">
        <f t="shared" si="30"/>
        <v>36262.090000000004</v>
      </c>
      <c r="N115" s="1">
        <f t="shared" si="31"/>
        <v>34219.399999999987</v>
      </c>
      <c r="O115" s="1">
        <f t="shared" si="32"/>
        <v>33572.689999999988</v>
      </c>
      <c r="P115" s="1">
        <f t="shared" si="33"/>
        <v>35044.079999999994</v>
      </c>
      <c r="Q115" s="1">
        <f t="shared" si="34"/>
        <v>35611.479999999989</v>
      </c>
      <c r="R115" s="1">
        <v>0</v>
      </c>
      <c r="S115" s="1">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1">
        <v>0</v>
      </c>
      <c r="AJ115" s="1">
        <v>0</v>
      </c>
      <c r="AK115" s="1">
        <v>0</v>
      </c>
      <c r="AL115" s="1">
        <v>0</v>
      </c>
      <c r="AM115" s="1">
        <v>0</v>
      </c>
      <c r="AN115" s="1">
        <v>0</v>
      </c>
      <c r="AO115" s="1">
        <v>0</v>
      </c>
      <c r="AP115" s="1">
        <v>11026.09</v>
      </c>
      <c r="AQ115" s="1">
        <v>11872.640000000001</v>
      </c>
      <c r="AR115" s="1">
        <v>9386.2800000000007</v>
      </c>
      <c r="AS115" s="1">
        <v>10474.61</v>
      </c>
      <c r="AT115" s="1">
        <v>0</v>
      </c>
      <c r="AU115" s="1">
        <v>11026.09</v>
      </c>
      <c r="AV115" s="1">
        <v>0</v>
      </c>
      <c r="AW115" s="1">
        <v>0</v>
      </c>
      <c r="AX115" s="1">
        <v>0</v>
      </c>
      <c r="AY115" s="1">
        <v>11872.640000000001</v>
      </c>
      <c r="AZ115" s="1">
        <v>0</v>
      </c>
      <c r="BA115" s="1">
        <v>0</v>
      </c>
      <c r="BB115" s="1">
        <v>0</v>
      </c>
      <c r="BC115" s="1">
        <v>9386.2800000000007</v>
      </c>
      <c r="BD115" s="1">
        <v>0</v>
      </c>
      <c r="BE115" s="1">
        <v>0</v>
      </c>
      <c r="BF115" s="1">
        <v>10474.61</v>
      </c>
      <c r="BG115" s="1">
        <v>0</v>
      </c>
      <c r="BH115" s="1">
        <v>0</v>
      </c>
      <c r="BI115" s="1">
        <v>0</v>
      </c>
      <c r="BJ115" s="1">
        <v>0</v>
      </c>
      <c r="BK115" s="1">
        <v>0</v>
      </c>
      <c r="BL115" s="1">
        <v>0</v>
      </c>
      <c r="BM115" s="1">
        <v>0</v>
      </c>
      <c r="BN115" s="1">
        <v>0</v>
      </c>
      <c r="BO115" s="1">
        <v>0</v>
      </c>
      <c r="BP115" s="1">
        <v>0</v>
      </c>
      <c r="BQ115" s="1">
        <v>0</v>
      </c>
      <c r="BR115" s="1">
        <v>0</v>
      </c>
      <c r="BS115" s="1">
        <v>0</v>
      </c>
      <c r="BT115" s="1">
        <v>0</v>
      </c>
      <c r="BU115" s="1">
        <v>13570.82</v>
      </c>
      <c r="BV115" s="1">
        <v>10924.95</v>
      </c>
      <c r="BW115" s="1">
        <v>9671.89</v>
      </c>
      <c r="BX115" s="1">
        <v>7866.63</v>
      </c>
      <c r="BY115" s="1">
        <v>13570.82</v>
      </c>
      <c r="BZ115" s="1">
        <v>10924.95</v>
      </c>
      <c r="CA115" s="1">
        <v>9671.89</v>
      </c>
      <c r="CB115" s="1">
        <v>7866.63</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4207.17</v>
      </c>
      <c r="CT115" s="1">
        <v>2706.56</v>
      </c>
      <c r="CU115" s="1">
        <v>2926.03</v>
      </c>
      <c r="CV115" s="1">
        <v>4485.38</v>
      </c>
      <c r="CW115" s="1">
        <v>4207.17</v>
      </c>
      <c r="CX115" s="1">
        <v>2706.56</v>
      </c>
      <c r="CY115" s="1">
        <v>2926.03</v>
      </c>
      <c r="CZ115" s="1">
        <v>4485.38</v>
      </c>
      <c r="DA115" s="1">
        <v>0</v>
      </c>
      <c r="DB115" s="1">
        <v>0</v>
      </c>
      <c r="DC115" s="1">
        <v>0</v>
      </c>
      <c r="DD115" s="1">
        <v>0</v>
      </c>
      <c r="DE115" s="1">
        <v>0</v>
      </c>
      <c r="DF115" s="1">
        <v>0</v>
      </c>
      <c r="DG115" s="1">
        <v>0</v>
      </c>
      <c r="DH115" s="1">
        <v>0</v>
      </c>
      <c r="DI115" s="1">
        <v>0</v>
      </c>
      <c r="DJ115" s="1">
        <v>0</v>
      </c>
      <c r="DK115" s="1">
        <v>0</v>
      </c>
      <c r="DL115" s="1">
        <v>0</v>
      </c>
      <c r="DM115" s="1">
        <v>3661.21</v>
      </c>
      <c r="DN115" s="1">
        <v>4283.29</v>
      </c>
      <c r="DO115" s="1">
        <v>4635.7700000000004</v>
      </c>
      <c r="DP115" s="1">
        <v>3638.5</v>
      </c>
      <c r="DQ115" s="1">
        <v>3661.21</v>
      </c>
      <c r="DR115" s="1">
        <v>4283.29</v>
      </c>
      <c r="DS115" s="1">
        <v>4635.7700000000004</v>
      </c>
      <c r="DT115" s="1">
        <v>3638.5</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2745.22</v>
      </c>
      <c r="EL115" s="1">
        <v>2968.06</v>
      </c>
      <c r="EM115" s="1">
        <v>3085.65</v>
      </c>
      <c r="EN115" s="1">
        <v>2425.4299999999998</v>
      </c>
      <c r="EO115" s="1">
        <v>2736.21</v>
      </c>
      <c r="EP115" s="1">
        <v>2968.06</v>
      </c>
      <c r="EQ115" s="1">
        <v>3085.65</v>
      </c>
      <c r="ER115" s="1">
        <v>2425.4299999999998</v>
      </c>
      <c r="ES115" s="1">
        <v>9.01</v>
      </c>
      <c r="ET115" s="1">
        <v>0</v>
      </c>
      <c r="EU115" s="1">
        <v>0</v>
      </c>
      <c r="EV115" s="1">
        <v>0</v>
      </c>
      <c r="EW115" s="1">
        <v>0</v>
      </c>
      <c r="EX115" s="1">
        <v>0</v>
      </c>
      <c r="EY115" s="1">
        <v>0</v>
      </c>
      <c r="EZ115" s="1">
        <v>0</v>
      </c>
      <c r="FA115" s="1">
        <v>0</v>
      </c>
      <c r="FB115" s="1">
        <v>0</v>
      </c>
      <c r="FC115" s="1">
        <v>0</v>
      </c>
      <c r="FD115" s="1">
        <v>0</v>
      </c>
      <c r="FE115" s="1">
        <v>352.37</v>
      </c>
      <c r="FF115" s="1">
        <v>391.55</v>
      </c>
      <c r="FG115" s="1">
        <v>351.82</v>
      </c>
      <c r="FH115" s="1">
        <v>357.51</v>
      </c>
      <c r="FI115" s="1">
        <v>0.14000000000000001</v>
      </c>
      <c r="FJ115" s="1">
        <v>0.11</v>
      </c>
      <c r="FK115" s="1">
        <v>0.44</v>
      </c>
      <c r="FL115" s="1">
        <v>7.0000000000000007E-2</v>
      </c>
      <c r="FM115" s="1">
        <v>352.23</v>
      </c>
      <c r="FN115" s="1">
        <v>391.44</v>
      </c>
      <c r="FO115" s="1">
        <v>351.38</v>
      </c>
      <c r="FP115" s="1">
        <v>357.44</v>
      </c>
      <c r="FQ115" s="1">
        <v>0</v>
      </c>
      <c r="FR115" s="1">
        <v>0</v>
      </c>
      <c r="FS115" s="1">
        <v>0</v>
      </c>
      <c r="FT115" s="1">
        <v>0</v>
      </c>
      <c r="FU115" s="1">
        <v>0</v>
      </c>
      <c r="FV115" s="1">
        <v>0</v>
      </c>
      <c r="FW115" s="1">
        <v>0</v>
      </c>
      <c r="FX115" s="1">
        <v>0</v>
      </c>
      <c r="FY115" s="1">
        <v>0</v>
      </c>
      <c r="FZ115" s="1">
        <v>0</v>
      </c>
      <c r="GA115" s="1">
        <v>0</v>
      </c>
      <c r="GB115" s="1">
        <v>0</v>
      </c>
      <c r="GC115" s="1">
        <v>4063.58</v>
      </c>
      <c r="GD115" s="1">
        <v>3598.44</v>
      </c>
      <c r="GE115" s="1">
        <v>3418.190000000001</v>
      </c>
      <c r="GF115" s="1">
        <v>3449.4</v>
      </c>
      <c r="GG115" s="1">
        <v>4063.58</v>
      </c>
      <c r="GH115" s="1">
        <v>3598.44</v>
      </c>
      <c r="GI115" s="1">
        <v>3418.190000000001</v>
      </c>
      <c r="GJ115" s="1">
        <v>3449.4</v>
      </c>
      <c r="GK115" s="1">
        <v>0</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4037.48</v>
      </c>
      <c r="HF115" s="1">
        <v>3910.68</v>
      </c>
      <c r="HG115" s="1">
        <v>3789.44</v>
      </c>
      <c r="HH115" s="1">
        <v>3462.6</v>
      </c>
      <c r="HI115" s="1">
        <v>4037.48</v>
      </c>
      <c r="HJ115" s="1">
        <v>3910.68</v>
      </c>
      <c r="HK115" s="1">
        <v>3789.44</v>
      </c>
      <c r="HL115" s="1">
        <v>3462.6</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437.03000000000009</v>
      </c>
      <c r="IP115" s="1">
        <v>365.06</v>
      </c>
      <c r="IQ115" s="1">
        <v>584.41</v>
      </c>
      <c r="IR115" s="1">
        <v>102.03</v>
      </c>
      <c r="IS115" s="1">
        <v>437.03000000000009</v>
      </c>
      <c r="IT115" s="1">
        <v>365.06</v>
      </c>
      <c r="IU115" s="1">
        <v>584.41</v>
      </c>
      <c r="IV115" s="1">
        <v>102.03</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0</v>
      </c>
      <c r="JO115" s="1">
        <v>0</v>
      </c>
      <c r="JP115" s="1">
        <v>0</v>
      </c>
      <c r="JQ115" s="9"/>
      <c r="JR115" s="1">
        <f t="shared" si="25"/>
        <v>9239.2379999999976</v>
      </c>
      <c r="JS115" s="1">
        <f t="shared" si="25"/>
        <v>9064.6262999999981</v>
      </c>
      <c r="JT115" s="1">
        <f t="shared" si="25"/>
        <v>9461.9015999999992</v>
      </c>
      <c r="JU115" s="1">
        <f t="shared" si="25"/>
        <v>9615.0995999999977</v>
      </c>
      <c r="JV115" s="1">
        <f t="shared" si="26"/>
        <v>1710.9699999999993</v>
      </c>
      <c r="JW115" s="1">
        <f t="shared" si="26"/>
        <v>1678.6344999999994</v>
      </c>
      <c r="JX115" s="1">
        <f t="shared" si="26"/>
        <v>1752.2039999999997</v>
      </c>
      <c r="JY115" s="1">
        <f t="shared" si="26"/>
        <v>1780.5739999999996</v>
      </c>
    </row>
    <row r="116" spans="1:285" x14ac:dyDescent="0.35">
      <c r="A116" s="2" t="s">
        <v>123</v>
      </c>
      <c r="B116" s="1">
        <v>185886</v>
      </c>
      <c r="C116" s="1">
        <v>187522</v>
      </c>
      <c r="D116" s="1">
        <v>188518</v>
      </c>
      <c r="E116" s="1">
        <v>190045</v>
      </c>
      <c r="F116" s="1">
        <v>190184.024</v>
      </c>
      <c r="G116" s="1">
        <v>187341.46299999999</v>
      </c>
      <c r="H116" s="1">
        <v>179392.712</v>
      </c>
      <c r="I116" s="1">
        <v>172787.84099999999</v>
      </c>
      <c r="J116" s="1">
        <f t="shared" si="27"/>
        <v>77068.858999999982</v>
      </c>
      <c r="K116" s="1">
        <f t="shared" si="28"/>
        <v>72083.972999999998</v>
      </c>
      <c r="L116" s="1">
        <f t="shared" si="29"/>
        <v>57676.216</v>
      </c>
      <c r="M116" s="1">
        <f t="shared" si="30"/>
        <v>52527.89699999999</v>
      </c>
      <c r="N116" s="1">
        <f t="shared" si="31"/>
        <v>113115.16500000002</v>
      </c>
      <c r="O116" s="1">
        <f t="shared" si="32"/>
        <v>115257.48999999999</v>
      </c>
      <c r="P116" s="1">
        <f t="shared" si="33"/>
        <v>121716.496</v>
      </c>
      <c r="Q116" s="1">
        <f t="shared" si="34"/>
        <v>120259.94399999999</v>
      </c>
      <c r="R116" s="1">
        <v>0</v>
      </c>
      <c r="S116" s="1">
        <v>0</v>
      </c>
      <c r="T116" s="1">
        <v>0</v>
      </c>
      <c r="U116" s="1">
        <v>0</v>
      </c>
      <c r="V116" s="1">
        <v>0</v>
      </c>
      <c r="W116" s="1">
        <v>0</v>
      </c>
      <c r="X116" s="1">
        <v>0</v>
      </c>
      <c r="Y116" s="1">
        <v>0</v>
      </c>
      <c r="Z116" s="1">
        <v>0</v>
      </c>
      <c r="AA116" s="1">
        <v>0</v>
      </c>
      <c r="AB116" s="1">
        <v>0</v>
      </c>
      <c r="AC116" s="1">
        <v>0</v>
      </c>
      <c r="AD116" s="1">
        <v>0</v>
      </c>
      <c r="AE116" s="1">
        <v>0</v>
      </c>
      <c r="AF116" s="1">
        <v>0</v>
      </c>
      <c r="AG116" s="1">
        <v>0</v>
      </c>
      <c r="AH116" s="1">
        <v>0</v>
      </c>
      <c r="AI116" s="1">
        <v>0</v>
      </c>
      <c r="AJ116" s="1">
        <v>0</v>
      </c>
      <c r="AK116" s="1">
        <v>0</v>
      </c>
      <c r="AL116" s="1">
        <v>0</v>
      </c>
      <c r="AM116" s="1">
        <v>0</v>
      </c>
      <c r="AN116" s="1">
        <v>0</v>
      </c>
      <c r="AO116" s="1">
        <v>0</v>
      </c>
      <c r="AP116" s="1">
        <v>4924.8020000000006</v>
      </c>
      <c r="AQ116" s="1">
        <v>5666.88</v>
      </c>
      <c r="AR116" s="1">
        <v>5415.1799999999994</v>
      </c>
      <c r="AS116" s="1">
        <v>6054.4500000000007</v>
      </c>
      <c r="AT116" s="1">
        <v>0</v>
      </c>
      <c r="AU116" s="1">
        <v>4924.8020000000006</v>
      </c>
      <c r="AV116" s="1">
        <v>0</v>
      </c>
      <c r="AW116" s="1">
        <v>0</v>
      </c>
      <c r="AX116" s="1">
        <v>0</v>
      </c>
      <c r="AY116" s="1">
        <v>5666.88</v>
      </c>
      <c r="AZ116" s="1">
        <v>0</v>
      </c>
      <c r="BA116" s="1">
        <v>0</v>
      </c>
      <c r="BB116" s="1">
        <v>0</v>
      </c>
      <c r="BC116" s="1">
        <v>5415.1799999999994</v>
      </c>
      <c r="BD116" s="1">
        <v>0</v>
      </c>
      <c r="BE116" s="1">
        <v>0</v>
      </c>
      <c r="BF116" s="1">
        <v>6054.4500000000007</v>
      </c>
      <c r="BG116" s="1">
        <v>0</v>
      </c>
      <c r="BH116" s="1">
        <v>0</v>
      </c>
      <c r="BI116" s="1">
        <v>0</v>
      </c>
      <c r="BJ116" s="1">
        <v>0</v>
      </c>
      <c r="BK116" s="1">
        <v>0</v>
      </c>
      <c r="BL116" s="1">
        <v>0</v>
      </c>
      <c r="BM116" s="1">
        <v>0</v>
      </c>
      <c r="BN116" s="1">
        <v>0</v>
      </c>
      <c r="BO116" s="1">
        <v>0</v>
      </c>
      <c r="BP116" s="1">
        <v>0</v>
      </c>
      <c r="BQ116" s="1">
        <v>0</v>
      </c>
      <c r="BR116" s="1">
        <v>0</v>
      </c>
      <c r="BS116" s="1">
        <v>0</v>
      </c>
      <c r="BT116" s="1">
        <v>0</v>
      </c>
      <c r="BU116" s="1">
        <v>29168.44</v>
      </c>
      <c r="BV116" s="1">
        <v>28003.735000000001</v>
      </c>
      <c r="BW116" s="1">
        <v>17145.789000000001</v>
      </c>
      <c r="BX116" s="1">
        <v>18822.63</v>
      </c>
      <c r="BY116" s="1">
        <v>29168.44</v>
      </c>
      <c r="BZ116" s="1">
        <v>28003.735000000001</v>
      </c>
      <c r="CA116" s="1">
        <v>17145.789000000001</v>
      </c>
      <c r="CB116" s="1">
        <v>18822.63</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6900.98</v>
      </c>
      <c r="CT116" s="1">
        <v>6478.73</v>
      </c>
      <c r="CU116" s="1">
        <v>3333.2890000000002</v>
      </c>
      <c r="CV116" s="1">
        <v>5228.8200000000006</v>
      </c>
      <c r="CW116" s="1">
        <v>6900.98</v>
      </c>
      <c r="CX116" s="1">
        <v>6478.73</v>
      </c>
      <c r="CY116" s="1">
        <v>3333.2890000000002</v>
      </c>
      <c r="CZ116" s="1">
        <v>5228.8200000000006</v>
      </c>
      <c r="DA116" s="1">
        <v>0</v>
      </c>
      <c r="DB116" s="1">
        <v>0</v>
      </c>
      <c r="DC116" s="1">
        <v>0</v>
      </c>
      <c r="DD116" s="1">
        <v>0</v>
      </c>
      <c r="DE116" s="1">
        <v>0</v>
      </c>
      <c r="DF116" s="1">
        <v>0</v>
      </c>
      <c r="DG116" s="1">
        <v>0</v>
      </c>
      <c r="DH116" s="1">
        <v>0</v>
      </c>
      <c r="DI116" s="1">
        <v>0</v>
      </c>
      <c r="DJ116" s="1">
        <v>0</v>
      </c>
      <c r="DK116" s="1">
        <v>0</v>
      </c>
      <c r="DL116" s="1">
        <v>0</v>
      </c>
      <c r="DM116" s="1">
        <v>7130.12</v>
      </c>
      <c r="DN116" s="1">
        <v>6872.4500000000007</v>
      </c>
      <c r="DO116" s="1">
        <v>6530.9390000000003</v>
      </c>
      <c r="DP116" s="1">
        <v>6233.3499999999995</v>
      </c>
      <c r="DQ116" s="1">
        <v>7130.12</v>
      </c>
      <c r="DR116" s="1">
        <v>6872.4500000000007</v>
      </c>
      <c r="DS116" s="1">
        <v>6530.9390000000003</v>
      </c>
      <c r="DT116" s="1">
        <v>6233.3499999999995</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13859.64</v>
      </c>
      <c r="EL116" s="1">
        <v>11930.799000000001</v>
      </c>
      <c r="EM116" s="1">
        <v>11427.696</v>
      </c>
      <c r="EN116" s="1">
        <v>9841.4390000000003</v>
      </c>
      <c r="EO116" s="1">
        <v>13851.442999999999</v>
      </c>
      <c r="EP116" s="1">
        <v>11924.214</v>
      </c>
      <c r="EQ116" s="1">
        <v>11412.35</v>
      </c>
      <c r="ER116" s="1">
        <v>9798.5460000000003</v>
      </c>
      <c r="ES116" s="1">
        <v>8.197000000000001</v>
      </c>
      <c r="ET116" s="1">
        <v>6.585</v>
      </c>
      <c r="EU116" s="1">
        <v>15.346</v>
      </c>
      <c r="EV116" s="1">
        <v>42.893000000000001</v>
      </c>
      <c r="EW116" s="1">
        <v>0</v>
      </c>
      <c r="EX116" s="1">
        <v>0</v>
      </c>
      <c r="EY116" s="1">
        <v>0</v>
      </c>
      <c r="EZ116" s="1">
        <v>0</v>
      </c>
      <c r="FA116" s="1">
        <v>0</v>
      </c>
      <c r="FB116" s="1">
        <v>0</v>
      </c>
      <c r="FC116" s="1">
        <v>0</v>
      </c>
      <c r="FD116" s="1">
        <v>0</v>
      </c>
      <c r="FE116" s="1">
        <v>1714.77</v>
      </c>
      <c r="FF116" s="1">
        <v>103.66500000000001</v>
      </c>
      <c r="FG116" s="1">
        <v>1467.5550000000001</v>
      </c>
      <c r="FH116" s="1">
        <v>95.039000000000001</v>
      </c>
      <c r="FI116" s="1">
        <v>1707.82</v>
      </c>
      <c r="FJ116" s="1">
        <v>92.405000000000001</v>
      </c>
      <c r="FK116" s="1">
        <v>1460.75</v>
      </c>
      <c r="FL116" s="1">
        <v>92.878999999999991</v>
      </c>
      <c r="FM116" s="1">
        <v>6.95</v>
      </c>
      <c r="FN116" s="1">
        <v>11.26</v>
      </c>
      <c r="FO116" s="1">
        <v>6.8050000000000006</v>
      </c>
      <c r="FP116" s="1">
        <v>2.16</v>
      </c>
      <c r="FQ116" s="1">
        <v>0</v>
      </c>
      <c r="FR116" s="1">
        <v>0</v>
      </c>
      <c r="FS116" s="1">
        <v>0</v>
      </c>
      <c r="FT116" s="1">
        <v>0</v>
      </c>
      <c r="FU116" s="1">
        <v>0</v>
      </c>
      <c r="FV116" s="1">
        <v>0</v>
      </c>
      <c r="FW116" s="1">
        <v>0</v>
      </c>
      <c r="FX116" s="1">
        <v>0</v>
      </c>
      <c r="FY116" s="1">
        <v>0</v>
      </c>
      <c r="FZ116" s="1">
        <v>0</v>
      </c>
      <c r="GA116" s="1">
        <v>0</v>
      </c>
      <c r="GB116" s="1">
        <v>0</v>
      </c>
      <c r="GC116" s="1">
        <v>4906.7559999999994</v>
      </c>
      <c r="GD116" s="1">
        <v>4756.9159999999993</v>
      </c>
      <c r="GE116" s="1">
        <v>4120.46</v>
      </c>
      <c r="GF116" s="1">
        <v>890.88000000000011</v>
      </c>
      <c r="GG116" s="1">
        <v>4906.3910000000014</v>
      </c>
      <c r="GH116" s="1">
        <v>4756.4340000000002</v>
      </c>
      <c r="GI116" s="1">
        <v>4119.7930000000006</v>
      </c>
      <c r="GJ116" s="1">
        <v>889.98099999999999</v>
      </c>
      <c r="GK116" s="1">
        <v>0.36499999999999999</v>
      </c>
      <c r="GL116" s="1">
        <v>0.48199999999999998</v>
      </c>
      <c r="GM116" s="1">
        <v>0.66700000000000004</v>
      </c>
      <c r="GN116" s="1">
        <v>0.89900000000000002</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8463.3510000000006</v>
      </c>
      <c r="HF116" s="1">
        <v>8270.7979999999989</v>
      </c>
      <c r="HG116" s="1">
        <v>8235.3080000000009</v>
      </c>
      <c r="HH116" s="1">
        <v>5361.2889999999998</v>
      </c>
      <c r="HI116" s="1">
        <v>8463.3510000000006</v>
      </c>
      <c r="HJ116" s="1">
        <v>8157.1179999999986</v>
      </c>
      <c r="HK116" s="1">
        <v>7686.8119999999999</v>
      </c>
      <c r="HL116" s="1">
        <v>5143.3209999999999</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113.68</v>
      </c>
      <c r="IE116" s="1">
        <v>548.49599999999998</v>
      </c>
      <c r="IF116" s="1">
        <v>217.96799999999999</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0</v>
      </c>
      <c r="JO116" s="1">
        <v>0</v>
      </c>
      <c r="JP116" s="1">
        <v>0</v>
      </c>
      <c r="JQ116" s="9"/>
      <c r="JR116" s="1">
        <f t="shared" si="25"/>
        <v>30541.094550000009</v>
      </c>
      <c r="JS116" s="1">
        <f t="shared" si="25"/>
        <v>31119.522300000001</v>
      </c>
      <c r="JT116" s="1">
        <f t="shared" si="25"/>
        <v>32863.45392</v>
      </c>
      <c r="JU116" s="1">
        <f t="shared" si="25"/>
        <v>32470.184880000001</v>
      </c>
      <c r="JV116" s="1">
        <f t="shared" si="26"/>
        <v>5655.7582500000017</v>
      </c>
      <c r="JW116" s="1">
        <f t="shared" si="26"/>
        <v>5762.8744999999999</v>
      </c>
      <c r="JX116" s="1">
        <f t="shared" si="26"/>
        <v>6085.8248000000003</v>
      </c>
      <c r="JY116" s="1">
        <f t="shared" si="26"/>
        <v>6012.9971999999998</v>
      </c>
    </row>
    <row r="117" spans="1:285" x14ac:dyDescent="0.35">
      <c r="A117" s="2" t="s">
        <v>124</v>
      </c>
      <c r="B117" s="1">
        <v>107612</v>
      </c>
      <c r="C117" s="1">
        <v>108129</v>
      </c>
      <c r="D117" s="1">
        <v>108310</v>
      </c>
      <c r="E117" s="1">
        <v>109483</v>
      </c>
      <c r="F117" s="1">
        <v>26964.754000000001</v>
      </c>
      <c r="G117" s="1">
        <v>25864.559000000001</v>
      </c>
      <c r="H117" s="1">
        <v>23335.092000000001</v>
      </c>
      <c r="I117" s="1">
        <v>23753.601999999999</v>
      </c>
      <c r="J117" s="1">
        <f t="shared" si="27"/>
        <v>18858.074000000001</v>
      </c>
      <c r="K117" s="1">
        <f t="shared" si="28"/>
        <v>17814.398999999998</v>
      </c>
      <c r="L117" s="1">
        <f t="shared" si="29"/>
        <v>15813.828</v>
      </c>
      <c r="M117" s="1">
        <f t="shared" si="30"/>
        <v>16060.072</v>
      </c>
      <c r="N117" s="1">
        <f t="shared" si="31"/>
        <v>8106.68</v>
      </c>
      <c r="O117" s="1">
        <f t="shared" si="32"/>
        <v>8050.1600000000035</v>
      </c>
      <c r="P117" s="1">
        <f t="shared" si="33"/>
        <v>7521.264000000001</v>
      </c>
      <c r="Q117" s="1">
        <f t="shared" si="34"/>
        <v>7693.5299999999988</v>
      </c>
      <c r="R117" s="1">
        <v>0</v>
      </c>
      <c r="S117" s="1">
        <v>0</v>
      </c>
      <c r="T117" s="1">
        <v>0</v>
      </c>
      <c r="U117" s="1">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1">
        <v>0</v>
      </c>
      <c r="AL117" s="1">
        <v>0</v>
      </c>
      <c r="AM117" s="1">
        <v>0</v>
      </c>
      <c r="AN117" s="1">
        <v>0</v>
      </c>
      <c r="AO117" s="1">
        <v>0</v>
      </c>
      <c r="AP117" s="1">
        <v>9681.130000000001</v>
      </c>
      <c r="AQ117" s="1">
        <v>9820.14</v>
      </c>
      <c r="AR117" s="1">
        <v>8376.7099999999991</v>
      </c>
      <c r="AS117" s="1">
        <v>8787.5</v>
      </c>
      <c r="AT117" s="1">
        <v>9681.130000000001</v>
      </c>
      <c r="AU117" s="1">
        <v>0</v>
      </c>
      <c r="AV117" s="1">
        <v>0</v>
      </c>
      <c r="AW117" s="1">
        <v>0</v>
      </c>
      <c r="AX117" s="1">
        <v>9820.14</v>
      </c>
      <c r="AY117" s="1">
        <v>0</v>
      </c>
      <c r="AZ117" s="1">
        <v>0</v>
      </c>
      <c r="BA117" s="1">
        <v>0</v>
      </c>
      <c r="BB117" s="1">
        <v>8376.7099999999991</v>
      </c>
      <c r="BC117" s="1">
        <v>0</v>
      </c>
      <c r="BD117" s="1">
        <v>0</v>
      </c>
      <c r="BE117" s="1">
        <v>8787.5</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3200.913</v>
      </c>
      <c r="BV117" s="1">
        <v>2124.962</v>
      </c>
      <c r="BW117" s="1">
        <v>1949.3610000000001</v>
      </c>
      <c r="BX117" s="1">
        <v>1848.3779999999999</v>
      </c>
      <c r="BY117" s="1">
        <v>3200.913</v>
      </c>
      <c r="BZ117" s="1">
        <v>2124.962</v>
      </c>
      <c r="CA117" s="1">
        <v>1949.3610000000001</v>
      </c>
      <c r="CB117" s="1">
        <v>1848.3779999999999</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1483.3130000000001</v>
      </c>
      <c r="CT117" s="1">
        <v>1450.777</v>
      </c>
      <c r="CU117" s="1">
        <v>1342.5319999999999</v>
      </c>
      <c r="CV117" s="1">
        <v>1299.0650000000001</v>
      </c>
      <c r="CW117" s="1">
        <v>1483.3130000000001</v>
      </c>
      <c r="CX117" s="1">
        <v>1450.777</v>
      </c>
      <c r="CY117" s="1">
        <v>1342.5319999999999</v>
      </c>
      <c r="CZ117" s="1">
        <v>1299.0650000000001</v>
      </c>
      <c r="DA117" s="1">
        <v>0</v>
      </c>
      <c r="DB117" s="1">
        <v>0</v>
      </c>
      <c r="DC117" s="1">
        <v>0</v>
      </c>
      <c r="DD117" s="1">
        <v>0</v>
      </c>
      <c r="DE117" s="1">
        <v>0</v>
      </c>
      <c r="DF117" s="1">
        <v>0</v>
      </c>
      <c r="DG117" s="1">
        <v>0</v>
      </c>
      <c r="DH117" s="1">
        <v>0</v>
      </c>
      <c r="DI117" s="1">
        <v>0</v>
      </c>
      <c r="DJ117" s="1">
        <v>0</v>
      </c>
      <c r="DK117" s="1">
        <v>0</v>
      </c>
      <c r="DL117" s="1">
        <v>0</v>
      </c>
      <c r="DM117" s="1">
        <v>3297.95</v>
      </c>
      <c r="DN117" s="1">
        <v>3437.4319999999998</v>
      </c>
      <c r="DO117" s="1">
        <v>3181.904</v>
      </c>
      <c r="DP117" s="1">
        <v>3079.4319999999998</v>
      </c>
      <c r="DQ117" s="1">
        <v>3297.95</v>
      </c>
      <c r="DR117" s="1">
        <v>3437.4319999999998</v>
      </c>
      <c r="DS117" s="1">
        <v>3181.904</v>
      </c>
      <c r="DT117" s="1">
        <v>3079.4319999999998</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654.74500000000012</v>
      </c>
      <c r="EL117" s="1">
        <v>688.76499999999999</v>
      </c>
      <c r="EM117" s="1">
        <v>637.06700000000001</v>
      </c>
      <c r="EN117" s="1">
        <v>615.36900000000003</v>
      </c>
      <c r="EO117" s="1">
        <v>654.74500000000012</v>
      </c>
      <c r="EP117" s="1">
        <v>688.76499999999999</v>
      </c>
      <c r="EQ117" s="1">
        <v>637.06700000000001</v>
      </c>
      <c r="ER117" s="1">
        <v>615.36900000000003</v>
      </c>
      <c r="ES117" s="1">
        <v>0</v>
      </c>
      <c r="ET117" s="1">
        <v>0</v>
      </c>
      <c r="EU117" s="1">
        <v>0</v>
      </c>
      <c r="EV117" s="1">
        <v>0</v>
      </c>
      <c r="EW117" s="1">
        <v>0</v>
      </c>
      <c r="EX117" s="1">
        <v>0</v>
      </c>
      <c r="EY117" s="1">
        <v>0</v>
      </c>
      <c r="EZ117" s="1">
        <v>0</v>
      </c>
      <c r="FA117" s="1">
        <v>0</v>
      </c>
      <c r="FB117" s="1">
        <v>0</v>
      </c>
      <c r="FC117" s="1">
        <v>0</v>
      </c>
      <c r="FD117" s="1">
        <v>0</v>
      </c>
      <c r="FE117" s="1">
        <v>55.289000000000001</v>
      </c>
      <c r="FF117" s="1">
        <v>38.104999999999997</v>
      </c>
      <c r="FG117" s="1">
        <v>42.935000000000002</v>
      </c>
      <c r="FH117" s="1">
        <v>42.825000000000003</v>
      </c>
      <c r="FI117" s="1">
        <v>38.694000000000003</v>
      </c>
      <c r="FJ117" s="1">
        <v>17.280999999999999</v>
      </c>
      <c r="FK117" s="1">
        <v>17.657</v>
      </c>
      <c r="FL117" s="1">
        <v>4.5629999999999997</v>
      </c>
      <c r="FM117" s="1">
        <v>16.594999999999999</v>
      </c>
      <c r="FN117" s="1">
        <v>20.824000000000002</v>
      </c>
      <c r="FO117" s="1">
        <v>25.277999999999999</v>
      </c>
      <c r="FP117" s="1">
        <v>38.262</v>
      </c>
      <c r="FQ117" s="1">
        <v>0</v>
      </c>
      <c r="FR117" s="1">
        <v>0</v>
      </c>
      <c r="FS117" s="1">
        <v>0</v>
      </c>
      <c r="FT117" s="1">
        <v>0</v>
      </c>
      <c r="FU117" s="1">
        <v>0</v>
      </c>
      <c r="FV117" s="1">
        <v>0</v>
      </c>
      <c r="FW117" s="1">
        <v>0</v>
      </c>
      <c r="FX117" s="1">
        <v>0</v>
      </c>
      <c r="FY117" s="1">
        <v>0</v>
      </c>
      <c r="FZ117" s="1">
        <v>0</v>
      </c>
      <c r="GA117" s="1">
        <v>0</v>
      </c>
      <c r="GB117" s="1">
        <v>0</v>
      </c>
      <c r="GC117" s="1">
        <v>21.123999999999999</v>
      </c>
      <c r="GD117" s="1">
        <v>21.838000000000001</v>
      </c>
      <c r="GE117" s="1">
        <v>19.509</v>
      </c>
      <c r="GF117" s="1">
        <v>9.6029999999999998</v>
      </c>
      <c r="GG117" s="1">
        <v>20.667999999999999</v>
      </c>
      <c r="GH117" s="1">
        <v>21.463999999999999</v>
      </c>
      <c r="GI117" s="1">
        <v>19.109000000000002</v>
      </c>
      <c r="GJ117" s="1">
        <v>9.593</v>
      </c>
      <c r="GK117" s="1">
        <v>0.45600000000000002</v>
      </c>
      <c r="GL117" s="1">
        <v>0.374</v>
      </c>
      <c r="GM117" s="1">
        <v>0.4</v>
      </c>
      <c r="GN117" s="1">
        <v>0.01</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0</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463.61</v>
      </c>
      <c r="IP117" s="1">
        <v>232.38</v>
      </c>
      <c r="IQ117" s="1">
        <v>263.81</v>
      </c>
      <c r="IR117" s="1">
        <v>377.9</v>
      </c>
      <c r="IS117" s="1">
        <v>463.61</v>
      </c>
      <c r="IT117" s="1">
        <v>232.38</v>
      </c>
      <c r="IU117" s="1">
        <v>263.81</v>
      </c>
      <c r="IV117" s="1">
        <v>377.9</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0</v>
      </c>
      <c r="JO117" s="1">
        <v>0</v>
      </c>
      <c r="JP117" s="1">
        <v>0</v>
      </c>
      <c r="JQ117" s="9"/>
      <c r="JR117" s="1">
        <f t="shared" si="25"/>
        <v>2188.8036000000002</v>
      </c>
      <c r="JS117" s="1">
        <f t="shared" si="25"/>
        <v>2173.543200000001</v>
      </c>
      <c r="JT117" s="1">
        <f t="shared" si="25"/>
        <v>2030.7412800000004</v>
      </c>
      <c r="JU117" s="1">
        <f t="shared" si="25"/>
        <v>2077.2530999999999</v>
      </c>
      <c r="JV117" s="1">
        <f t="shared" si="26"/>
        <v>405.33400000000006</v>
      </c>
      <c r="JW117" s="1">
        <f t="shared" si="26"/>
        <v>402.50800000000021</v>
      </c>
      <c r="JX117" s="1">
        <f t="shared" si="26"/>
        <v>376.06320000000005</v>
      </c>
      <c r="JY117" s="1">
        <f t="shared" si="26"/>
        <v>384.67649999999998</v>
      </c>
    </row>
    <row r="118" spans="1:285" x14ac:dyDescent="0.35">
      <c r="A118" s="2" t="s">
        <v>125</v>
      </c>
      <c r="B118" s="1">
        <v>90909</v>
      </c>
      <c r="C118" s="1">
        <v>91079</v>
      </c>
      <c r="D118" s="1">
        <v>91155</v>
      </c>
      <c r="E118" s="1">
        <v>91752</v>
      </c>
      <c r="F118" s="1">
        <v>40424.660000000003</v>
      </c>
      <c r="G118" s="1">
        <v>35707.75</v>
      </c>
      <c r="H118" s="1">
        <v>34716.050000000003</v>
      </c>
      <c r="I118" s="1">
        <v>35714.5</v>
      </c>
      <c r="J118" s="1">
        <f t="shared" si="27"/>
        <v>23223.279999999995</v>
      </c>
      <c r="K118" s="1">
        <f t="shared" si="28"/>
        <v>21556.16</v>
      </c>
      <c r="L118" s="1">
        <f t="shared" si="29"/>
        <v>21487.090000000004</v>
      </c>
      <c r="M118" s="1">
        <f t="shared" si="30"/>
        <v>21427.11</v>
      </c>
      <c r="N118" s="1">
        <f t="shared" si="31"/>
        <v>17201.380000000008</v>
      </c>
      <c r="O118" s="1">
        <f t="shared" si="32"/>
        <v>14151.59</v>
      </c>
      <c r="P118" s="1">
        <f t="shared" si="33"/>
        <v>13228.96</v>
      </c>
      <c r="Q118" s="1">
        <f t="shared" si="34"/>
        <v>14287.39</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1">
        <v>0</v>
      </c>
      <c r="AL118" s="1">
        <v>0</v>
      </c>
      <c r="AM118" s="1">
        <v>0</v>
      </c>
      <c r="AN118" s="1">
        <v>0</v>
      </c>
      <c r="AO118" s="1">
        <v>0</v>
      </c>
      <c r="AP118" s="1">
        <v>9552.2000000000007</v>
      </c>
      <c r="AQ118" s="1">
        <v>8380.7199999999993</v>
      </c>
      <c r="AR118" s="1">
        <v>8078.68</v>
      </c>
      <c r="AS118" s="1">
        <v>8346.9600000000009</v>
      </c>
      <c r="AT118" s="1">
        <v>9552.2000000000007</v>
      </c>
      <c r="AU118" s="1">
        <v>0</v>
      </c>
      <c r="AV118" s="1">
        <v>0</v>
      </c>
      <c r="AW118" s="1">
        <v>0</v>
      </c>
      <c r="AX118" s="1">
        <v>8380.7199999999993</v>
      </c>
      <c r="AY118" s="1">
        <v>0</v>
      </c>
      <c r="AZ118" s="1">
        <v>0</v>
      </c>
      <c r="BA118" s="1">
        <v>0</v>
      </c>
      <c r="BB118" s="1">
        <v>8078.68</v>
      </c>
      <c r="BC118" s="1">
        <v>0</v>
      </c>
      <c r="BD118" s="1">
        <v>0</v>
      </c>
      <c r="BE118" s="1">
        <v>8346.9600000000009</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6878.94</v>
      </c>
      <c r="BV118" s="1">
        <v>7720.54</v>
      </c>
      <c r="BW118" s="1">
        <v>6920.65</v>
      </c>
      <c r="BX118" s="1">
        <v>5175.57</v>
      </c>
      <c r="BY118" s="1">
        <v>6878.94</v>
      </c>
      <c r="BZ118" s="1">
        <v>7720.54</v>
      </c>
      <c r="CA118" s="1">
        <v>6920.65</v>
      </c>
      <c r="CB118" s="1">
        <v>5175.57</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1482.03</v>
      </c>
      <c r="CT118" s="1">
        <v>1171.9000000000001</v>
      </c>
      <c r="CU118" s="1">
        <v>2856.32</v>
      </c>
      <c r="CV118" s="1">
        <v>3392.75</v>
      </c>
      <c r="CW118" s="1">
        <v>1482.03</v>
      </c>
      <c r="CX118" s="1">
        <v>1171.9000000000001</v>
      </c>
      <c r="CY118" s="1">
        <v>2856.32</v>
      </c>
      <c r="CZ118" s="1">
        <v>3392.75</v>
      </c>
      <c r="DA118" s="1">
        <v>0</v>
      </c>
      <c r="DB118" s="1">
        <v>0</v>
      </c>
      <c r="DC118" s="1">
        <v>0</v>
      </c>
      <c r="DD118" s="1">
        <v>0</v>
      </c>
      <c r="DE118" s="1">
        <v>0</v>
      </c>
      <c r="DF118" s="1">
        <v>0</v>
      </c>
      <c r="DG118" s="1">
        <v>0</v>
      </c>
      <c r="DH118" s="1">
        <v>0</v>
      </c>
      <c r="DI118" s="1">
        <v>0</v>
      </c>
      <c r="DJ118" s="1">
        <v>0</v>
      </c>
      <c r="DK118" s="1">
        <v>0</v>
      </c>
      <c r="DL118" s="1">
        <v>0</v>
      </c>
      <c r="DM118" s="1">
        <v>3143.92</v>
      </c>
      <c r="DN118" s="1">
        <v>2395.77</v>
      </c>
      <c r="DO118" s="1">
        <v>2016.3</v>
      </c>
      <c r="DP118" s="1">
        <v>2418.2600000000002</v>
      </c>
      <c r="DQ118" s="1">
        <v>3143.92</v>
      </c>
      <c r="DR118" s="1">
        <v>2395.77</v>
      </c>
      <c r="DS118" s="1">
        <v>2016.3</v>
      </c>
      <c r="DT118" s="1">
        <v>2418.2600000000002</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1563.01</v>
      </c>
      <c r="EL118" s="1">
        <v>1423.29</v>
      </c>
      <c r="EM118" s="1">
        <v>1069.1300000000001</v>
      </c>
      <c r="EN118" s="1">
        <v>686.68000000000006</v>
      </c>
      <c r="EO118" s="1">
        <v>1563.01</v>
      </c>
      <c r="EP118" s="1">
        <v>1423.29</v>
      </c>
      <c r="EQ118" s="1">
        <v>1069.1300000000001</v>
      </c>
      <c r="ER118" s="1">
        <v>686.68000000000006</v>
      </c>
      <c r="ES118" s="1">
        <v>0</v>
      </c>
      <c r="ET118" s="1">
        <v>0</v>
      </c>
      <c r="EU118" s="1">
        <v>0</v>
      </c>
      <c r="EV118" s="1">
        <v>0</v>
      </c>
      <c r="EW118" s="1">
        <v>0</v>
      </c>
      <c r="EX118" s="1">
        <v>0</v>
      </c>
      <c r="EY118" s="1">
        <v>0</v>
      </c>
      <c r="EZ118" s="1">
        <v>0</v>
      </c>
      <c r="FA118" s="1">
        <v>0</v>
      </c>
      <c r="FB118" s="1">
        <v>0</v>
      </c>
      <c r="FC118" s="1">
        <v>0</v>
      </c>
      <c r="FD118" s="1">
        <v>0</v>
      </c>
      <c r="FE118" s="1">
        <v>2.96</v>
      </c>
      <c r="FF118" s="1">
        <v>4.93</v>
      </c>
      <c r="FG118" s="1">
        <v>2.29</v>
      </c>
      <c r="FH118" s="1">
        <v>0.73</v>
      </c>
      <c r="FI118" s="1">
        <v>0</v>
      </c>
      <c r="FJ118" s="1">
        <v>0</v>
      </c>
      <c r="FK118" s="1">
        <v>0</v>
      </c>
      <c r="FL118" s="1">
        <v>0</v>
      </c>
      <c r="FM118" s="1">
        <v>2.96</v>
      </c>
      <c r="FN118" s="1">
        <v>4.93</v>
      </c>
      <c r="FO118" s="1">
        <v>2.29</v>
      </c>
      <c r="FP118" s="1">
        <v>0.73</v>
      </c>
      <c r="FQ118" s="1">
        <v>0</v>
      </c>
      <c r="FR118" s="1">
        <v>0</v>
      </c>
      <c r="FS118" s="1">
        <v>0</v>
      </c>
      <c r="FT118" s="1">
        <v>0</v>
      </c>
      <c r="FU118" s="1">
        <v>0</v>
      </c>
      <c r="FV118" s="1">
        <v>0</v>
      </c>
      <c r="FW118" s="1">
        <v>0</v>
      </c>
      <c r="FX118" s="1">
        <v>0</v>
      </c>
      <c r="FY118" s="1">
        <v>0</v>
      </c>
      <c r="FZ118" s="1">
        <v>0</v>
      </c>
      <c r="GA118" s="1">
        <v>0</v>
      </c>
      <c r="GB118" s="1">
        <v>0</v>
      </c>
      <c r="GC118" s="1">
        <v>36</v>
      </c>
      <c r="GD118" s="1">
        <v>32.1</v>
      </c>
      <c r="GE118" s="1">
        <v>28.2</v>
      </c>
      <c r="GF118" s="1">
        <v>100.46</v>
      </c>
      <c r="GG118" s="1">
        <v>36</v>
      </c>
      <c r="GH118" s="1">
        <v>32.1</v>
      </c>
      <c r="GI118" s="1">
        <v>16.2</v>
      </c>
      <c r="GJ118" s="1">
        <v>100.46</v>
      </c>
      <c r="GK118" s="1">
        <v>0</v>
      </c>
      <c r="GL118" s="1">
        <v>0</v>
      </c>
      <c r="GM118" s="1">
        <v>12</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0</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564.22</v>
      </c>
      <c r="IP118" s="1">
        <v>426.91</v>
      </c>
      <c r="IQ118" s="1">
        <v>515.52</v>
      </c>
      <c r="IR118" s="1">
        <v>1305.7</v>
      </c>
      <c r="IS118" s="1">
        <v>564.22</v>
      </c>
      <c r="IT118" s="1">
        <v>426.91</v>
      </c>
      <c r="IU118" s="1">
        <v>515.52</v>
      </c>
      <c r="IV118" s="1">
        <v>1305.7</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0</v>
      </c>
      <c r="JO118" s="1">
        <v>0</v>
      </c>
      <c r="JP118" s="1">
        <v>0</v>
      </c>
      <c r="JQ118" s="9"/>
      <c r="JR118" s="1">
        <f t="shared" si="25"/>
        <v>4644.3726000000024</v>
      </c>
      <c r="JS118" s="1">
        <f t="shared" si="25"/>
        <v>3820.9293000000002</v>
      </c>
      <c r="JT118" s="1">
        <f t="shared" si="25"/>
        <v>3571.8191999999999</v>
      </c>
      <c r="JU118" s="1">
        <f t="shared" si="25"/>
        <v>3857.5953</v>
      </c>
      <c r="JV118" s="1">
        <f t="shared" si="26"/>
        <v>860.06900000000041</v>
      </c>
      <c r="JW118" s="1">
        <f t="shared" si="26"/>
        <v>707.57950000000005</v>
      </c>
      <c r="JX118" s="1">
        <f t="shared" si="26"/>
        <v>661.44799999999998</v>
      </c>
      <c r="JY118" s="1">
        <f t="shared" si="26"/>
        <v>714.36950000000002</v>
      </c>
    </row>
    <row r="119" spans="1:285" x14ac:dyDescent="0.35">
      <c r="A119" s="2" t="s">
        <v>126</v>
      </c>
      <c r="B119" s="1">
        <v>306460</v>
      </c>
      <c r="C119" s="1">
        <v>305107</v>
      </c>
      <c r="D119" s="1">
        <v>312162</v>
      </c>
      <c r="E119" s="1">
        <v>321977</v>
      </c>
      <c r="F119" s="1">
        <v>78893.95</v>
      </c>
      <c r="G119" s="1">
        <v>77984.14</v>
      </c>
      <c r="H119" s="1">
        <v>72436.649999999994</v>
      </c>
      <c r="I119" s="1">
        <v>72030.28</v>
      </c>
      <c r="J119" s="1">
        <f t="shared" si="27"/>
        <v>49173.25</v>
      </c>
      <c r="K119" s="1">
        <f t="shared" si="28"/>
        <v>49358.619999999995</v>
      </c>
      <c r="L119" s="1">
        <f t="shared" si="29"/>
        <v>43905.84</v>
      </c>
      <c r="M119" s="1">
        <f t="shared" si="30"/>
        <v>43836.02</v>
      </c>
      <c r="N119" s="1">
        <f t="shared" si="31"/>
        <v>29720.699999999997</v>
      </c>
      <c r="O119" s="1">
        <f t="shared" si="32"/>
        <v>28625.520000000004</v>
      </c>
      <c r="P119" s="1">
        <f t="shared" si="33"/>
        <v>28530.809999999998</v>
      </c>
      <c r="Q119" s="1">
        <f t="shared" si="34"/>
        <v>28194.260000000002</v>
      </c>
      <c r="R119" s="1">
        <v>0</v>
      </c>
      <c r="S119" s="1">
        <v>2039</v>
      </c>
      <c r="T119" s="1">
        <v>3412</v>
      </c>
      <c r="U119" s="1">
        <v>3693</v>
      </c>
      <c r="V119" s="1">
        <v>0</v>
      </c>
      <c r="W119" s="1">
        <v>0</v>
      </c>
      <c r="X119" s="1">
        <v>0</v>
      </c>
      <c r="Y119" s="1">
        <v>0</v>
      </c>
      <c r="Z119" s="1">
        <v>0</v>
      </c>
      <c r="AA119" s="1">
        <v>2039</v>
      </c>
      <c r="AB119" s="1">
        <v>0</v>
      </c>
      <c r="AC119" s="1">
        <v>0</v>
      </c>
      <c r="AD119" s="1">
        <v>3412</v>
      </c>
      <c r="AE119" s="1">
        <v>0</v>
      </c>
      <c r="AF119" s="1">
        <v>0</v>
      </c>
      <c r="AG119" s="1">
        <v>3693</v>
      </c>
      <c r="AH119" s="1">
        <v>0</v>
      </c>
      <c r="AI119" s="1">
        <v>0</v>
      </c>
      <c r="AJ119" s="1">
        <v>0</v>
      </c>
      <c r="AK119" s="1">
        <v>0</v>
      </c>
      <c r="AL119" s="1">
        <v>0</v>
      </c>
      <c r="AM119" s="1">
        <v>0</v>
      </c>
      <c r="AN119" s="1">
        <v>0</v>
      </c>
      <c r="AO119" s="1">
        <v>0</v>
      </c>
      <c r="AP119" s="1">
        <v>20489</v>
      </c>
      <c r="AQ119" s="1">
        <v>19134</v>
      </c>
      <c r="AR119" s="1">
        <v>14222</v>
      </c>
      <c r="AS119" s="1">
        <v>15344</v>
      </c>
      <c r="AT119" s="1">
        <v>20489</v>
      </c>
      <c r="AU119" s="1">
        <v>0</v>
      </c>
      <c r="AV119" s="1">
        <v>0</v>
      </c>
      <c r="AW119" s="1">
        <v>0</v>
      </c>
      <c r="AX119" s="1">
        <v>19134</v>
      </c>
      <c r="AY119" s="1">
        <v>0</v>
      </c>
      <c r="AZ119" s="1">
        <v>0</v>
      </c>
      <c r="BA119" s="1">
        <v>0</v>
      </c>
      <c r="BB119" s="1">
        <v>14222</v>
      </c>
      <c r="BC119" s="1">
        <v>0</v>
      </c>
      <c r="BD119" s="1">
        <v>0</v>
      </c>
      <c r="BE119" s="1">
        <v>15344</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14876.01</v>
      </c>
      <c r="BV119" s="1">
        <v>14933.84</v>
      </c>
      <c r="BW119" s="1">
        <v>14081.89</v>
      </c>
      <c r="BX119" s="1">
        <v>13222</v>
      </c>
      <c r="BY119" s="1">
        <v>14876.01</v>
      </c>
      <c r="BZ119" s="1">
        <v>14933.84</v>
      </c>
      <c r="CA119" s="1">
        <v>14081.89</v>
      </c>
      <c r="CB119" s="1">
        <v>13222</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5090.17</v>
      </c>
      <c r="CT119" s="1">
        <v>4194.8</v>
      </c>
      <c r="CU119" s="1">
        <v>3642.36</v>
      </c>
      <c r="CV119" s="1">
        <v>2879</v>
      </c>
      <c r="CW119" s="1">
        <v>5090.17</v>
      </c>
      <c r="CX119" s="1">
        <v>4194.8</v>
      </c>
      <c r="CY119" s="1">
        <v>3642.36</v>
      </c>
      <c r="CZ119" s="1">
        <v>2879</v>
      </c>
      <c r="DA119" s="1">
        <v>0</v>
      </c>
      <c r="DB119" s="1">
        <v>0</v>
      </c>
      <c r="DC119" s="1">
        <v>0</v>
      </c>
      <c r="DD119" s="1">
        <v>0</v>
      </c>
      <c r="DE119" s="1">
        <v>0</v>
      </c>
      <c r="DF119" s="1">
        <v>0</v>
      </c>
      <c r="DG119" s="1">
        <v>0</v>
      </c>
      <c r="DH119" s="1">
        <v>0</v>
      </c>
      <c r="DI119" s="1">
        <v>0</v>
      </c>
      <c r="DJ119" s="1">
        <v>0</v>
      </c>
      <c r="DK119" s="1">
        <v>0</v>
      </c>
      <c r="DL119" s="1">
        <v>0</v>
      </c>
      <c r="DM119" s="1">
        <v>4018.56</v>
      </c>
      <c r="DN119" s="1">
        <v>4158.99</v>
      </c>
      <c r="DO119" s="1">
        <v>3976.45</v>
      </c>
      <c r="DP119" s="1">
        <v>3468.03</v>
      </c>
      <c r="DQ119" s="1">
        <v>4018.56</v>
      </c>
      <c r="DR119" s="1">
        <v>4158.99</v>
      </c>
      <c r="DS119" s="1">
        <v>3976.45</v>
      </c>
      <c r="DT119" s="1">
        <v>3468.03</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1673.51</v>
      </c>
      <c r="EL119" s="1">
        <v>1473.99</v>
      </c>
      <c r="EM119" s="1">
        <v>1305.74</v>
      </c>
      <c r="EN119" s="1">
        <v>1250.99</v>
      </c>
      <c r="EO119" s="1">
        <v>1673.51</v>
      </c>
      <c r="EP119" s="1">
        <v>1473.99</v>
      </c>
      <c r="EQ119" s="1">
        <v>1305.74</v>
      </c>
      <c r="ER119" s="1">
        <v>1250.99</v>
      </c>
      <c r="ES119" s="1">
        <v>0</v>
      </c>
      <c r="ET119" s="1">
        <v>0</v>
      </c>
      <c r="EU119" s="1">
        <v>0</v>
      </c>
      <c r="EV119" s="1">
        <v>0</v>
      </c>
      <c r="EW119" s="1">
        <v>0</v>
      </c>
      <c r="EX119" s="1">
        <v>0</v>
      </c>
      <c r="EY119" s="1">
        <v>0</v>
      </c>
      <c r="EZ119" s="1">
        <v>0</v>
      </c>
      <c r="FA119" s="1">
        <v>0</v>
      </c>
      <c r="FB119" s="1">
        <v>0</v>
      </c>
      <c r="FC119" s="1">
        <v>0</v>
      </c>
      <c r="FD119" s="1">
        <v>0</v>
      </c>
      <c r="FE119" s="1">
        <v>549</v>
      </c>
      <c r="FF119" s="1">
        <v>810.8</v>
      </c>
      <c r="FG119" s="1">
        <v>730</v>
      </c>
      <c r="FH119" s="1">
        <v>810</v>
      </c>
      <c r="FI119" s="1">
        <v>549</v>
      </c>
      <c r="FJ119" s="1">
        <v>810.8</v>
      </c>
      <c r="FK119" s="1">
        <v>730</v>
      </c>
      <c r="FL119" s="1">
        <v>810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1724</v>
      </c>
      <c r="GD119" s="1">
        <v>1613</v>
      </c>
      <c r="GE119" s="1">
        <v>1560</v>
      </c>
      <c r="GF119" s="1">
        <v>1625</v>
      </c>
      <c r="GG119" s="1">
        <v>1724</v>
      </c>
      <c r="GH119" s="1">
        <v>1613</v>
      </c>
      <c r="GI119" s="1">
        <v>1560</v>
      </c>
      <c r="GJ119" s="1">
        <v>1625</v>
      </c>
      <c r="GK119" s="1">
        <v>0</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753</v>
      </c>
      <c r="HF119" s="1">
        <v>1000.2</v>
      </c>
      <c r="HG119" s="1">
        <v>975.4</v>
      </c>
      <c r="HH119" s="1">
        <v>1544</v>
      </c>
      <c r="HI119" s="1">
        <v>753</v>
      </c>
      <c r="HJ119" s="1">
        <v>745</v>
      </c>
      <c r="HK119" s="1">
        <v>596</v>
      </c>
      <c r="HL119" s="1">
        <v>1099</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445</v>
      </c>
      <c r="IG119" s="1">
        <v>0</v>
      </c>
      <c r="IH119" s="1">
        <v>255.2</v>
      </c>
      <c r="II119" s="1">
        <v>379.4</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0</v>
      </c>
      <c r="JO119" s="1">
        <v>0</v>
      </c>
      <c r="JP119" s="1">
        <v>0</v>
      </c>
      <c r="JQ119" s="9"/>
      <c r="JR119" s="1">
        <f t="shared" si="25"/>
        <v>8024.5889999999999</v>
      </c>
      <c r="JS119" s="1">
        <f t="shared" si="25"/>
        <v>7728.890400000002</v>
      </c>
      <c r="JT119" s="1">
        <f t="shared" si="25"/>
        <v>7703.3186999999998</v>
      </c>
      <c r="JU119" s="1">
        <f t="shared" si="25"/>
        <v>7612.4502000000011</v>
      </c>
      <c r="JV119" s="1">
        <f t="shared" si="26"/>
        <v>1486.0349999999999</v>
      </c>
      <c r="JW119" s="1">
        <f t="shared" si="26"/>
        <v>1431.2760000000003</v>
      </c>
      <c r="JX119" s="1">
        <f t="shared" si="26"/>
        <v>1426.5405000000001</v>
      </c>
      <c r="JY119" s="1">
        <f t="shared" si="26"/>
        <v>1409.7130000000002</v>
      </c>
    </row>
    <row r="120" spans="1:285" x14ac:dyDescent="0.35">
      <c r="A120" s="2" t="s">
        <v>127</v>
      </c>
      <c r="B120" s="1">
        <v>113051</v>
      </c>
      <c r="C120" s="1">
        <v>113653</v>
      </c>
      <c r="D120" s="1">
        <v>114327</v>
      </c>
      <c r="E120" s="1">
        <v>115314</v>
      </c>
      <c r="F120" s="1">
        <v>36026.813999999998</v>
      </c>
      <c r="G120" s="1">
        <v>35824.338000000003</v>
      </c>
      <c r="H120" s="1">
        <v>33203.67</v>
      </c>
      <c r="I120" s="1">
        <v>34553.417000000001</v>
      </c>
      <c r="J120" s="1">
        <f t="shared" si="27"/>
        <v>21074.033999999996</v>
      </c>
      <c r="K120" s="1">
        <f t="shared" si="28"/>
        <v>20653.846000000005</v>
      </c>
      <c r="L120" s="1">
        <f t="shared" si="29"/>
        <v>18486.292999999998</v>
      </c>
      <c r="M120" s="1">
        <f t="shared" si="30"/>
        <v>19552.452000000001</v>
      </c>
      <c r="N120" s="1">
        <f t="shared" si="31"/>
        <v>14952.780000000002</v>
      </c>
      <c r="O120" s="1">
        <f t="shared" si="32"/>
        <v>15170.491999999998</v>
      </c>
      <c r="P120" s="1">
        <f t="shared" si="33"/>
        <v>14717.377</v>
      </c>
      <c r="Q120" s="1">
        <f t="shared" si="34"/>
        <v>15000.965</v>
      </c>
      <c r="R120" s="1">
        <v>0</v>
      </c>
      <c r="S120" s="1">
        <v>0</v>
      </c>
      <c r="T120" s="1">
        <v>0</v>
      </c>
      <c r="U120" s="1">
        <v>0</v>
      </c>
      <c r="V120" s="1">
        <v>0</v>
      </c>
      <c r="W120" s="1">
        <v>0</v>
      </c>
      <c r="X120" s="1">
        <v>0</v>
      </c>
      <c r="Y120" s="1">
        <v>0</v>
      </c>
      <c r="Z120" s="1">
        <v>0</v>
      </c>
      <c r="AA120" s="1">
        <v>0</v>
      </c>
      <c r="AB120" s="1">
        <v>0</v>
      </c>
      <c r="AC120" s="1">
        <v>0</v>
      </c>
      <c r="AD120" s="1">
        <v>0</v>
      </c>
      <c r="AE120" s="1">
        <v>0</v>
      </c>
      <c r="AF120" s="1">
        <v>0</v>
      </c>
      <c r="AG120" s="1">
        <v>0</v>
      </c>
      <c r="AH120" s="1">
        <v>0</v>
      </c>
      <c r="AI120" s="1">
        <v>0</v>
      </c>
      <c r="AJ120" s="1">
        <v>0</v>
      </c>
      <c r="AK120" s="1">
        <v>0</v>
      </c>
      <c r="AL120" s="1">
        <v>0</v>
      </c>
      <c r="AM120" s="1">
        <v>0</v>
      </c>
      <c r="AN120" s="1">
        <v>0</v>
      </c>
      <c r="AO120" s="1">
        <v>0</v>
      </c>
      <c r="AP120" s="1">
        <v>9583.4</v>
      </c>
      <c r="AQ120" s="1">
        <v>9267.746000000001</v>
      </c>
      <c r="AR120" s="1">
        <v>8060.6750000000002</v>
      </c>
      <c r="AS120" s="1">
        <v>9515.67</v>
      </c>
      <c r="AT120" s="1">
        <v>0</v>
      </c>
      <c r="AU120" s="1">
        <v>9583.4</v>
      </c>
      <c r="AV120" s="1">
        <v>0</v>
      </c>
      <c r="AW120" s="1">
        <v>0</v>
      </c>
      <c r="AX120" s="1">
        <v>0</v>
      </c>
      <c r="AY120" s="1">
        <v>9267.746000000001</v>
      </c>
      <c r="AZ120" s="1">
        <v>0</v>
      </c>
      <c r="BA120" s="1">
        <v>0</v>
      </c>
      <c r="BB120" s="1">
        <v>0</v>
      </c>
      <c r="BC120" s="1">
        <v>8060.6750000000002</v>
      </c>
      <c r="BD120" s="1">
        <v>0</v>
      </c>
      <c r="BE120" s="1">
        <v>0</v>
      </c>
      <c r="BF120" s="1">
        <v>9515.67</v>
      </c>
      <c r="BG120" s="1">
        <v>0</v>
      </c>
      <c r="BH120" s="1">
        <v>0</v>
      </c>
      <c r="BI120" s="1">
        <v>0</v>
      </c>
      <c r="BJ120" s="1">
        <v>0</v>
      </c>
      <c r="BK120" s="1">
        <v>0</v>
      </c>
      <c r="BL120" s="1">
        <v>0</v>
      </c>
      <c r="BM120" s="1">
        <v>0</v>
      </c>
      <c r="BN120" s="1">
        <v>0</v>
      </c>
      <c r="BO120" s="1">
        <v>0</v>
      </c>
      <c r="BP120" s="1">
        <v>0</v>
      </c>
      <c r="BQ120" s="1">
        <v>0</v>
      </c>
      <c r="BR120" s="1">
        <v>0</v>
      </c>
      <c r="BS120" s="1">
        <v>0</v>
      </c>
      <c r="BT120" s="1">
        <v>0</v>
      </c>
      <c r="BU120" s="1">
        <v>5518.2719999999999</v>
      </c>
      <c r="BV120" s="1">
        <v>4899.991</v>
      </c>
      <c r="BW120" s="1">
        <v>4593.5680000000002</v>
      </c>
      <c r="BX120" s="1">
        <v>4412.076</v>
      </c>
      <c r="BY120" s="1">
        <v>5518.2719999999999</v>
      </c>
      <c r="BZ120" s="1">
        <v>4899.991</v>
      </c>
      <c r="CA120" s="1">
        <v>4593.5680000000002</v>
      </c>
      <c r="CB120" s="1">
        <v>4412.076</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1273.1089999999999</v>
      </c>
      <c r="CT120" s="1">
        <v>1220.8530000000001</v>
      </c>
      <c r="CU120" s="1">
        <v>1180.923</v>
      </c>
      <c r="CV120" s="1">
        <v>1189.7660000000001</v>
      </c>
      <c r="CW120" s="1">
        <v>1273.1089999999999</v>
      </c>
      <c r="CX120" s="1">
        <v>1220.8530000000001</v>
      </c>
      <c r="CY120" s="1">
        <v>1180.923</v>
      </c>
      <c r="CZ120" s="1">
        <v>1189.7660000000001</v>
      </c>
      <c r="DA120" s="1">
        <v>0</v>
      </c>
      <c r="DB120" s="1">
        <v>0</v>
      </c>
      <c r="DC120" s="1">
        <v>0</v>
      </c>
      <c r="DD120" s="1">
        <v>0</v>
      </c>
      <c r="DE120" s="1">
        <v>0</v>
      </c>
      <c r="DF120" s="1">
        <v>0</v>
      </c>
      <c r="DG120" s="1">
        <v>0</v>
      </c>
      <c r="DH120" s="1">
        <v>0</v>
      </c>
      <c r="DI120" s="1">
        <v>0</v>
      </c>
      <c r="DJ120" s="1">
        <v>0</v>
      </c>
      <c r="DK120" s="1">
        <v>0</v>
      </c>
      <c r="DL120" s="1">
        <v>0</v>
      </c>
      <c r="DM120" s="1">
        <v>3415.4540000000002</v>
      </c>
      <c r="DN120" s="1">
        <v>3828.06</v>
      </c>
      <c r="DO120" s="1">
        <v>3382.116</v>
      </c>
      <c r="DP120" s="1">
        <v>3342.4290000000001</v>
      </c>
      <c r="DQ120" s="1">
        <v>3415.4540000000002</v>
      </c>
      <c r="DR120" s="1">
        <v>3828.06</v>
      </c>
      <c r="DS120" s="1">
        <v>3382.116</v>
      </c>
      <c r="DT120" s="1">
        <v>3342.4290000000001</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669.54899999999998</v>
      </c>
      <c r="EL120" s="1">
        <v>632.85199999999998</v>
      </c>
      <c r="EM120" s="1">
        <v>563.54399999999998</v>
      </c>
      <c r="EN120" s="1">
        <v>533.18599999999992</v>
      </c>
      <c r="EO120" s="1">
        <v>669.54899999999998</v>
      </c>
      <c r="EP120" s="1">
        <v>632.85199999999998</v>
      </c>
      <c r="EQ120" s="1">
        <v>563.54399999999998</v>
      </c>
      <c r="ER120" s="1">
        <v>533.18599999999992</v>
      </c>
      <c r="ES120" s="1">
        <v>0</v>
      </c>
      <c r="ET120" s="1">
        <v>0</v>
      </c>
      <c r="EU120" s="1">
        <v>0</v>
      </c>
      <c r="EV120" s="1">
        <v>0</v>
      </c>
      <c r="EW120" s="1">
        <v>0</v>
      </c>
      <c r="EX120" s="1">
        <v>0</v>
      </c>
      <c r="EY120" s="1">
        <v>0</v>
      </c>
      <c r="EZ120" s="1">
        <v>0</v>
      </c>
      <c r="FA120" s="1">
        <v>0</v>
      </c>
      <c r="FB120" s="1">
        <v>0</v>
      </c>
      <c r="FC120" s="1">
        <v>0</v>
      </c>
      <c r="FD120" s="1">
        <v>0</v>
      </c>
      <c r="FE120" s="1">
        <v>49.241999999999997</v>
      </c>
      <c r="FF120" s="1">
        <v>127.47199999999999</v>
      </c>
      <c r="FG120" s="1">
        <v>152.43799999999999</v>
      </c>
      <c r="FH120" s="1">
        <v>105.036</v>
      </c>
      <c r="FI120" s="1">
        <v>16.632000000000001</v>
      </c>
      <c r="FJ120" s="1">
        <v>26.66</v>
      </c>
      <c r="FK120" s="1">
        <v>19.824000000000002</v>
      </c>
      <c r="FL120" s="1">
        <v>10.250999999999999</v>
      </c>
      <c r="FM120" s="1">
        <v>32.61</v>
      </c>
      <c r="FN120" s="1">
        <v>100.812</v>
      </c>
      <c r="FO120" s="1">
        <v>132.614</v>
      </c>
      <c r="FP120" s="1">
        <v>94.784999999999997</v>
      </c>
      <c r="FQ120" s="1">
        <v>0</v>
      </c>
      <c r="FR120" s="1">
        <v>0</v>
      </c>
      <c r="FS120" s="1">
        <v>0</v>
      </c>
      <c r="FT120" s="1">
        <v>0</v>
      </c>
      <c r="FU120" s="1">
        <v>0</v>
      </c>
      <c r="FV120" s="1">
        <v>0</v>
      </c>
      <c r="FW120" s="1">
        <v>0</v>
      </c>
      <c r="FX120" s="1">
        <v>0</v>
      </c>
      <c r="FY120" s="1">
        <v>0</v>
      </c>
      <c r="FZ120" s="1">
        <v>0</v>
      </c>
      <c r="GA120" s="1">
        <v>0</v>
      </c>
      <c r="GB120" s="1">
        <v>0</v>
      </c>
      <c r="GC120" s="1">
        <v>98.944000000000003</v>
      </c>
      <c r="GD120" s="1">
        <v>117.721</v>
      </c>
      <c r="GE120" s="1">
        <v>100.032</v>
      </c>
      <c r="GF120" s="1">
        <v>76.622</v>
      </c>
      <c r="GG120" s="1">
        <v>98.944000000000003</v>
      </c>
      <c r="GH120" s="1">
        <v>117.721</v>
      </c>
      <c r="GI120" s="1">
        <v>100.032</v>
      </c>
      <c r="GJ120" s="1">
        <v>76.622</v>
      </c>
      <c r="GK120" s="1">
        <v>0</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23.239000000000001</v>
      </c>
      <c r="HG120" s="1">
        <v>0</v>
      </c>
      <c r="HH120" s="1">
        <v>5.8000000000000003E-2</v>
      </c>
      <c r="HI120" s="1">
        <v>0</v>
      </c>
      <c r="HJ120" s="1">
        <v>23.239000000000001</v>
      </c>
      <c r="HK120" s="1">
        <v>0</v>
      </c>
      <c r="HL120" s="1">
        <v>5.8000000000000003E-2</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466.06400000000002</v>
      </c>
      <c r="IP120" s="1">
        <v>535.91200000000003</v>
      </c>
      <c r="IQ120" s="1">
        <v>452.99700000000001</v>
      </c>
      <c r="IR120" s="1">
        <v>377.60899999999998</v>
      </c>
      <c r="IS120" s="1">
        <v>378.10899999999998</v>
      </c>
      <c r="IT120" s="1">
        <v>361.64499999999998</v>
      </c>
      <c r="IU120" s="1">
        <v>249.47900000000001</v>
      </c>
      <c r="IV120" s="1">
        <v>222.446</v>
      </c>
      <c r="IW120" s="1">
        <v>87.954999999999998</v>
      </c>
      <c r="IX120" s="1">
        <v>174.267</v>
      </c>
      <c r="IY120" s="1">
        <v>203.518</v>
      </c>
      <c r="IZ120" s="1">
        <v>155.16300000000001</v>
      </c>
      <c r="JA120" s="1">
        <v>0</v>
      </c>
      <c r="JB120" s="1">
        <v>0</v>
      </c>
      <c r="JC120" s="1">
        <v>0</v>
      </c>
      <c r="JD120" s="1">
        <v>0</v>
      </c>
      <c r="JE120" s="1">
        <v>0</v>
      </c>
      <c r="JF120" s="1">
        <v>0</v>
      </c>
      <c r="JG120" s="1">
        <v>0</v>
      </c>
      <c r="JH120" s="1">
        <v>0</v>
      </c>
      <c r="JI120" s="1">
        <v>0</v>
      </c>
      <c r="JJ120" s="1">
        <v>0</v>
      </c>
      <c r="JK120" s="1">
        <v>0</v>
      </c>
      <c r="JL120" s="1">
        <v>0</v>
      </c>
      <c r="JM120" s="1">
        <v>0</v>
      </c>
      <c r="JN120" s="1">
        <v>0</v>
      </c>
      <c r="JO120" s="1">
        <v>0</v>
      </c>
      <c r="JP120" s="1">
        <v>0</v>
      </c>
      <c r="JQ120" s="9"/>
      <c r="JR120" s="1">
        <f t="shared" si="25"/>
        <v>4037.2506000000008</v>
      </c>
      <c r="JS120" s="1">
        <f t="shared" si="25"/>
        <v>4096.0328399999999</v>
      </c>
      <c r="JT120" s="1">
        <f t="shared" si="25"/>
        <v>3973.6917900000003</v>
      </c>
      <c r="JU120" s="1">
        <f t="shared" si="25"/>
        <v>4050.2605500000004</v>
      </c>
      <c r="JV120" s="1">
        <f t="shared" si="26"/>
        <v>747.63900000000012</v>
      </c>
      <c r="JW120" s="1">
        <f t="shared" si="26"/>
        <v>758.52459999999996</v>
      </c>
      <c r="JX120" s="1">
        <f t="shared" si="26"/>
        <v>735.86885000000007</v>
      </c>
      <c r="JY120" s="1">
        <f t="shared" si="26"/>
        <v>750.04825000000005</v>
      </c>
    </row>
    <row r="121" spans="1:285" x14ac:dyDescent="0.35">
      <c r="A121" s="2" t="s">
        <v>128</v>
      </c>
      <c r="B121" s="1">
        <v>144377</v>
      </c>
      <c r="C121" s="1">
        <v>147500</v>
      </c>
      <c r="D121" s="1">
        <v>148784</v>
      </c>
      <c r="E121" s="1">
        <v>149741</v>
      </c>
      <c r="F121" s="1">
        <v>77592.012000000002</v>
      </c>
      <c r="G121" s="1">
        <v>70553.437999999995</v>
      </c>
      <c r="H121" s="1">
        <v>62822.317000000003</v>
      </c>
      <c r="I121" s="1">
        <v>64169.817000000003</v>
      </c>
      <c r="J121" s="1">
        <f t="shared" si="27"/>
        <v>56947.091999999997</v>
      </c>
      <c r="K121" s="1">
        <f t="shared" si="28"/>
        <v>48898.871999999996</v>
      </c>
      <c r="L121" s="1">
        <f t="shared" si="29"/>
        <v>42585.678999999989</v>
      </c>
      <c r="M121" s="1">
        <f t="shared" si="30"/>
        <v>42925.1</v>
      </c>
      <c r="N121" s="1">
        <f t="shared" si="31"/>
        <v>20644.920000000006</v>
      </c>
      <c r="O121" s="1">
        <f t="shared" si="32"/>
        <v>21654.565999999999</v>
      </c>
      <c r="P121" s="1">
        <f t="shared" si="33"/>
        <v>20236.638000000014</v>
      </c>
      <c r="Q121" s="1">
        <f t="shared" si="34"/>
        <v>21244.717000000004</v>
      </c>
      <c r="R121" s="1">
        <v>0</v>
      </c>
      <c r="S121" s="1">
        <v>5.42</v>
      </c>
      <c r="T121" s="1">
        <v>0</v>
      </c>
      <c r="U121" s="1">
        <v>0</v>
      </c>
      <c r="V121" s="1">
        <v>0</v>
      </c>
      <c r="W121" s="1">
        <v>0</v>
      </c>
      <c r="X121" s="1">
        <v>0</v>
      </c>
      <c r="Y121" s="1">
        <v>0</v>
      </c>
      <c r="Z121" s="1">
        <v>0</v>
      </c>
      <c r="AA121" s="1">
        <v>5.42</v>
      </c>
      <c r="AB121" s="1">
        <v>0</v>
      </c>
      <c r="AC121" s="1">
        <v>0</v>
      </c>
      <c r="AD121" s="1">
        <v>0</v>
      </c>
      <c r="AE121" s="1">
        <v>0</v>
      </c>
      <c r="AF121" s="1">
        <v>0</v>
      </c>
      <c r="AG121" s="1">
        <v>0</v>
      </c>
      <c r="AH121" s="1">
        <v>0</v>
      </c>
      <c r="AI121" s="1">
        <v>0</v>
      </c>
      <c r="AJ121" s="1">
        <v>0</v>
      </c>
      <c r="AK121" s="1">
        <v>0</v>
      </c>
      <c r="AL121" s="1">
        <v>0</v>
      </c>
      <c r="AM121" s="1">
        <v>0</v>
      </c>
      <c r="AN121" s="1">
        <v>0</v>
      </c>
      <c r="AO121" s="1">
        <v>0</v>
      </c>
      <c r="AP121" s="1">
        <v>13687.179999999998</v>
      </c>
      <c r="AQ121" s="1">
        <v>14960.783999999998</v>
      </c>
      <c r="AR121" s="1">
        <v>12914.449999999999</v>
      </c>
      <c r="AS121" s="1">
        <v>13780.12</v>
      </c>
      <c r="AT121" s="1">
        <v>0</v>
      </c>
      <c r="AU121" s="1">
        <v>13687.179999999998</v>
      </c>
      <c r="AV121" s="1">
        <v>0</v>
      </c>
      <c r="AW121" s="1">
        <v>0</v>
      </c>
      <c r="AX121" s="1">
        <v>0</v>
      </c>
      <c r="AY121" s="1">
        <v>14960.783999999998</v>
      </c>
      <c r="AZ121" s="1">
        <v>0</v>
      </c>
      <c r="BA121" s="1">
        <v>0</v>
      </c>
      <c r="BB121" s="1">
        <v>0</v>
      </c>
      <c r="BC121" s="1">
        <v>12914.449999999999</v>
      </c>
      <c r="BD121" s="1">
        <v>0</v>
      </c>
      <c r="BE121" s="1">
        <v>0</v>
      </c>
      <c r="BF121" s="1">
        <v>13780.12</v>
      </c>
      <c r="BG121" s="1">
        <v>0</v>
      </c>
      <c r="BH121" s="1">
        <v>0</v>
      </c>
      <c r="BI121" s="1">
        <v>0</v>
      </c>
      <c r="BJ121" s="1">
        <v>0</v>
      </c>
      <c r="BK121" s="1">
        <v>0</v>
      </c>
      <c r="BL121" s="1">
        <v>0</v>
      </c>
      <c r="BM121" s="1">
        <v>0</v>
      </c>
      <c r="BN121" s="1">
        <v>0</v>
      </c>
      <c r="BO121" s="1">
        <v>0</v>
      </c>
      <c r="BP121" s="1">
        <v>0</v>
      </c>
      <c r="BQ121" s="1">
        <v>0</v>
      </c>
      <c r="BR121" s="1">
        <v>0</v>
      </c>
      <c r="BS121" s="1">
        <v>0</v>
      </c>
      <c r="BT121" s="1">
        <v>0</v>
      </c>
      <c r="BU121" s="1">
        <v>21942.15</v>
      </c>
      <c r="BV121" s="1">
        <v>16502.338</v>
      </c>
      <c r="BW121" s="1">
        <v>21349.9</v>
      </c>
      <c r="BX121" s="1">
        <v>20265.13</v>
      </c>
      <c r="BY121" s="1">
        <v>21939.37</v>
      </c>
      <c r="BZ121" s="1">
        <v>16502.338</v>
      </c>
      <c r="CA121" s="1">
        <v>21349.02</v>
      </c>
      <c r="CB121" s="1">
        <v>20264.95</v>
      </c>
      <c r="CC121" s="1">
        <v>2.78</v>
      </c>
      <c r="CD121" s="1">
        <v>0</v>
      </c>
      <c r="CE121" s="1">
        <v>0.88</v>
      </c>
      <c r="CF121" s="1">
        <v>0.18</v>
      </c>
      <c r="CG121" s="1">
        <v>0</v>
      </c>
      <c r="CH121" s="1">
        <v>0</v>
      </c>
      <c r="CI121" s="1">
        <v>0</v>
      </c>
      <c r="CJ121" s="1">
        <v>0</v>
      </c>
      <c r="CK121" s="1">
        <v>0</v>
      </c>
      <c r="CL121" s="1">
        <v>0</v>
      </c>
      <c r="CM121" s="1">
        <v>0</v>
      </c>
      <c r="CN121" s="1">
        <v>0</v>
      </c>
      <c r="CO121" s="1">
        <v>0</v>
      </c>
      <c r="CP121" s="1">
        <v>0</v>
      </c>
      <c r="CQ121" s="1">
        <v>0</v>
      </c>
      <c r="CR121" s="1">
        <v>0</v>
      </c>
      <c r="CS121" s="1">
        <v>9988.7800000000007</v>
      </c>
      <c r="CT121" s="1">
        <v>7732.9830000000002</v>
      </c>
      <c r="CU121" s="1">
        <v>1222.02</v>
      </c>
      <c r="CV121" s="1">
        <v>1313.83</v>
      </c>
      <c r="CW121" s="1">
        <v>9988.7800000000007</v>
      </c>
      <c r="CX121" s="1">
        <v>7732.8429999999998</v>
      </c>
      <c r="CY121" s="1">
        <v>1222.02</v>
      </c>
      <c r="CZ121" s="1">
        <v>1313.83</v>
      </c>
      <c r="DA121" s="1">
        <v>0</v>
      </c>
      <c r="DB121" s="1">
        <v>0</v>
      </c>
      <c r="DC121" s="1">
        <v>0</v>
      </c>
      <c r="DD121" s="1">
        <v>0</v>
      </c>
      <c r="DE121" s="1">
        <v>0</v>
      </c>
      <c r="DF121" s="1">
        <v>0</v>
      </c>
      <c r="DG121" s="1">
        <v>0</v>
      </c>
      <c r="DH121" s="1">
        <v>0</v>
      </c>
      <c r="DI121" s="1">
        <v>0</v>
      </c>
      <c r="DJ121" s="1">
        <v>0.14000000000000001</v>
      </c>
      <c r="DK121" s="1">
        <v>0</v>
      </c>
      <c r="DL121" s="1">
        <v>0</v>
      </c>
      <c r="DM121" s="1">
        <v>5055.88</v>
      </c>
      <c r="DN121" s="1">
        <v>5026.4870000000001</v>
      </c>
      <c r="DO121" s="1">
        <v>4691.57</v>
      </c>
      <c r="DP121" s="1">
        <v>4362.37</v>
      </c>
      <c r="DQ121" s="1">
        <v>5055.88</v>
      </c>
      <c r="DR121" s="1">
        <v>5026.4870000000001</v>
      </c>
      <c r="DS121" s="1">
        <v>4691.57</v>
      </c>
      <c r="DT121" s="1">
        <v>4362.37</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4507.59</v>
      </c>
      <c r="EL121" s="1">
        <v>2907.81</v>
      </c>
      <c r="EM121" s="1">
        <v>868.57899999999995</v>
      </c>
      <c r="EN121" s="1">
        <v>1268.95</v>
      </c>
      <c r="EO121" s="1">
        <v>4507.59</v>
      </c>
      <c r="EP121" s="1">
        <v>2907.81</v>
      </c>
      <c r="EQ121" s="1">
        <v>868.57899999999995</v>
      </c>
      <c r="ER121" s="1">
        <v>1268.95</v>
      </c>
      <c r="ES121" s="1">
        <v>0</v>
      </c>
      <c r="ET121" s="1">
        <v>0</v>
      </c>
      <c r="EU121" s="1">
        <v>0</v>
      </c>
      <c r="EV121" s="1">
        <v>0</v>
      </c>
      <c r="EW121" s="1">
        <v>0</v>
      </c>
      <c r="EX121" s="1">
        <v>0</v>
      </c>
      <c r="EY121" s="1">
        <v>0</v>
      </c>
      <c r="EZ121" s="1">
        <v>0</v>
      </c>
      <c r="FA121" s="1">
        <v>0</v>
      </c>
      <c r="FB121" s="1">
        <v>0</v>
      </c>
      <c r="FC121" s="1">
        <v>0</v>
      </c>
      <c r="FD121" s="1">
        <v>0</v>
      </c>
      <c r="FE121" s="1">
        <v>151.96199999999999</v>
      </c>
      <c r="FF121" s="1">
        <v>256.09300000000002</v>
      </c>
      <c r="FG121" s="1">
        <v>298.26799999999997</v>
      </c>
      <c r="FH121" s="1">
        <v>315.274</v>
      </c>
      <c r="FI121" s="1">
        <v>0</v>
      </c>
      <c r="FJ121" s="1">
        <v>18.646999999999998</v>
      </c>
      <c r="FK121" s="1">
        <v>16.704000000000001</v>
      </c>
      <c r="FL121" s="1">
        <v>246.47200000000001</v>
      </c>
      <c r="FM121" s="1">
        <v>151.96199999999999</v>
      </c>
      <c r="FN121" s="1">
        <v>237.446</v>
      </c>
      <c r="FO121" s="1">
        <v>281.56400000000002</v>
      </c>
      <c r="FP121" s="1">
        <v>68.802000000000007</v>
      </c>
      <c r="FQ121" s="1">
        <v>0</v>
      </c>
      <c r="FR121" s="1">
        <v>0</v>
      </c>
      <c r="FS121" s="1">
        <v>0</v>
      </c>
      <c r="FT121" s="1">
        <v>0</v>
      </c>
      <c r="FU121" s="1">
        <v>0</v>
      </c>
      <c r="FV121" s="1">
        <v>0</v>
      </c>
      <c r="FW121" s="1">
        <v>0</v>
      </c>
      <c r="FX121" s="1">
        <v>0</v>
      </c>
      <c r="FY121" s="1">
        <v>0</v>
      </c>
      <c r="FZ121" s="1">
        <v>0</v>
      </c>
      <c r="GA121" s="1">
        <v>0</v>
      </c>
      <c r="GB121" s="1">
        <v>0</v>
      </c>
      <c r="GC121" s="1">
        <v>195.38</v>
      </c>
      <c r="GD121" s="1">
        <v>293.81900000000002</v>
      </c>
      <c r="GE121" s="1">
        <v>231.05</v>
      </c>
      <c r="GF121" s="1">
        <v>458.63600000000002</v>
      </c>
      <c r="GG121" s="1">
        <v>195.38</v>
      </c>
      <c r="GH121" s="1">
        <v>293.81900000000002</v>
      </c>
      <c r="GI121" s="1">
        <v>231.05</v>
      </c>
      <c r="GJ121" s="1">
        <v>458.63600000000002</v>
      </c>
      <c r="GK121" s="1">
        <v>0</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292.95</v>
      </c>
      <c r="HF121" s="1">
        <v>70.89</v>
      </c>
      <c r="HG121" s="1">
        <v>40.5</v>
      </c>
      <c r="HH121" s="1">
        <v>49.680000000000007</v>
      </c>
      <c r="HI121" s="1">
        <v>292.95</v>
      </c>
      <c r="HJ121" s="1">
        <v>70.89</v>
      </c>
      <c r="HK121" s="1">
        <v>0</v>
      </c>
      <c r="HL121" s="1">
        <v>0</v>
      </c>
      <c r="HM121" s="1">
        <v>0</v>
      </c>
      <c r="HN121" s="1">
        <v>0</v>
      </c>
      <c r="HO121" s="1">
        <v>0</v>
      </c>
      <c r="HP121" s="1">
        <v>0</v>
      </c>
      <c r="HQ121" s="1">
        <v>0</v>
      </c>
      <c r="HR121" s="1">
        <v>0</v>
      </c>
      <c r="HS121" s="1">
        <v>0</v>
      </c>
      <c r="HT121" s="1">
        <v>0</v>
      </c>
      <c r="HU121" s="1">
        <v>0</v>
      </c>
      <c r="HV121" s="1">
        <v>0</v>
      </c>
      <c r="HW121" s="1">
        <v>40.5</v>
      </c>
      <c r="HX121" s="1">
        <v>49.680000000000007</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1125.22</v>
      </c>
      <c r="IP121" s="1">
        <v>1142.248</v>
      </c>
      <c r="IQ121" s="1">
        <v>969.34199999999998</v>
      </c>
      <c r="IR121" s="1">
        <v>1111.1099999999999</v>
      </c>
      <c r="IS121" s="1">
        <v>1125.22</v>
      </c>
      <c r="IT121" s="1">
        <v>1142.248</v>
      </c>
      <c r="IU121" s="1">
        <v>969.34199999999998</v>
      </c>
      <c r="IV121" s="1">
        <v>1111.1099999999999</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0</v>
      </c>
      <c r="JO121" s="1">
        <v>0</v>
      </c>
      <c r="JP121" s="1">
        <v>0</v>
      </c>
      <c r="JQ121" s="9"/>
      <c r="JR121" s="1">
        <f t="shared" si="25"/>
        <v>5574.1284000000014</v>
      </c>
      <c r="JS121" s="1">
        <f t="shared" si="25"/>
        <v>5846.7328200000002</v>
      </c>
      <c r="JT121" s="1">
        <f t="shared" si="25"/>
        <v>5463.8922600000042</v>
      </c>
      <c r="JU121" s="1">
        <f t="shared" si="25"/>
        <v>5736.0735900000018</v>
      </c>
      <c r="JV121" s="1">
        <f t="shared" si="26"/>
        <v>1032.2460000000003</v>
      </c>
      <c r="JW121" s="1">
        <f t="shared" si="26"/>
        <v>1082.7283</v>
      </c>
      <c r="JX121" s="1">
        <f t="shared" si="26"/>
        <v>1011.8319000000007</v>
      </c>
      <c r="JY121" s="1">
        <f t="shared" si="26"/>
        <v>1062.2358500000003</v>
      </c>
    </row>
    <row r="122" spans="1:285" x14ac:dyDescent="0.35">
      <c r="A122" s="2" t="s">
        <v>129</v>
      </c>
      <c r="B122" s="1">
        <v>289773</v>
      </c>
      <c r="C122" s="1">
        <v>288164</v>
      </c>
      <c r="D122" s="1">
        <v>289196</v>
      </c>
      <c r="E122" s="1">
        <v>295221</v>
      </c>
      <c r="F122" s="1">
        <v>42683.17</v>
      </c>
      <c r="G122" s="1">
        <v>50367.600000000013</v>
      </c>
      <c r="H122" s="1">
        <v>51814.76</v>
      </c>
      <c r="I122" s="1">
        <v>53446.78</v>
      </c>
      <c r="J122" s="1">
        <f t="shared" si="27"/>
        <v>37765.109999999993</v>
      </c>
      <c r="K122" s="1">
        <f t="shared" si="28"/>
        <v>44115.969999999994</v>
      </c>
      <c r="L122" s="1">
        <f t="shared" si="29"/>
        <v>44983.020000000004</v>
      </c>
      <c r="M122" s="1">
        <f t="shared" si="30"/>
        <v>47114.29</v>
      </c>
      <c r="N122" s="1">
        <f t="shared" si="31"/>
        <v>4918.0600000000049</v>
      </c>
      <c r="O122" s="1">
        <f t="shared" si="32"/>
        <v>6251.6300000000192</v>
      </c>
      <c r="P122" s="1">
        <f t="shared" si="33"/>
        <v>6831.739999999998</v>
      </c>
      <c r="Q122" s="1">
        <f t="shared" si="34"/>
        <v>6332.489999999998</v>
      </c>
      <c r="R122" s="1">
        <v>5945.86</v>
      </c>
      <c r="S122" s="1">
        <v>6555.88</v>
      </c>
      <c r="T122" s="1">
        <v>6246.61</v>
      </c>
      <c r="U122" s="1">
        <v>6172.96</v>
      </c>
      <c r="V122" s="1">
        <v>0</v>
      </c>
      <c r="W122" s="1">
        <v>0</v>
      </c>
      <c r="X122" s="1">
        <v>5945.86</v>
      </c>
      <c r="Y122" s="1">
        <v>0</v>
      </c>
      <c r="Z122" s="1">
        <v>0</v>
      </c>
      <c r="AA122" s="1">
        <v>6555.88</v>
      </c>
      <c r="AB122" s="1">
        <v>0</v>
      </c>
      <c r="AC122" s="1">
        <v>0</v>
      </c>
      <c r="AD122" s="1">
        <v>6246.61</v>
      </c>
      <c r="AE122" s="1">
        <v>0</v>
      </c>
      <c r="AF122" s="1">
        <v>0</v>
      </c>
      <c r="AG122" s="1">
        <v>6172.96</v>
      </c>
      <c r="AH122" s="1">
        <v>0</v>
      </c>
      <c r="AI122" s="1">
        <v>0</v>
      </c>
      <c r="AJ122" s="1">
        <v>0</v>
      </c>
      <c r="AK122" s="1">
        <v>0</v>
      </c>
      <c r="AL122" s="1">
        <v>0</v>
      </c>
      <c r="AM122" s="1">
        <v>0</v>
      </c>
      <c r="AN122" s="1">
        <v>0</v>
      </c>
      <c r="AO122" s="1">
        <v>0</v>
      </c>
      <c r="AP122" s="1">
        <v>6363.01</v>
      </c>
      <c r="AQ122" s="1">
        <v>7341.55</v>
      </c>
      <c r="AR122" s="1">
        <v>5882.4</v>
      </c>
      <c r="AS122" s="1">
        <v>6937.41</v>
      </c>
      <c r="AT122" s="1">
        <v>0</v>
      </c>
      <c r="AU122" s="1">
        <v>6363.01</v>
      </c>
      <c r="AV122" s="1">
        <v>0</v>
      </c>
      <c r="AW122" s="1">
        <v>0</v>
      </c>
      <c r="AX122" s="1">
        <v>0</v>
      </c>
      <c r="AY122" s="1">
        <v>7341.55</v>
      </c>
      <c r="AZ122" s="1">
        <v>0</v>
      </c>
      <c r="BA122" s="1">
        <v>0</v>
      </c>
      <c r="BB122" s="1">
        <v>0</v>
      </c>
      <c r="BC122" s="1">
        <v>5882.4</v>
      </c>
      <c r="BD122" s="1">
        <v>0</v>
      </c>
      <c r="BE122" s="1">
        <v>0</v>
      </c>
      <c r="BF122" s="1">
        <v>6937.41</v>
      </c>
      <c r="BG122" s="1">
        <v>0</v>
      </c>
      <c r="BH122" s="1">
        <v>0</v>
      </c>
      <c r="BI122" s="1">
        <v>0</v>
      </c>
      <c r="BJ122" s="1">
        <v>0</v>
      </c>
      <c r="BK122" s="1">
        <v>0</v>
      </c>
      <c r="BL122" s="1">
        <v>0</v>
      </c>
      <c r="BM122" s="1">
        <v>0</v>
      </c>
      <c r="BN122" s="1">
        <v>0</v>
      </c>
      <c r="BO122" s="1">
        <v>0</v>
      </c>
      <c r="BP122" s="1">
        <v>0</v>
      </c>
      <c r="BQ122" s="1">
        <v>0</v>
      </c>
      <c r="BR122" s="1">
        <v>0</v>
      </c>
      <c r="BS122" s="1">
        <v>0</v>
      </c>
      <c r="BT122" s="1">
        <v>0</v>
      </c>
      <c r="BU122" s="1">
        <v>9416.6899999999987</v>
      </c>
      <c r="BV122" s="1">
        <v>11037.59</v>
      </c>
      <c r="BW122" s="1">
        <v>11671.68</v>
      </c>
      <c r="BX122" s="1">
        <v>12030</v>
      </c>
      <c r="BY122" s="1">
        <v>9416.6899999999987</v>
      </c>
      <c r="BZ122" s="1">
        <v>11037.59</v>
      </c>
      <c r="CA122" s="1">
        <v>11671.68</v>
      </c>
      <c r="CB122" s="1">
        <v>12030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4011.65</v>
      </c>
      <c r="CT122" s="1">
        <v>6160.4599999999991</v>
      </c>
      <c r="CU122" s="1">
        <v>6922.1</v>
      </c>
      <c r="CV122" s="1">
        <v>6687.83</v>
      </c>
      <c r="CW122" s="1">
        <v>4011.65</v>
      </c>
      <c r="CX122" s="1">
        <v>6160.4599999999991</v>
      </c>
      <c r="CY122" s="1">
        <v>6922.1</v>
      </c>
      <c r="CZ122" s="1">
        <v>6687.83</v>
      </c>
      <c r="DA122" s="1">
        <v>0</v>
      </c>
      <c r="DB122" s="1">
        <v>0</v>
      </c>
      <c r="DC122" s="1">
        <v>0</v>
      </c>
      <c r="DD122" s="1">
        <v>0</v>
      </c>
      <c r="DE122" s="1">
        <v>0</v>
      </c>
      <c r="DF122" s="1">
        <v>0</v>
      </c>
      <c r="DG122" s="1">
        <v>0</v>
      </c>
      <c r="DH122" s="1">
        <v>0</v>
      </c>
      <c r="DI122" s="1">
        <v>0</v>
      </c>
      <c r="DJ122" s="1">
        <v>0</v>
      </c>
      <c r="DK122" s="1">
        <v>0</v>
      </c>
      <c r="DL122" s="1">
        <v>0</v>
      </c>
      <c r="DM122" s="1">
        <v>6636.09</v>
      </c>
      <c r="DN122" s="1">
        <v>6743.5</v>
      </c>
      <c r="DO122" s="1">
        <v>6980.07</v>
      </c>
      <c r="DP122" s="1">
        <v>7976.65</v>
      </c>
      <c r="DQ122" s="1">
        <v>6636.09</v>
      </c>
      <c r="DR122" s="1">
        <v>6743.5</v>
      </c>
      <c r="DS122" s="1">
        <v>6980.07</v>
      </c>
      <c r="DT122" s="1">
        <v>7976.65</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2828.37</v>
      </c>
      <c r="EL122" s="1">
        <v>3315.59</v>
      </c>
      <c r="EM122" s="1">
        <v>3955.97</v>
      </c>
      <c r="EN122" s="1">
        <v>4124.83</v>
      </c>
      <c r="EO122" s="1">
        <v>2828.37</v>
      </c>
      <c r="EP122" s="1">
        <v>3315.59</v>
      </c>
      <c r="EQ122" s="1">
        <v>3955.97</v>
      </c>
      <c r="ER122" s="1">
        <v>4124.83</v>
      </c>
      <c r="ES122" s="1">
        <v>0</v>
      </c>
      <c r="ET122" s="1">
        <v>0</v>
      </c>
      <c r="EU122" s="1">
        <v>0</v>
      </c>
      <c r="EV122" s="1">
        <v>0</v>
      </c>
      <c r="EW122" s="1">
        <v>0</v>
      </c>
      <c r="EX122" s="1">
        <v>0</v>
      </c>
      <c r="EY122" s="1">
        <v>0</v>
      </c>
      <c r="EZ122" s="1">
        <v>0</v>
      </c>
      <c r="FA122" s="1">
        <v>0</v>
      </c>
      <c r="FB122" s="1">
        <v>0</v>
      </c>
      <c r="FC122" s="1">
        <v>0</v>
      </c>
      <c r="FD122" s="1">
        <v>0</v>
      </c>
      <c r="FE122" s="1">
        <v>159.81</v>
      </c>
      <c r="FF122" s="1">
        <v>160.58000000000001</v>
      </c>
      <c r="FG122" s="1">
        <v>290.72000000000003</v>
      </c>
      <c r="FH122" s="1">
        <v>309.49</v>
      </c>
      <c r="FI122" s="1">
        <v>159.81</v>
      </c>
      <c r="FJ122" s="1">
        <v>146.12</v>
      </c>
      <c r="FK122" s="1">
        <v>231.56</v>
      </c>
      <c r="FL122" s="1">
        <v>7.38</v>
      </c>
      <c r="FM122" s="1">
        <v>0</v>
      </c>
      <c r="FN122" s="1">
        <v>14.46</v>
      </c>
      <c r="FO122" s="1">
        <v>59.16</v>
      </c>
      <c r="FP122" s="1">
        <v>302.11</v>
      </c>
      <c r="FQ122" s="1">
        <v>0</v>
      </c>
      <c r="FR122" s="1">
        <v>0</v>
      </c>
      <c r="FS122" s="1">
        <v>0</v>
      </c>
      <c r="FT122" s="1">
        <v>0</v>
      </c>
      <c r="FU122" s="1">
        <v>0</v>
      </c>
      <c r="FV122" s="1">
        <v>0</v>
      </c>
      <c r="FW122" s="1">
        <v>0</v>
      </c>
      <c r="FX122" s="1">
        <v>0</v>
      </c>
      <c r="FY122" s="1">
        <v>0</v>
      </c>
      <c r="FZ122" s="1">
        <v>0</v>
      </c>
      <c r="GA122" s="1">
        <v>0</v>
      </c>
      <c r="GB122" s="1">
        <v>0</v>
      </c>
      <c r="GC122" s="1">
        <v>1175.75</v>
      </c>
      <c r="GD122" s="1">
        <v>1366.54</v>
      </c>
      <c r="GE122" s="1">
        <v>1473.76</v>
      </c>
      <c r="GF122" s="1">
        <v>1378.44</v>
      </c>
      <c r="GG122" s="1">
        <v>1175.75</v>
      </c>
      <c r="GH122" s="1">
        <v>1366.54</v>
      </c>
      <c r="GI122" s="1">
        <v>1473.76</v>
      </c>
      <c r="GJ122" s="1">
        <v>1378.44</v>
      </c>
      <c r="GK122" s="1">
        <v>0</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0</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1227.8800000000001</v>
      </c>
      <c r="IP122" s="1">
        <v>1434.28</v>
      </c>
      <c r="IQ122" s="1">
        <v>1559.71</v>
      </c>
      <c r="IR122" s="1">
        <v>1496.68</v>
      </c>
      <c r="IS122" s="1">
        <v>1227.8800000000001</v>
      </c>
      <c r="IT122" s="1">
        <v>1434.28</v>
      </c>
      <c r="IU122" s="1">
        <v>1559.71</v>
      </c>
      <c r="IV122" s="1">
        <v>1496.68</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0</v>
      </c>
      <c r="JO122" s="1">
        <v>0</v>
      </c>
      <c r="JP122" s="1">
        <v>0</v>
      </c>
      <c r="JQ122" s="9"/>
      <c r="JR122" s="1">
        <f t="shared" si="25"/>
        <v>1327.8762000000015</v>
      </c>
      <c r="JS122" s="1">
        <f t="shared" si="25"/>
        <v>1687.9401000000053</v>
      </c>
      <c r="JT122" s="1">
        <f t="shared" si="25"/>
        <v>1844.5697999999995</v>
      </c>
      <c r="JU122" s="1">
        <f t="shared" si="25"/>
        <v>1709.7722999999996</v>
      </c>
      <c r="JV122" s="1">
        <f t="shared" si="26"/>
        <v>245.90300000000025</v>
      </c>
      <c r="JW122" s="1">
        <f t="shared" si="26"/>
        <v>312.58150000000097</v>
      </c>
      <c r="JX122" s="1">
        <f t="shared" si="26"/>
        <v>341.58699999999993</v>
      </c>
      <c r="JY122" s="1">
        <f t="shared" si="26"/>
        <v>316.6244999999999</v>
      </c>
    </row>
    <row r="123" spans="1:285" x14ac:dyDescent="0.35">
      <c r="A123" s="2" t="s">
        <v>130</v>
      </c>
      <c r="B123" s="1">
        <v>177816</v>
      </c>
      <c r="C123" s="1">
        <v>181827</v>
      </c>
      <c r="D123" s="1">
        <v>184117</v>
      </c>
      <c r="E123" s="1">
        <v>187113</v>
      </c>
      <c r="F123" s="1">
        <v>69539.879000000001</v>
      </c>
      <c r="G123" s="1">
        <v>66723.023000000001</v>
      </c>
      <c r="H123" s="1">
        <v>59220.783000000003</v>
      </c>
      <c r="I123" s="1">
        <v>63004.082999999999</v>
      </c>
      <c r="J123" s="1">
        <f t="shared" si="27"/>
        <v>47859.224000000002</v>
      </c>
      <c r="K123" s="1">
        <f t="shared" si="28"/>
        <v>45075.406999999999</v>
      </c>
      <c r="L123" s="1">
        <f t="shared" si="29"/>
        <v>37733.141999999993</v>
      </c>
      <c r="M123" s="1">
        <f t="shared" si="30"/>
        <v>42214.995999999999</v>
      </c>
      <c r="N123" s="1">
        <f t="shared" si="31"/>
        <v>21680.654999999999</v>
      </c>
      <c r="O123" s="1">
        <f t="shared" si="32"/>
        <v>21647.616000000002</v>
      </c>
      <c r="P123" s="1">
        <f t="shared" si="33"/>
        <v>21487.641000000011</v>
      </c>
      <c r="Q123" s="1">
        <f t="shared" si="34"/>
        <v>20789.087</v>
      </c>
      <c r="R123" s="1">
        <v>0</v>
      </c>
      <c r="S123" s="1">
        <v>0</v>
      </c>
      <c r="T123" s="1">
        <v>0</v>
      </c>
      <c r="U123" s="1">
        <v>0</v>
      </c>
      <c r="V123" s="1">
        <v>0</v>
      </c>
      <c r="W123" s="1">
        <v>0</v>
      </c>
      <c r="X123" s="1">
        <v>0</v>
      </c>
      <c r="Y123" s="1">
        <v>0</v>
      </c>
      <c r="Z123" s="1">
        <v>0</v>
      </c>
      <c r="AA123" s="1">
        <v>0</v>
      </c>
      <c r="AB123" s="1">
        <v>0</v>
      </c>
      <c r="AC123" s="1">
        <v>0</v>
      </c>
      <c r="AD123" s="1">
        <v>0</v>
      </c>
      <c r="AE123" s="1">
        <v>0</v>
      </c>
      <c r="AF123" s="1">
        <v>0</v>
      </c>
      <c r="AG123" s="1">
        <v>0</v>
      </c>
      <c r="AH123" s="1">
        <v>0</v>
      </c>
      <c r="AI123" s="1">
        <v>0</v>
      </c>
      <c r="AJ123" s="1">
        <v>0</v>
      </c>
      <c r="AK123" s="1">
        <v>0</v>
      </c>
      <c r="AL123" s="1">
        <v>0</v>
      </c>
      <c r="AM123" s="1">
        <v>0</v>
      </c>
      <c r="AN123" s="1">
        <v>0</v>
      </c>
      <c r="AO123" s="1">
        <v>0</v>
      </c>
      <c r="AP123" s="1">
        <v>23568.29</v>
      </c>
      <c r="AQ123" s="1">
        <v>23285.309000000001</v>
      </c>
      <c r="AR123" s="1">
        <v>18909.439999999999</v>
      </c>
      <c r="AS123" s="1">
        <v>21872.940000000002</v>
      </c>
      <c r="AT123" s="1">
        <v>23568.29</v>
      </c>
      <c r="AU123" s="1">
        <v>0</v>
      </c>
      <c r="AV123" s="1">
        <v>0</v>
      </c>
      <c r="AW123" s="1">
        <v>0</v>
      </c>
      <c r="AX123" s="1">
        <v>23285.309000000001</v>
      </c>
      <c r="AY123" s="1">
        <v>0</v>
      </c>
      <c r="AZ123" s="1">
        <v>0</v>
      </c>
      <c r="BA123" s="1">
        <v>0</v>
      </c>
      <c r="BB123" s="1">
        <v>18909.439999999999</v>
      </c>
      <c r="BC123" s="1">
        <v>0</v>
      </c>
      <c r="BD123" s="1">
        <v>0</v>
      </c>
      <c r="BE123" s="1">
        <v>21872.940000000002</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10719.54</v>
      </c>
      <c r="BV123" s="1">
        <v>11277.17</v>
      </c>
      <c r="BW123" s="1">
        <v>9269.991</v>
      </c>
      <c r="BX123" s="1">
        <v>9292.61</v>
      </c>
      <c r="BY123" s="1">
        <v>10719.54</v>
      </c>
      <c r="BZ123" s="1">
        <v>11277.17</v>
      </c>
      <c r="CA123" s="1">
        <v>9269.991</v>
      </c>
      <c r="CB123" s="1">
        <v>9292.61</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4424.3599999999997</v>
      </c>
      <c r="CT123" s="1">
        <v>2547.63</v>
      </c>
      <c r="CU123" s="1">
        <v>1826.9390000000001</v>
      </c>
      <c r="CV123" s="1">
        <v>3235.35</v>
      </c>
      <c r="CW123" s="1">
        <v>4424.3599999999997</v>
      </c>
      <c r="CX123" s="1">
        <v>2547.63</v>
      </c>
      <c r="CY123" s="1">
        <v>1826.9390000000001</v>
      </c>
      <c r="CZ123" s="1">
        <v>3235.35</v>
      </c>
      <c r="DA123" s="1">
        <v>0</v>
      </c>
      <c r="DB123" s="1">
        <v>0</v>
      </c>
      <c r="DC123" s="1">
        <v>0</v>
      </c>
      <c r="DD123" s="1">
        <v>0</v>
      </c>
      <c r="DE123" s="1">
        <v>0</v>
      </c>
      <c r="DF123" s="1">
        <v>0</v>
      </c>
      <c r="DG123" s="1">
        <v>0</v>
      </c>
      <c r="DH123" s="1">
        <v>0</v>
      </c>
      <c r="DI123" s="1">
        <v>0</v>
      </c>
      <c r="DJ123" s="1">
        <v>0</v>
      </c>
      <c r="DK123" s="1">
        <v>0</v>
      </c>
      <c r="DL123" s="1">
        <v>0</v>
      </c>
      <c r="DM123" s="1">
        <v>6146.23</v>
      </c>
      <c r="DN123" s="1">
        <v>6180.2799999999988</v>
      </c>
      <c r="DO123" s="1">
        <v>5885.8690000000006</v>
      </c>
      <c r="DP123" s="1">
        <v>6050.32</v>
      </c>
      <c r="DQ123" s="1">
        <v>6146.23</v>
      </c>
      <c r="DR123" s="1">
        <v>6180.2799999999988</v>
      </c>
      <c r="DS123" s="1">
        <v>5885.8690000000006</v>
      </c>
      <c r="DT123" s="1">
        <v>6050.32</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2776.97</v>
      </c>
      <c r="EL123" s="1">
        <v>1627.88</v>
      </c>
      <c r="EM123" s="1">
        <v>1702.307</v>
      </c>
      <c r="EN123" s="1">
        <v>1628.7</v>
      </c>
      <c r="EO123" s="1">
        <v>2776.97</v>
      </c>
      <c r="EP123" s="1">
        <v>1627.88</v>
      </c>
      <c r="EQ123" s="1">
        <v>1702.307</v>
      </c>
      <c r="ER123" s="1">
        <v>1628.7</v>
      </c>
      <c r="ES123" s="1">
        <v>0</v>
      </c>
      <c r="ET123" s="1">
        <v>0</v>
      </c>
      <c r="EU123" s="1">
        <v>0</v>
      </c>
      <c r="EV123" s="1">
        <v>0</v>
      </c>
      <c r="EW123" s="1">
        <v>0</v>
      </c>
      <c r="EX123" s="1">
        <v>0</v>
      </c>
      <c r="EY123" s="1">
        <v>0</v>
      </c>
      <c r="EZ123" s="1">
        <v>0</v>
      </c>
      <c r="FA123" s="1">
        <v>0</v>
      </c>
      <c r="FB123" s="1">
        <v>0</v>
      </c>
      <c r="FC123" s="1">
        <v>0</v>
      </c>
      <c r="FD123" s="1">
        <v>0</v>
      </c>
      <c r="FE123" s="1">
        <v>128.364</v>
      </c>
      <c r="FF123" s="1">
        <v>83.657999999999987</v>
      </c>
      <c r="FG123" s="1">
        <v>71.066000000000003</v>
      </c>
      <c r="FH123" s="1">
        <v>71.075999999999993</v>
      </c>
      <c r="FI123" s="1">
        <v>128.364</v>
      </c>
      <c r="FJ123" s="1">
        <v>83.657999999999987</v>
      </c>
      <c r="FK123" s="1">
        <v>71.066000000000003</v>
      </c>
      <c r="FL123" s="1">
        <v>71.075999999999993</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95.47</v>
      </c>
      <c r="GD123" s="1">
        <v>73.48</v>
      </c>
      <c r="GE123" s="1">
        <v>67.53</v>
      </c>
      <c r="GF123" s="1">
        <v>64</v>
      </c>
      <c r="GG123" s="1">
        <v>95.47</v>
      </c>
      <c r="GH123" s="1">
        <v>73.48</v>
      </c>
      <c r="GI123" s="1">
        <v>67.53</v>
      </c>
      <c r="GJ123" s="1">
        <v>64</v>
      </c>
      <c r="GK123" s="1">
        <v>0</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0</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0</v>
      </c>
      <c r="JO123" s="1">
        <v>0</v>
      </c>
      <c r="JP123" s="1">
        <v>0</v>
      </c>
      <c r="JQ123" s="9"/>
      <c r="JR123" s="1">
        <f t="shared" si="25"/>
        <v>5853.7768500000002</v>
      </c>
      <c r="JS123" s="1">
        <f t="shared" si="25"/>
        <v>5844.8563200000008</v>
      </c>
      <c r="JT123" s="1">
        <f t="shared" si="25"/>
        <v>5801.6630700000032</v>
      </c>
      <c r="JU123" s="1">
        <f t="shared" si="25"/>
        <v>5613.0534900000002</v>
      </c>
      <c r="JV123" s="1">
        <f t="shared" si="26"/>
        <v>1084.0327500000001</v>
      </c>
      <c r="JW123" s="1">
        <f t="shared" si="26"/>
        <v>1082.3808000000001</v>
      </c>
      <c r="JX123" s="1">
        <f t="shared" si="26"/>
        <v>1074.3820500000006</v>
      </c>
      <c r="JY123" s="1">
        <f t="shared" si="26"/>
        <v>1039.45435</v>
      </c>
    </row>
    <row r="124" spans="1:285" x14ac:dyDescent="0.35">
      <c r="A124" s="2" t="s">
        <v>131</v>
      </c>
      <c r="B124" s="1">
        <v>82144</v>
      </c>
      <c r="C124" s="1">
        <v>82271</v>
      </c>
      <c r="D124" s="1">
        <v>83398</v>
      </c>
      <c r="E124" s="1">
        <v>84747</v>
      </c>
      <c r="F124" s="1">
        <v>14489.15</v>
      </c>
      <c r="G124" s="1">
        <v>15455.85</v>
      </c>
      <c r="H124" s="1">
        <v>14602.79</v>
      </c>
      <c r="I124" s="1">
        <v>16041.87</v>
      </c>
      <c r="J124" s="1">
        <f t="shared" si="27"/>
        <v>9811.3199999999979</v>
      </c>
      <c r="K124" s="1">
        <f t="shared" si="28"/>
        <v>9447.6499999999978</v>
      </c>
      <c r="L124" s="1">
        <f t="shared" si="29"/>
        <v>8521.8100000000013</v>
      </c>
      <c r="M124" s="1">
        <f t="shared" si="30"/>
        <v>9092.07</v>
      </c>
      <c r="N124" s="1">
        <f t="shared" si="31"/>
        <v>4677.8300000000017</v>
      </c>
      <c r="O124" s="1">
        <f t="shared" si="32"/>
        <v>6008.2000000000025</v>
      </c>
      <c r="P124" s="1">
        <f t="shared" si="33"/>
        <v>6080.98</v>
      </c>
      <c r="Q124" s="1">
        <f t="shared" si="34"/>
        <v>6949.8000000000011</v>
      </c>
      <c r="R124" s="1">
        <v>0</v>
      </c>
      <c r="S124" s="1">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1">
        <v>0</v>
      </c>
      <c r="AJ124" s="1">
        <v>0</v>
      </c>
      <c r="AK124" s="1">
        <v>0</v>
      </c>
      <c r="AL124" s="1">
        <v>0</v>
      </c>
      <c r="AM124" s="1">
        <v>0</v>
      </c>
      <c r="AN124" s="1">
        <v>0</v>
      </c>
      <c r="AO124" s="1">
        <v>0</v>
      </c>
      <c r="AP124" s="1">
        <v>1468.46</v>
      </c>
      <c r="AQ124" s="1">
        <v>1346.24</v>
      </c>
      <c r="AR124" s="1">
        <v>1279.96</v>
      </c>
      <c r="AS124" s="1">
        <v>1312.8799999999999</v>
      </c>
      <c r="AT124" s="1">
        <v>0</v>
      </c>
      <c r="AU124" s="1">
        <v>1468.46</v>
      </c>
      <c r="AV124" s="1">
        <v>0</v>
      </c>
      <c r="AW124" s="1">
        <v>0</v>
      </c>
      <c r="AX124" s="1">
        <v>0</v>
      </c>
      <c r="AY124" s="1">
        <v>1346.24</v>
      </c>
      <c r="AZ124" s="1">
        <v>0</v>
      </c>
      <c r="BA124" s="1">
        <v>0</v>
      </c>
      <c r="BB124" s="1">
        <v>0</v>
      </c>
      <c r="BC124" s="1">
        <v>1279.96</v>
      </c>
      <c r="BD124" s="1">
        <v>0</v>
      </c>
      <c r="BE124" s="1">
        <v>0</v>
      </c>
      <c r="BF124" s="1">
        <v>1312.8799999999999</v>
      </c>
      <c r="BG124" s="1">
        <v>0</v>
      </c>
      <c r="BH124" s="1">
        <v>0</v>
      </c>
      <c r="BI124" s="1">
        <v>0</v>
      </c>
      <c r="BJ124" s="1">
        <v>0</v>
      </c>
      <c r="BK124" s="1">
        <v>0</v>
      </c>
      <c r="BL124" s="1">
        <v>0</v>
      </c>
      <c r="BM124" s="1">
        <v>0</v>
      </c>
      <c r="BN124" s="1">
        <v>0</v>
      </c>
      <c r="BO124" s="1">
        <v>0</v>
      </c>
      <c r="BP124" s="1">
        <v>0</v>
      </c>
      <c r="BQ124" s="1">
        <v>0</v>
      </c>
      <c r="BR124" s="1">
        <v>0</v>
      </c>
      <c r="BS124" s="1">
        <v>0</v>
      </c>
      <c r="BT124" s="1">
        <v>0</v>
      </c>
      <c r="BU124" s="1">
        <v>2966.77</v>
      </c>
      <c r="BV124" s="1">
        <v>2938.08</v>
      </c>
      <c r="BW124" s="1">
        <v>2725.29</v>
      </c>
      <c r="BX124" s="1">
        <v>2835.53</v>
      </c>
      <c r="BY124" s="1">
        <v>2966.77</v>
      </c>
      <c r="BZ124" s="1">
        <v>2938.08</v>
      </c>
      <c r="CA124" s="1">
        <v>2725.29</v>
      </c>
      <c r="CB124" s="1">
        <v>2835.53</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1100.24</v>
      </c>
      <c r="CT124" s="1">
        <v>818.56999999999994</v>
      </c>
      <c r="CU124" s="1">
        <v>552.47</v>
      </c>
      <c r="CV124" s="1">
        <v>561.15</v>
      </c>
      <c r="CW124" s="1">
        <v>1100.24</v>
      </c>
      <c r="CX124" s="1">
        <v>818.56999999999994</v>
      </c>
      <c r="CY124" s="1">
        <v>552.47</v>
      </c>
      <c r="CZ124" s="1">
        <v>561.15</v>
      </c>
      <c r="DA124" s="1">
        <v>0</v>
      </c>
      <c r="DB124" s="1">
        <v>0</v>
      </c>
      <c r="DC124" s="1">
        <v>0</v>
      </c>
      <c r="DD124" s="1">
        <v>0</v>
      </c>
      <c r="DE124" s="1">
        <v>0</v>
      </c>
      <c r="DF124" s="1">
        <v>0</v>
      </c>
      <c r="DG124" s="1">
        <v>0</v>
      </c>
      <c r="DH124" s="1">
        <v>0</v>
      </c>
      <c r="DI124" s="1">
        <v>0</v>
      </c>
      <c r="DJ124" s="1">
        <v>0</v>
      </c>
      <c r="DK124" s="1">
        <v>0</v>
      </c>
      <c r="DL124" s="1">
        <v>0</v>
      </c>
      <c r="DM124" s="1">
        <v>2285.63</v>
      </c>
      <c r="DN124" s="1">
        <v>2659.92</v>
      </c>
      <c r="DO124" s="1">
        <v>2348.96</v>
      </c>
      <c r="DP124" s="1">
        <v>2315.04</v>
      </c>
      <c r="DQ124" s="1">
        <v>2285.63</v>
      </c>
      <c r="DR124" s="1">
        <v>2659.92</v>
      </c>
      <c r="DS124" s="1">
        <v>2348.96</v>
      </c>
      <c r="DT124" s="1">
        <v>2315.04</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1108.77</v>
      </c>
      <c r="EL124" s="1">
        <v>748.56</v>
      </c>
      <c r="EM124" s="1">
        <v>648.9</v>
      </c>
      <c r="EN124" s="1">
        <v>635.01</v>
      </c>
      <c r="EO124" s="1">
        <v>1108.77</v>
      </c>
      <c r="EP124" s="1">
        <v>748.56</v>
      </c>
      <c r="EQ124" s="1">
        <v>648.9</v>
      </c>
      <c r="ER124" s="1">
        <v>635.01</v>
      </c>
      <c r="ES124" s="1">
        <v>0</v>
      </c>
      <c r="ET124" s="1">
        <v>0</v>
      </c>
      <c r="EU124" s="1">
        <v>0</v>
      </c>
      <c r="EV124" s="1">
        <v>0</v>
      </c>
      <c r="EW124" s="1">
        <v>0</v>
      </c>
      <c r="EX124" s="1">
        <v>0</v>
      </c>
      <c r="EY124" s="1">
        <v>0</v>
      </c>
      <c r="EZ124" s="1">
        <v>0</v>
      </c>
      <c r="FA124" s="1">
        <v>0</v>
      </c>
      <c r="FB124" s="1">
        <v>0</v>
      </c>
      <c r="FC124" s="1">
        <v>0</v>
      </c>
      <c r="FD124" s="1">
        <v>0</v>
      </c>
      <c r="FE124" s="1">
        <v>1.61</v>
      </c>
      <c r="FF124" s="1">
        <v>1.88</v>
      </c>
      <c r="FG124" s="1">
        <v>2.2999999999999998</v>
      </c>
      <c r="FH124" s="1">
        <v>14.5</v>
      </c>
      <c r="FI124" s="1">
        <v>1.61</v>
      </c>
      <c r="FJ124" s="1">
        <v>1.88</v>
      </c>
      <c r="FK124" s="1">
        <v>2.2999999999999998</v>
      </c>
      <c r="FL124" s="1">
        <v>14.5</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659.88</v>
      </c>
      <c r="GD124" s="1">
        <v>700.8</v>
      </c>
      <c r="GE124" s="1">
        <v>721.05000000000007</v>
      </c>
      <c r="GF124" s="1">
        <v>1197.97</v>
      </c>
      <c r="GG124" s="1">
        <v>659.88</v>
      </c>
      <c r="GH124" s="1">
        <v>700.8</v>
      </c>
      <c r="GI124" s="1">
        <v>721.05000000000007</v>
      </c>
      <c r="GJ124" s="1">
        <v>1197.97</v>
      </c>
      <c r="GK124" s="1">
        <v>0</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219.96</v>
      </c>
      <c r="HF124" s="1">
        <v>233.6</v>
      </c>
      <c r="HG124" s="1">
        <v>240.35</v>
      </c>
      <c r="HH124" s="1">
        <v>167.35</v>
      </c>
      <c r="HI124" s="1">
        <v>219.96</v>
      </c>
      <c r="HJ124" s="1">
        <v>233.6</v>
      </c>
      <c r="HK124" s="1">
        <v>240.35</v>
      </c>
      <c r="HL124" s="1">
        <v>167.35</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2.5299999999999998</v>
      </c>
      <c r="IR124" s="1">
        <v>52.64</v>
      </c>
      <c r="IS124" s="1">
        <v>0</v>
      </c>
      <c r="IT124" s="1">
        <v>0</v>
      </c>
      <c r="IU124" s="1">
        <v>2.5299999999999998</v>
      </c>
      <c r="IV124" s="1">
        <v>52.64</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0</v>
      </c>
      <c r="JO124" s="1">
        <v>0</v>
      </c>
      <c r="JP124" s="1">
        <v>0</v>
      </c>
      <c r="JQ124" s="9"/>
      <c r="JR124" s="1">
        <f t="shared" si="25"/>
        <v>1263.0141000000006</v>
      </c>
      <c r="JS124" s="1">
        <f t="shared" si="25"/>
        <v>1622.2140000000009</v>
      </c>
      <c r="JT124" s="1">
        <f t="shared" si="25"/>
        <v>1641.8645999999999</v>
      </c>
      <c r="JU124" s="1">
        <f t="shared" si="25"/>
        <v>1876.4460000000004</v>
      </c>
      <c r="JV124" s="1">
        <f t="shared" si="26"/>
        <v>233.89150000000009</v>
      </c>
      <c r="JW124" s="1">
        <f t="shared" si="26"/>
        <v>300.41000000000014</v>
      </c>
      <c r="JX124" s="1">
        <f t="shared" si="26"/>
        <v>304.04899999999998</v>
      </c>
      <c r="JY124" s="1">
        <f t="shared" si="26"/>
        <v>347.49000000000007</v>
      </c>
    </row>
    <row r="125" spans="1:285" x14ac:dyDescent="0.35">
      <c r="A125" s="2" t="s">
        <v>132</v>
      </c>
      <c r="B125" s="1">
        <v>139889</v>
      </c>
      <c r="C125" s="1">
        <v>139638</v>
      </c>
      <c r="D125" s="1">
        <v>139331</v>
      </c>
      <c r="E125" s="1">
        <v>139497</v>
      </c>
      <c r="F125" s="1">
        <v>42893.989000000001</v>
      </c>
      <c r="G125" s="1">
        <v>44710.313999999998</v>
      </c>
      <c r="H125" s="1">
        <v>39277.732000000004</v>
      </c>
      <c r="I125" s="1">
        <v>38661.243000000002</v>
      </c>
      <c r="J125" s="1">
        <f t="shared" si="27"/>
        <v>28152.548999999995</v>
      </c>
      <c r="K125" s="1">
        <f t="shared" si="28"/>
        <v>30223.092000000001</v>
      </c>
      <c r="L125" s="1">
        <f t="shared" si="29"/>
        <v>25516.884999999998</v>
      </c>
      <c r="M125" s="1">
        <f t="shared" si="30"/>
        <v>25252.930000000004</v>
      </c>
      <c r="N125" s="1">
        <f t="shared" si="31"/>
        <v>14741.440000000006</v>
      </c>
      <c r="O125" s="1">
        <f t="shared" si="32"/>
        <v>14487.221999999998</v>
      </c>
      <c r="P125" s="1">
        <f t="shared" si="33"/>
        <v>13760.847000000005</v>
      </c>
      <c r="Q125" s="1">
        <f t="shared" si="34"/>
        <v>13408.312999999998</v>
      </c>
      <c r="R125" s="1">
        <v>0</v>
      </c>
      <c r="S125" s="1">
        <v>0</v>
      </c>
      <c r="T125" s="1">
        <v>0</v>
      </c>
      <c r="U125" s="1">
        <v>0</v>
      </c>
      <c r="V125" s="1">
        <v>0</v>
      </c>
      <c r="W125" s="1">
        <v>0</v>
      </c>
      <c r="X125" s="1">
        <v>0</v>
      </c>
      <c r="Y125" s="1">
        <v>0</v>
      </c>
      <c r="Z125" s="1">
        <v>0</v>
      </c>
      <c r="AA125" s="1">
        <v>0</v>
      </c>
      <c r="AB125" s="1">
        <v>0</v>
      </c>
      <c r="AC125" s="1">
        <v>0</v>
      </c>
      <c r="AD125" s="1">
        <v>0</v>
      </c>
      <c r="AE125" s="1">
        <v>0</v>
      </c>
      <c r="AF125" s="1">
        <v>0</v>
      </c>
      <c r="AG125" s="1">
        <v>0</v>
      </c>
      <c r="AH125" s="1">
        <v>0</v>
      </c>
      <c r="AI125" s="1">
        <v>0</v>
      </c>
      <c r="AJ125" s="1">
        <v>0</v>
      </c>
      <c r="AK125" s="1">
        <v>0</v>
      </c>
      <c r="AL125" s="1">
        <v>0</v>
      </c>
      <c r="AM125" s="1">
        <v>0</v>
      </c>
      <c r="AN125" s="1">
        <v>0</v>
      </c>
      <c r="AO125" s="1">
        <v>0</v>
      </c>
      <c r="AP125" s="1">
        <v>7957.07</v>
      </c>
      <c r="AQ125" s="1">
        <v>8772.2900000000009</v>
      </c>
      <c r="AR125" s="1">
        <v>7441.91</v>
      </c>
      <c r="AS125" s="1">
        <v>8984.18</v>
      </c>
      <c r="AT125" s="1">
        <v>0</v>
      </c>
      <c r="AU125" s="1">
        <v>7957.07</v>
      </c>
      <c r="AV125" s="1">
        <v>0</v>
      </c>
      <c r="AW125" s="1">
        <v>0</v>
      </c>
      <c r="AX125" s="1">
        <v>0</v>
      </c>
      <c r="AY125" s="1">
        <v>8772.2900000000009</v>
      </c>
      <c r="AZ125" s="1">
        <v>0</v>
      </c>
      <c r="BA125" s="1">
        <v>0</v>
      </c>
      <c r="BB125" s="1">
        <v>0</v>
      </c>
      <c r="BC125" s="1">
        <v>7441.91</v>
      </c>
      <c r="BD125" s="1">
        <v>0</v>
      </c>
      <c r="BE125" s="1">
        <v>0</v>
      </c>
      <c r="BF125" s="1">
        <v>8984.18</v>
      </c>
      <c r="BG125" s="1">
        <v>0</v>
      </c>
      <c r="BH125" s="1">
        <v>0</v>
      </c>
      <c r="BI125" s="1">
        <v>0</v>
      </c>
      <c r="BJ125" s="1">
        <v>0</v>
      </c>
      <c r="BK125" s="1">
        <v>0</v>
      </c>
      <c r="BL125" s="1">
        <v>0</v>
      </c>
      <c r="BM125" s="1">
        <v>0</v>
      </c>
      <c r="BN125" s="1">
        <v>0</v>
      </c>
      <c r="BO125" s="1">
        <v>0</v>
      </c>
      <c r="BP125" s="1">
        <v>0</v>
      </c>
      <c r="BQ125" s="1">
        <v>0</v>
      </c>
      <c r="BR125" s="1">
        <v>0</v>
      </c>
      <c r="BS125" s="1">
        <v>0</v>
      </c>
      <c r="BT125" s="1">
        <v>0</v>
      </c>
      <c r="BU125" s="1">
        <v>6910.89</v>
      </c>
      <c r="BV125" s="1">
        <v>8208.5</v>
      </c>
      <c r="BW125" s="1">
        <v>6341.69</v>
      </c>
      <c r="BX125" s="1">
        <v>5285.24</v>
      </c>
      <c r="BY125" s="1">
        <v>6910.89</v>
      </c>
      <c r="BZ125" s="1">
        <v>8208.5</v>
      </c>
      <c r="CA125" s="1">
        <v>6341.69</v>
      </c>
      <c r="CB125" s="1">
        <v>5285.24</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2393.8000000000002</v>
      </c>
      <c r="CT125" s="1">
        <v>1964.02</v>
      </c>
      <c r="CU125" s="1">
        <v>2107.518</v>
      </c>
      <c r="CV125" s="1">
        <v>1258.42</v>
      </c>
      <c r="CW125" s="1">
        <v>2393.8000000000002</v>
      </c>
      <c r="CX125" s="1">
        <v>1964.02</v>
      </c>
      <c r="CY125" s="1">
        <v>2107.518</v>
      </c>
      <c r="CZ125" s="1">
        <v>1258.42</v>
      </c>
      <c r="DA125" s="1">
        <v>0</v>
      </c>
      <c r="DB125" s="1">
        <v>0</v>
      </c>
      <c r="DC125" s="1">
        <v>0</v>
      </c>
      <c r="DD125" s="1">
        <v>0</v>
      </c>
      <c r="DE125" s="1">
        <v>0</v>
      </c>
      <c r="DF125" s="1">
        <v>0</v>
      </c>
      <c r="DG125" s="1">
        <v>0</v>
      </c>
      <c r="DH125" s="1">
        <v>0</v>
      </c>
      <c r="DI125" s="1">
        <v>0</v>
      </c>
      <c r="DJ125" s="1">
        <v>0</v>
      </c>
      <c r="DK125" s="1">
        <v>0</v>
      </c>
      <c r="DL125" s="1">
        <v>0</v>
      </c>
      <c r="DM125" s="1">
        <v>8742.119999999999</v>
      </c>
      <c r="DN125" s="1">
        <v>9410.9599999999991</v>
      </c>
      <c r="DO125" s="1">
        <v>8673.8799999999992</v>
      </c>
      <c r="DP125" s="1">
        <v>8596.0400000000009</v>
      </c>
      <c r="DQ125" s="1">
        <v>8742.119999999999</v>
      </c>
      <c r="DR125" s="1">
        <v>9410.9599999999991</v>
      </c>
      <c r="DS125" s="1">
        <v>8673.8799999999992</v>
      </c>
      <c r="DT125" s="1">
        <v>8596.0400000000009</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987.96</v>
      </c>
      <c r="EL125" s="1">
        <v>869.11</v>
      </c>
      <c r="EM125" s="1">
        <v>725.09299999999996</v>
      </c>
      <c r="EN125" s="1">
        <v>860.16100000000006</v>
      </c>
      <c r="EO125" s="1">
        <v>987.96</v>
      </c>
      <c r="EP125" s="1">
        <v>869.11</v>
      </c>
      <c r="EQ125" s="1">
        <v>725.09299999999996</v>
      </c>
      <c r="ER125" s="1">
        <v>860.16100000000006</v>
      </c>
      <c r="ES125" s="1">
        <v>0</v>
      </c>
      <c r="ET125" s="1">
        <v>0</v>
      </c>
      <c r="EU125" s="1">
        <v>0</v>
      </c>
      <c r="EV125" s="1">
        <v>0</v>
      </c>
      <c r="EW125" s="1">
        <v>0</v>
      </c>
      <c r="EX125" s="1">
        <v>0</v>
      </c>
      <c r="EY125" s="1">
        <v>0</v>
      </c>
      <c r="EZ125" s="1">
        <v>0</v>
      </c>
      <c r="FA125" s="1">
        <v>0</v>
      </c>
      <c r="FB125" s="1">
        <v>0</v>
      </c>
      <c r="FC125" s="1">
        <v>0</v>
      </c>
      <c r="FD125" s="1">
        <v>0</v>
      </c>
      <c r="FE125" s="1">
        <v>132.52000000000001</v>
      </c>
      <c r="FF125" s="1">
        <v>179.83</v>
      </c>
      <c r="FG125" s="1">
        <v>110.1</v>
      </c>
      <c r="FH125" s="1">
        <v>141.04</v>
      </c>
      <c r="FI125" s="1">
        <v>132.52000000000001</v>
      </c>
      <c r="FJ125" s="1">
        <v>179.83</v>
      </c>
      <c r="FK125" s="1">
        <v>110.1</v>
      </c>
      <c r="FL125" s="1">
        <v>141.04</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448.14</v>
      </c>
      <c r="GD125" s="1">
        <v>357.78</v>
      </c>
      <c r="GE125" s="1">
        <v>88.070000000000007</v>
      </c>
      <c r="GF125" s="1">
        <v>103.54</v>
      </c>
      <c r="GG125" s="1">
        <v>375.3</v>
      </c>
      <c r="GH125" s="1">
        <v>301.69</v>
      </c>
      <c r="GI125" s="1">
        <v>88.070000000000007</v>
      </c>
      <c r="GJ125" s="1">
        <v>103.54</v>
      </c>
      <c r="GK125" s="1">
        <v>72.84</v>
      </c>
      <c r="GL125" s="1">
        <v>56.09</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0</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580.04899999999998</v>
      </c>
      <c r="IP125" s="1">
        <v>460.60199999999998</v>
      </c>
      <c r="IQ125" s="1">
        <v>28.623999999999999</v>
      </c>
      <c r="IR125" s="1">
        <v>24.309000000000001</v>
      </c>
      <c r="IS125" s="1">
        <v>580.04899999999998</v>
      </c>
      <c r="IT125" s="1">
        <v>460.60199999999998</v>
      </c>
      <c r="IU125" s="1">
        <v>28.623999999999999</v>
      </c>
      <c r="IV125" s="1">
        <v>24.309000000000001</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0</v>
      </c>
      <c r="JO125" s="1">
        <v>0</v>
      </c>
      <c r="JP125" s="1">
        <v>0</v>
      </c>
      <c r="JQ125" s="9"/>
      <c r="JR125" s="1">
        <f t="shared" si="25"/>
        <v>3980.1888000000017</v>
      </c>
      <c r="JS125" s="1">
        <f t="shared" si="25"/>
        <v>3911.5499399999999</v>
      </c>
      <c r="JT125" s="1">
        <f t="shared" si="25"/>
        <v>3715.4286900000016</v>
      </c>
      <c r="JU125" s="1">
        <f t="shared" si="25"/>
        <v>3620.24451</v>
      </c>
      <c r="JV125" s="1">
        <f t="shared" si="26"/>
        <v>737.07200000000034</v>
      </c>
      <c r="JW125" s="1">
        <f t="shared" si="26"/>
        <v>724.36109999999996</v>
      </c>
      <c r="JX125" s="1">
        <f t="shared" si="26"/>
        <v>688.04235000000028</v>
      </c>
      <c r="JY125" s="1">
        <f t="shared" si="26"/>
        <v>670.41564999999991</v>
      </c>
    </row>
    <row r="126" spans="1:285" x14ac:dyDescent="0.35">
      <c r="A126" s="2" t="s">
        <v>133</v>
      </c>
      <c r="B126" s="1">
        <v>140915</v>
      </c>
      <c r="C126" s="1">
        <v>140885</v>
      </c>
      <c r="D126" s="1">
        <v>140756</v>
      </c>
      <c r="E126" s="1">
        <v>141281</v>
      </c>
      <c r="F126" s="1">
        <v>154036.39000000001</v>
      </c>
      <c r="G126" s="1">
        <v>171901.14799999999</v>
      </c>
      <c r="H126" s="1">
        <v>153167.228</v>
      </c>
      <c r="I126" s="1">
        <v>157904.21100000001</v>
      </c>
      <c r="J126" s="1">
        <f t="shared" si="27"/>
        <v>50354.972000000002</v>
      </c>
      <c r="K126" s="1">
        <f t="shared" si="28"/>
        <v>69817.619000000006</v>
      </c>
      <c r="L126" s="1">
        <f t="shared" si="29"/>
        <v>39564.021999999997</v>
      </c>
      <c r="M126" s="1">
        <f t="shared" si="30"/>
        <v>43025.016000000003</v>
      </c>
      <c r="N126" s="1">
        <f t="shared" si="31"/>
        <v>103681.41800000001</v>
      </c>
      <c r="O126" s="1">
        <f t="shared" si="32"/>
        <v>102083.52899999998</v>
      </c>
      <c r="P126" s="1">
        <f t="shared" si="33"/>
        <v>113603.20600000001</v>
      </c>
      <c r="Q126" s="1">
        <f t="shared" si="34"/>
        <v>114879.19500000001</v>
      </c>
      <c r="R126" s="1">
        <v>5787.13</v>
      </c>
      <c r="S126" s="1">
        <v>5914.67</v>
      </c>
      <c r="T126" s="1">
        <v>5469.38</v>
      </c>
      <c r="U126" s="1">
        <v>5009.2299999999996</v>
      </c>
      <c r="V126" s="1">
        <v>0</v>
      </c>
      <c r="W126" s="1">
        <v>0</v>
      </c>
      <c r="X126" s="1">
        <v>5787.13</v>
      </c>
      <c r="Y126" s="1">
        <v>0</v>
      </c>
      <c r="Z126" s="1">
        <v>0</v>
      </c>
      <c r="AA126" s="1">
        <v>5914.67</v>
      </c>
      <c r="AB126" s="1">
        <v>0</v>
      </c>
      <c r="AC126" s="1">
        <v>0</v>
      </c>
      <c r="AD126" s="1">
        <v>5469.38</v>
      </c>
      <c r="AE126" s="1">
        <v>0</v>
      </c>
      <c r="AF126" s="1">
        <v>0</v>
      </c>
      <c r="AG126" s="1">
        <v>5009.2299999999996</v>
      </c>
      <c r="AH126" s="1">
        <v>0</v>
      </c>
      <c r="AI126" s="1">
        <v>0</v>
      </c>
      <c r="AJ126" s="1">
        <v>0</v>
      </c>
      <c r="AK126" s="1">
        <v>0</v>
      </c>
      <c r="AL126" s="1">
        <v>0</v>
      </c>
      <c r="AM126" s="1">
        <v>0</v>
      </c>
      <c r="AN126" s="1">
        <v>0</v>
      </c>
      <c r="AO126" s="1">
        <v>0</v>
      </c>
      <c r="AP126" s="1">
        <v>7685.42</v>
      </c>
      <c r="AQ126" s="1">
        <v>9686.3799999999992</v>
      </c>
      <c r="AR126" s="1">
        <v>8703.9009999999998</v>
      </c>
      <c r="AS126" s="1">
        <v>10393.11</v>
      </c>
      <c r="AT126" s="1">
        <v>0</v>
      </c>
      <c r="AU126" s="1">
        <v>7685.42</v>
      </c>
      <c r="AV126" s="1">
        <v>0</v>
      </c>
      <c r="AW126" s="1">
        <v>0</v>
      </c>
      <c r="AX126" s="1">
        <v>0</v>
      </c>
      <c r="AY126" s="1">
        <v>9686.3799999999992</v>
      </c>
      <c r="AZ126" s="1">
        <v>0</v>
      </c>
      <c r="BA126" s="1">
        <v>0</v>
      </c>
      <c r="BB126" s="1">
        <v>0</v>
      </c>
      <c r="BC126" s="1">
        <v>8703.9009999999998</v>
      </c>
      <c r="BD126" s="1">
        <v>0</v>
      </c>
      <c r="BE126" s="1">
        <v>0</v>
      </c>
      <c r="BF126" s="1">
        <v>10393.11</v>
      </c>
      <c r="BG126" s="1">
        <v>0</v>
      </c>
      <c r="BH126" s="1">
        <v>0</v>
      </c>
      <c r="BI126" s="1">
        <v>0</v>
      </c>
      <c r="BJ126" s="1">
        <v>0</v>
      </c>
      <c r="BK126" s="1">
        <v>0</v>
      </c>
      <c r="BL126" s="1">
        <v>0</v>
      </c>
      <c r="BM126" s="1">
        <v>0</v>
      </c>
      <c r="BN126" s="1">
        <v>0</v>
      </c>
      <c r="BO126" s="1">
        <v>0</v>
      </c>
      <c r="BP126" s="1">
        <v>0</v>
      </c>
      <c r="BQ126" s="1">
        <v>0</v>
      </c>
      <c r="BR126" s="1">
        <v>0</v>
      </c>
      <c r="BS126" s="1">
        <v>0</v>
      </c>
      <c r="BT126" s="1">
        <v>0</v>
      </c>
      <c r="BU126" s="1">
        <v>8674.8580000000002</v>
      </c>
      <c r="BV126" s="1">
        <v>10296.182000000001</v>
      </c>
      <c r="BW126" s="1">
        <v>5336.9359999999997</v>
      </c>
      <c r="BX126" s="1">
        <v>7674.6360000000004</v>
      </c>
      <c r="BY126" s="1">
        <v>8643.8780000000006</v>
      </c>
      <c r="BZ126" s="1">
        <v>10291.129999999999</v>
      </c>
      <c r="CA126" s="1">
        <v>5336.9359999999997</v>
      </c>
      <c r="CB126" s="1">
        <v>7674.6360000000004</v>
      </c>
      <c r="CC126" s="1">
        <v>30.98</v>
      </c>
      <c r="CD126" s="1">
        <v>0</v>
      </c>
      <c r="CE126" s="1">
        <v>0</v>
      </c>
      <c r="CF126" s="1">
        <v>0</v>
      </c>
      <c r="CG126" s="1">
        <v>0</v>
      </c>
      <c r="CH126" s="1">
        <v>0</v>
      </c>
      <c r="CI126" s="1">
        <v>0</v>
      </c>
      <c r="CJ126" s="1">
        <v>0</v>
      </c>
      <c r="CK126" s="1">
        <v>0</v>
      </c>
      <c r="CL126" s="1">
        <v>0</v>
      </c>
      <c r="CM126" s="1">
        <v>0</v>
      </c>
      <c r="CN126" s="1">
        <v>0</v>
      </c>
      <c r="CO126" s="1">
        <v>0</v>
      </c>
      <c r="CP126" s="1">
        <v>5.0519999999999996</v>
      </c>
      <c r="CQ126" s="1">
        <v>0</v>
      </c>
      <c r="CR126" s="1">
        <v>0</v>
      </c>
      <c r="CS126" s="1">
        <v>8646.86</v>
      </c>
      <c r="CT126" s="1">
        <v>13519.194</v>
      </c>
      <c r="CU126" s="1">
        <v>4704.0320000000002</v>
      </c>
      <c r="CV126" s="1">
        <v>3753.6590000000001</v>
      </c>
      <c r="CW126" s="1">
        <v>8646.86</v>
      </c>
      <c r="CX126" s="1">
        <v>13519.194</v>
      </c>
      <c r="CY126" s="1">
        <v>4704.0320000000002</v>
      </c>
      <c r="CZ126" s="1">
        <v>3753.6590000000001</v>
      </c>
      <c r="DA126" s="1">
        <v>0</v>
      </c>
      <c r="DB126" s="1">
        <v>0</v>
      </c>
      <c r="DC126" s="1">
        <v>0</v>
      </c>
      <c r="DD126" s="1">
        <v>0</v>
      </c>
      <c r="DE126" s="1">
        <v>0</v>
      </c>
      <c r="DF126" s="1">
        <v>0</v>
      </c>
      <c r="DG126" s="1">
        <v>0</v>
      </c>
      <c r="DH126" s="1">
        <v>0</v>
      </c>
      <c r="DI126" s="1">
        <v>0</v>
      </c>
      <c r="DJ126" s="1">
        <v>0</v>
      </c>
      <c r="DK126" s="1">
        <v>0</v>
      </c>
      <c r="DL126" s="1">
        <v>0</v>
      </c>
      <c r="DM126" s="1">
        <v>7577.7860000000001</v>
      </c>
      <c r="DN126" s="1">
        <v>7679.5659999999998</v>
      </c>
      <c r="DO126" s="1">
        <v>6193.5349999999999</v>
      </c>
      <c r="DP126" s="1">
        <v>5890.0609999999997</v>
      </c>
      <c r="DQ126" s="1">
        <v>6481.3099999999986</v>
      </c>
      <c r="DR126" s="1">
        <v>5797.0649999999996</v>
      </c>
      <c r="DS126" s="1">
        <v>5630.5349999999999</v>
      </c>
      <c r="DT126" s="1">
        <v>5890.0609999999997</v>
      </c>
      <c r="DU126" s="1">
        <v>0</v>
      </c>
      <c r="DV126" s="1">
        <v>0</v>
      </c>
      <c r="DW126" s="1">
        <v>0</v>
      </c>
      <c r="DX126" s="1">
        <v>0</v>
      </c>
      <c r="DY126" s="1">
        <v>0</v>
      </c>
      <c r="DZ126" s="1">
        <v>0</v>
      </c>
      <c r="EA126" s="1">
        <v>0</v>
      </c>
      <c r="EB126" s="1">
        <v>0</v>
      </c>
      <c r="EC126" s="1">
        <v>331.28</v>
      </c>
      <c r="ED126" s="1">
        <v>0</v>
      </c>
      <c r="EE126" s="1">
        <v>0</v>
      </c>
      <c r="EF126" s="1">
        <v>0</v>
      </c>
      <c r="EG126" s="1">
        <v>765.19600000000003</v>
      </c>
      <c r="EH126" s="1">
        <v>1882.501</v>
      </c>
      <c r="EI126" s="1">
        <v>563</v>
      </c>
      <c r="EJ126" s="1">
        <v>0</v>
      </c>
      <c r="EK126" s="1">
        <v>6895.3159999999998</v>
      </c>
      <c r="EL126" s="1">
        <v>13526.448</v>
      </c>
      <c r="EM126" s="1">
        <v>3765.9780000000001</v>
      </c>
      <c r="EN126" s="1">
        <v>3262.4879999999998</v>
      </c>
      <c r="EO126" s="1">
        <v>6895.3159999999998</v>
      </c>
      <c r="EP126" s="1">
        <v>13526.448</v>
      </c>
      <c r="EQ126" s="1">
        <v>3765.9780000000001</v>
      </c>
      <c r="ER126" s="1">
        <v>3262.4879999999998</v>
      </c>
      <c r="ES126" s="1">
        <v>0</v>
      </c>
      <c r="ET126" s="1">
        <v>0</v>
      </c>
      <c r="EU126" s="1">
        <v>0</v>
      </c>
      <c r="EV126" s="1">
        <v>0</v>
      </c>
      <c r="EW126" s="1">
        <v>0</v>
      </c>
      <c r="EX126" s="1">
        <v>0</v>
      </c>
      <c r="EY126" s="1">
        <v>0</v>
      </c>
      <c r="EZ126" s="1">
        <v>0</v>
      </c>
      <c r="FA126" s="1">
        <v>0</v>
      </c>
      <c r="FB126" s="1">
        <v>0</v>
      </c>
      <c r="FC126" s="1">
        <v>0</v>
      </c>
      <c r="FD126" s="1">
        <v>0</v>
      </c>
      <c r="FE126" s="1">
        <v>71.67</v>
      </c>
      <c r="FF126" s="1">
        <v>8.74</v>
      </c>
      <c r="FG126" s="1">
        <v>12.85</v>
      </c>
      <c r="FH126" s="1">
        <v>33.85</v>
      </c>
      <c r="FI126" s="1">
        <v>71.67</v>
      </c>
      <c r="FJ126" s="1">
        <v>8.74</v>
      </c>
      <c r="FK126" s="1">
        <v>12.85</v>
      </c>
      <c r="FL126" s="1">
        <v>33.85</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2137.3519999999999</v>
      </c>
      <c r="GD126" s="1">
        <v>3347.8710000000001</v>
      </c>
      <c r="GE126" s="1">
        <v>2239.08</v>
      </c>
      <c r="GF126" s="1">
        <v>3340.1819999999998</v>
      </c>
      <c r="GG126" s="1">
        <v>2137.3519999999999</v>
      </c>
      <c r="GH126" s="1">
        <v>3347.8710000000001</v>
      </c>
      <c r="GI126" s="1">
        <v>2239.08</v>
      </c>
      <c r="GJ126" s="1">
        <v>3340.1819999999998</v>
      </c>
      <c r="GK126" s="1">
        <v>0</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1212.3699999999999</v>
      </c>
      <c r="HF126" s="1">
        <v>3845.7530000000011</v>
      </c>
      <c r="HG126" s="1">
        <v>3138.33</v>
      </c>
      <c r="HH126" s="1">
        <v>3375.18</v>
      </c>
      <c r="HI126" s="1">
        <v>1176.21</v>
      </c>
      <c r="HJ126" s="1">
        <v>2888.4189999999999</v>
      </c>
      <c r="HK126" s="1">
        <v>3138.33</v>
      </c>
      <c r="HL126" s="1">
        <v>3375.18</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36.159999999999997</v>
      </c>
      <c r="ID126" s="1">
        <v>957.33400000000006</v>
      </c>
      <c r="IE126" s="1">
        <v>0</v>
      </c>
      <c r="IF126" s="1">
        <v>0</v>
      </c>
      <c r="IG126" s="1">
        <v>0</v>
      </c>
      <c r="IH126" s="1">
        <v>0</v>
      </c>
      <c r="II126" s="1">
        <v>0</v>
      </c>
      <c r="IJ126" s="1">
        <v>0</v>
      </c>
      <c r="IK126" s="1">
        <v>0</v>
      </c>
      <c r="IL126" s="1">
        <v>0</v>
      </c>
      <c r="IM126" s="1">
        <v>0</v>
      </c>
      <c r="IN126" s="1">
        <v>0</v>
      </c>
      <c r="IO126" s="1">
        <v>1666.21</v>
      </c>
      <c r="IP126" s="1">
        <v>1992.8150000000001</v>
      </c>
      <c r="IQ126" s="1">
        <v>0</v>
      </c>
      <c r="IR126" s="1">
        <v>292.62</v>
      </c>
      <c r="IS126" s="1">
        <v>1666.21</v>
      </c>
      <c r="IT126" s="1">
        <v>1988.6489999999999</v>
      </c>
      <c r="IU126" s="1">
        <v>0</v>
      </c>
      <c r="IV126" s="1">
        <v>292.58</v>
      </c>
      <c r="IW126" s="1">
        <v>0</v>
      </c>
      <c r="IX126" s="1">
        <v>0</v>
      </c>
      <c r="IY126" s="1">
        <v>0</v>
      </c>
      <c r="IZ126" s="1">
        <v>0.04</v>
      </c>
      <c r="JA126" s="1">
        <v>0</v>
      </c>
      <c r="JB126" s="1">
        <v>0</v>
      </c>
      <c r="JC126" s="1">
        <v>0</v>
      </c>
      <c r="JD126" s="1">
        <v>0</v>
      </c>
      <c r="JE126" s="1">
        <v>0</v>
      </c>
      <c r="JF126" s="1">
        <v>0</v>
      </c>
      <c r="JG126" s="1">
        <v>0</v>
      </c>
      <c r="JH126" s="1">
        <v>0</v>
      </c>
      <c r="JI126" s="1">
        <v>0</v>
      </c>
      <c r="JJ126" s="1">
        <v>0</v>
      </c>
      <c r="JK126" s="1">
        <v>0</v>
      </c>
      <c r="JL126" s="1">
        <v>0</v>
      </c>
      <c r="JM126" s="1">
        <v>0</v>
      </c>
      <c r="JN126" s="1">
        <v>4.1660000000000004</v>
      </c>
      <c r="JO126" s="1">
        <v>0</v>
      </c>
      <c r="JP126" s="1">
        <v>0</v>
      </c>
      <c r="JQ126" s="9"/>
      <c r="JR126" s="1">
        <f t="shared" si="25"/>
        <v>27993.982860000004</v>
      </c>
      <c r="JS126" s="1">
        <f t="shared" si="25"/>
        <v>27562.552829999997</v>
      </c>
      <c r="JT126" s="1">
        <f t="shared" si="25"/>
        <v>30672.865620000004</v>
      </c>
      <c r="JU126" s="1">
        <f t="shared" si="25"/>
        <v>31017.382650000003</v>
      </c>
      <c r="JV126" s="1">
        <f t="shared" si="26"/>
        <v>5184.0709000000006</v>
      </c>
      <c r="JW126" s="1">
        <f t="shared" si="26"/>
        <v>5104.176449999999</v>
      </c>
      <c r="JX126" s="1">
        <f t="shared" si="26"/>
        <v>5680.1603000000005</v>
      </c>
      <c r="JY126" s="1">
        <f t="shared" si="26"/>
        <v>5743.9597500000009</v>
      </c>
    </row>
    <row r="127" spans="1:285" x14ac:dyDescent="0.35">
      <c r="A127" s="2" t="s">
        <v>134</v>
      </c>
      <c r="B127" s="1">
        <v>2030</v>
      </c>
      <c r="C127" s="1">
        <v>2271</v>
      </c>
      <c r="D127" s="1">
        <v>2340</v>
      </c>
      <c r="E127" s="1">
        <v>2433</v>
      </c>
      <c r="F127" s="1">
        <v>3214.5340000000001</v>
      </c>
      <c r="G127" s="1">
        <v>3756.6860000000001</v>
      </c>
      <c r="H127" s="1">
        <v>3708.4549999999999</v>
      </c>
      <c r="I127" s="1">
        <v>3390.4380000000001</v>
      </c>
      <c r="J127" s="1">
        <f t="shared" si="27"/>
        <v>1251.7149999999999</v>
      </c>
      <c r="K127" s="1">
        <f t="shared" si="28"/>
        <v>1322.56</v>
      </c>
      <c r="L127" s="1">
        <f t="shared" si="29"/>
        <v>1499.009</v>
      </c>
      <c r="M127" s="1">
        <f t="shared" si="30"/>
        <v>1225.2819999999999</v>
      </c>
      <c r="N127" s="1">
        <f t="shared" si="31"/>
        <v>1962.8190000000002</v>
      </c>
      <c r="O127" s="1">
        <f t="shared" si="32"/>
        <v>2434.1260000000002</v>
      </c>
      <c r="P127" s="1">
        <f t="shared" si="33"/>
        <v>2209.4459999999999</v>
      </c>
      <c r="Q127" s="1">
        <f t="shared" si="34"/>
        <v>2165.1559999999999</v>
      </c>
      <c r="R127" s="1">
        <v>0</v>
      </c>
      <c r="S127" s="1">
        <v>0</v>
      </c>
      <c r="T127" s="1">
        <v>0</v>
      </c>
      <c r="U127" s="1">
        <v>0</v>
      </c>
      <c r="V127" s="1">
        <v>0</v>
      </c>
      <c r="W127" s="1">
        <v>0</v>
      </c>
      <c r="X127" s="1">
        <v>0</v>
      </c>
      <c r="Y127" s="1">
        <v>0</v>
      </c>
      <c r="Z127" s="1">
        <v>0</v>
      </c>
      <c r="AA127" s="1">
        <v>0</v>
      </c>
      <c r="AB127" s="1">
        <v>0</v>
      </c>
      <c r="AC127" s="1">
        <v>0</v>
      </c>
      <c r="AD127" s="1">
        <v>0</v>
      </c>
      <c r="AE127" s="1">
        <v>0</v>
      </c>
      <c r="AF127" s="1">
        <v>0</v>
      </c>
      <c r="AG127" s="1">
        <v>0</v>
      </c>
      <c r="AH127" s="1">
        <v>0</v>
      </c>
      <c r="AI127" s="1">
        <v>0</v>
      </c>
      <c r="AJ127" s="1">
        <v>0</v>
      </c>
      <c r="AK127" s="1">
        <v>0</v>
      </c>
      <c r="AL127" s="1">
        <v>0</v>
      </c>
      <c r="AM127" s="1">
        <v>0</v>
      </c>
      <c r="AN127" s="1">
        <v>0</v>
      </c>
      <c r="AO127" s="1">
        <v>0</v>
      </c>
      <c r="AP127" s="1">
        <v>175.02</v>
      </c>
      <c r="AQ127" s="1">
        <v>159.66999999999999</v>
      </c>
      <c r="AR127" s="1">
        <v>132.78</v>
      </c>
      <c r="AS127" s="1">
        <v>137.91</v>
      </c>
      <c r="AT127" s="1">
        <v>0</v>
      </c>
      <c r="AU127" s="1">
        <v>175.02</v>
      </c>
      <c r="AV127" s="1">
        <v>0</v>
      </c>
      <c r="AW127" s="1">
        <v>0</v>
      </c>
      <c r="AX127" s="1">
        <v>0</v>
      </c>
      <c r="AY127" s="1">
        <v>159.66999999999999</v>
      </c>
      <c r="AZ127" s="1">
        <v>0</v>
      </c>
      <c r="BA127" s="1">
        <v>0</v>
      </c>
      <c r="BB127" s="1">
        <v>0</v>
      </c>
      <c r="BC127" s="1">
        <v>132.78</v>
      </c>
      <c r="BD127" s="1">
        <v>0</v>
      </c>
      <c r="BE127" s="1">
        <v>0</v>
      </c>
      <c r="BF127" s="1">
        <v>137.91</v>
      </c>
      <c r="BG127" s="1">
        <v>0</v>
      </c>
      <c r="BH127" s="1">
        <v>0</v>
      </c>
      <c r="BI127" s="1">
        <v>0</v>
      </c>
      <c r="BJ127" s="1">
        <v>0</v>
      </c>
      <c r="BK127" s="1">
        <v>0</v>
      </c>
      <c r="BL127" s="1">
        <v>0</v>
      </c>
      <c r="BM127" s="1">
        <v>0</v>
      </c>
      <c r="BN127" s="1">
        <v>0</v>
      </c>
      <c r="BO127" s="1">
        <v>0</v>
      </c>
      <c r="BP127" s="1">
        <v>0</v>
      </c>
      <c r="BQ127" s="1">
        <v>0</v>
      </c>
      <c r="BR127" s="1">
        <v>0</v>
      </c>
      <c r="BS127" s="1">
        <v>0</v>
      </c>
      <c r="BT127" s="1">
        <v>0</v>
      </c>
      <c r="BU127" s="1">
        <v>248.154</v>
      </c>
      <c r="BV127" s="1">
        <v>274.416</v>
      </c>
      <c r="BW127" s="1">
        <v>304.93599999999998</v>
      </c>
      <c r="BX127" s="1">
        <v>186.672</v>
      </c>
      <c r="BY127" s="1">
        <v>248.154</v>
      </c>
      <c r="BZ127" s="1">
        <v>274.416</v>
      </c>
      <c r="CA127" s="1">
        <v>304.93599999999998</v>
      </c>
      <c r="CB127" s="1">
        <v>186.672</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248.154</v>
      </c>
      <c r="CT127" s="1">
        <v>274.416</v>
      </c>
      <c r="CU127" s="1">
        <v>313.13099999999997</v>
      </c>
      <c r="CV127" s="1">
        <v>301.76</v>
      </c>
      <c r="CW127" s="1">
        <v>248.154</v>
      </c>
      <c r="CX127" s="1">
        <v>274.416</v>
      </c>
      <c r="CY127" s="1">
        <v>313.13099999999997</v>
      </c>
      <c r="CZ127" s="1">
        <v>301.76</v>
      </c>
      <c r="DA127" s="1">
        <v>0</v>
      </c>
      <c r="DB127" s="1">
        <v>0</v>
      </c>
      <c r="DC127" s="1">
        <v>0</v>
      </c>
      <c r="DD127" s="1">
        <v>0</v>
      </c>
      <c r="DE127" s="1">
        <v>0</v>
      </c>
      <c r="DF127" s="1">
        <v>0</v>
      </c>
      <c r="DG127" s="1">
        <v>0</v>
      </c>
      <c r="DH127" s="1">
        <v>0</v>
      </c>
      <c r="DI127" s="1">
        <v>0</v>
      </c>
      <c r="DJ127" s="1">
        <v>0</v>
      </c>
      <c r="DK127" s="1">
        <v>0</v>
      </c>
      <c r="DL127" s="1">
        <v>0</v>
      </c>
      <c r="DM127" s="1">
        <v>99.800000000000011</v>
      </c>
      <c r="DN127" s="1">
        <v>116.45</v>
      </c>
      <c r="DO127" s="1">
        <v>108.77</v>
      </c>
      <c r="DP127" s="1">
        <v>187.17</v>
      </c>
      <c r="DQ127" s="1">
        <v>11.89</v>
      </c>
      <c r="DR127" s="1">
        <v>11.85</v>
      </c>
      <c r="DS127" s="1">
        <v>11.68</v>
      </c>
      <c r="DT127" s="1">
        <v>10.82</v>
      </c>
      <c r="DU127" s="1">
        <v>87.91</v>
      </c>
      <c r="DV127" s="1">
        <v>104.6</v>
      </c>
      <c r="DW127" s="1">
        <v>97.09</v>
      </c>
      <c r="DX127" s="1">
        <v>176.35</v>
      </c>
      <c r="DY127" s="1">
        <v>0</v>
      </c>
      <c r="DZ127" s="1">
        <v>0</v>
      </c>
      <c r="EA127" s="1">
        <v>0</v>
      </c>
      <c r="EB127" s="1">
        <v>0</v>
      </c>
      <c r="EC127" s="1">
        <v>0</v>
      </c>
      <c r="ED127" s="1">
        <v>0</v>
      </c>
      <c r="EE127" s="1">
        <v>0</v>
      </c>
      <c r="EF127" s="1">
        <v>0</v>
      </c>
      <c r="EG127" s="1">
        <v>0</v>
      </c>
      <c r="EH127" s="1">
        <v>0</v>
      </c>
      <c r="EI127" s="1">
        <v>0</v>
      </c>
      <c r="EJ127" s="1">
        <v>0</v>
      </c>
      <c r="EK127" s="1">
        <v>200.637</v>
      </c>
      <c r="EL127" s="1">
        <v>204.36799999999999</v>
      </c>
      <c r="EM127" s="1">
        <v>245.00800000000001</v>
      </c>
      <c r="EN127" s="1">
        <v>235.34</v>
      </c>
      <c r="EO127" s="1">
        <v>200.637</v>
      </c>
      <c r="EP127" s="1">
        <v>204.36799999999999</v>
      </c>
      <c r="EQ127" s="1">
        <v>245.00800000000001</v>
      </c>
      <c r="ER127" s="1">
        <v>235.34</v>
      </c>
      <c r="ES127" s="1">
        <v>0</v>
      </c>
      <c r="ET127" s="1">
        <v>0</v>
      </c>
      <c r="EU127" s="1">
        <v>0</v>
      </c>
      <c r="EV127" s="1">
        <v>0</v>
      </c>
      <c r="EW127" s="1">
        <v>0</v>
      </c>
      <c r="EX127" s="1">
        <v>0</v>
      </c>
      <c r="EY127" s="1">
        <v>0</v>
      </c>
      <c r="EZ127" s="1">
        <v>0</v>
      </c>
      <c r="FA127" s="1">
        <v>0</v>
      </c>
      <c r="FB127" s="1">
        <v>0</v>
      </c>
      <c r="FC127" s="1">
        <v>0</v>
      </c>
      <c r="FD127" s="1">
        <v>0</v>
      </c>
      <c r="FE127" s="1">
        <v>6.83</v>
      </c>
      <c r="FF127" s="1">
        <v>17.760000000000002</v>
      </c>
      <c r="FG127" s="1">
        <v>7.0220000000000002</v>
      </c>
      <c r="FH127" s="1">
        <v>5.73</v>
      </c>
      <c r="FI127" s="1"/>
      <c r="FJ127" s="1"/>
      <c r="FK127" s="1"/>
      <c r="FL127" s="1"/>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273.12</v>
      </c>
      <c r="GD127" s="1">
        <v>258.56</v>
      </c>
      <c r="GE127" s="1">
        <v>384.99</v>
      </c>
      <c r="GF127" s="1">
        <v>170.7</v>
      </c>
      <c r="GG127" s="1">
        <v>273.12</v>
      </c>
      <c r="GH127" s="1">
        <v>258.56</v>
      </c>
      <c r="GI127" s="1">
        <v>384.99</v>
      </c>
      <c r="GJ127" s="1">
        <v>170.7</v>
      </c>
      <c r="GK127" s="1">
        <v>0</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0</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16.920000000000002</v>
      </c>
      <c r="IQ127" s="1">
        <v>2.3719999999999999</v>
      </c>
      <c r="IR127" s="1">
        <v>0</v>
      </c>
      <c r="IS127" s="1">
        <v>0</v>
      </c>
      <c r="IT127" s="1">
        <v>16.920000000000002</v>
      </c>
      <c r="IU127" s="1">
        <v>2.3719999999999999</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0</v>
      </c>
      <c r="JO127" s="1">
        <v>0</v>
      </c>
      <c r="JP127" s="1">
        <v>0</v>
      </c>
      <c r="JQ127" s="9"/>
      <c r="JR127" s="1">
        <f t="shared" si="25"/>
        <v>529.96113000000014</v>
      </c>
      <c r="JS127" s="1">
        <f t="shared" si="25"/>
        <v>657.21402000000012</v>
      </c>
      <c r="JT127" s="1">
        <f t="shared" si="25"/>
        <v>596.55042000000003</v>
      </c>
      <c r="JU127" s="1">
        <f t="shared" si="25"/>
        <v>584.59212000000002</v>
      </c>
      <c r="JV127" s="1">
        <f t="shared" si="26"/>
        <v>98.140950000000018</v>
      </c>
      <c r="JW127" s="1">
        <f t="shared" si="26"/>
        <v>121.70630000000001</v>
      </c>
      <c r="JX127" s="1">
        <f t="shared" si="26"/>
        <v>110.4723</v>
      </c>
      <c r="JY127" s="1">
        <f t="shared" si="26"/>
        <v>108.2578</v>
      </c>
    </row>
    <row r="128" spans="1:285" x14ac:dyDescent="0.35">
      <c r="A128" s="2" t="s">
        <v>135</v>
      </c>
      <c r="B128" s="1">
        <v>221018</v>
      </c>
      <c r="C128" s="1">
        <v>217050</v>
      </c>
      <c r="D128" s="1">
        <v>219769</v>
      </c>
      <c r="E128" s="1">
        <v>222333</v>
      </c>
      <c r="F128" s="1">
        <v>45739.02</v>
      </c>
      <c r="G128" s="1">
        <v>46192.91</v>
      </c>
      <c r="H128" s="1">
        <v>47533.794999999998</v>
      </c>
      <c r="I128" s="1">
        <v>49423.05</v>
      </c>
      <c r="J128" s="1">
        <f t="shared" si="27"/>
        <v>26909.9</v>
      </c>
      <c r="K128" s="1">
        <f t="shared" si="28"/>
        <v>25176.149999999998</v>
      </c>
      <c r="L128" s="1">
        <f t="shared" si="29"/>
        <v>26858.584999999999</v>
      </c>
      <c r="M128" s="1">
        <f t="shared" si="30"/>
        <v>26751.760000000002</v>
      </c>
      <c r="N128" s="1">
        <f t="shared" si="31"/>
        <v>18829.119999999995</v>
      </c>
      <c r="O128" s="1">
        <f t="shared" si="32"/>
        <v>21016.760000000006</v>
      </c>
      <c r="P128" s="1">
        <f t="shared" si="33"/>
        <v>20675.21</v>
      </c>
      <c r="Q128" s="1">
        <f t="shared" si="34"/>
        <v>22671.29</v>
      </c>
      <c r="R128" s="1">
        <v>0</v>
      </c>
      <c r="S128" s="1">
        <v>0</v>
      </c>
      <c r="T128" s="1">
        <v>97.49</v>
      </c>
      <c r="U128" s="1">
        <v>0</v>
      </c>
      <c r="V128" s="1">
        <v>0</v>
      </c>
      <c r="W128" s="1">
        <v>0</v>
      </c>
      <c r="X128" s="1">
        <v>0</v>
      </c>
      <c r="Y128" s="1">
        <v>0</v>
      </c>
      <c r="Z128" s="1">
        <v>0</v>
      </c>
      <c r="AA128" s="1">
        <v>0</v>
      </c>
      <c r="AB128" s="1">
        <v>0</v>
      </c>
      <c r="AC128" s="1">
        <v>0</v>
      </c>
      <c r="AD128" s="1">
        <v>97.49</v>
      </c>
      <c r="AE128" s="1">
        <v>0</v>
      </c>
      <c r="AF128" s="1">
        <v>0</v>
      </c>
      <c r="AG128" s="1">
        <v>0</v>
      </c>
      <c r="AH128" s="1">
        <v>0</v>
      </c>
      <c r="AI128" s="1">
        <v>0</v>
      </c>
      <c r="AJ128" s="1">
        <v>0</v>
      </c>
      <c r="AK128" s="1">
        <v>0</v>
      </c>
      <c r="AL128" s="1">
        <v>0</v>
      </c>
      <c r="AM128" s="1">
        <v>0</v>
      </c>
      <c r="AN128" s="1">
        <v>0</v>
      </c>
      <c r="AO128" s="1">
        <v>0</v>
      </c>
      <c r="AP128" s="1">
        <v>6558.0199999999995</v>
      </c>
      <c r="AQ128" s="1">
        <v>4632.91</v>
      </c>
      <c r="AR128" s="1">
        <v>4655.1999999999989</v>
      </c>
      <c r="AS128" s="1">
        <v>5030.6699999999992</v>
      </c>
      <c r="AT128" s="1">
        <v>5663.5399999999991</v>
      </c>
      <c r="AU128" s="1">
        <v>894.48000000000013</v>
      </c>
      <c r="AV128" s="1">
        <v>0</v>
      </c>
      <c r="AW128" s="1">
        <v>0</v>
      </c>
      <c r="AX128" s="1">
        <v>4062.86</v>
      </c>
      <c r="AY128" s="1">
        <v>570.04999999999973</v>
      </c>
      <c r="AZ128" s="1">
        <v>0</v>
      </c>
      <c r="BA128" s="1">
        <v>0</v>
      </c>
      <c r="BB128" s="1">
        <v>3921.48</v>
      </c>
      <c r="BC128" s="1">
        <v>711.42999999999984</v>
      </c>
      <c r="BD128" s="1">
        <v>0</v>
      </c>
      <c r="BE128" s="1">
        <v>4048.309999999999</v>
      </c>
      <c r="BF128" s="1">
        <v>982.36000000000013</v>
      </c>
      <c r="BG128" s="1">
        <v>0</v>
      </c>
      <c r="BH128" s="1">
        <v>0</v>
      </c>
      <c r="BI128" s="1">
        <v>0</v>
      </c>
      <c r="BJ128" s="1">
        <v>0</v>
      </c>
      <c r="BK128" s="1">
        <v>0</v>
      </c>
      <c r="BL128" s="1">
        <v>0</v>
      </c>
      <c r="BM128" s="1">
        <v>0</v>
      </c>
      <c r="BN128" s="1">
        <v>0</v>
      </c>
      <c r="BO128" s="1">
        <v>0</v>
      </c>
      <c r="BP128" s="1">
        <v>0</v>
      </c>
      <c r="BQ128" s="1">
        <v>0</v>
      </c>
      <c r="BR128" s="1">
        <v>0</v>
      </c>
      <c r="BS128" s="1">
        <v>0</v>
      </c>
      <c r="BT128" s="1">
        <v>0</v>
      </c>
      <c r="BU128" s="1">
        <v>9564.52</v>
      </c>
      <c r="BV128" s="1">
        <v>11118.53</v>
      </c>
      <c r="BW128" s="1">
        <v>13153.13</v>
      </c>
      <c r="BX128" s="1">
        <v>12310.32</v>
      </c>
      <c r="BY128" s="1">
        <v>9528.34</v>
      </c>
      <c r="BZ128" s="1">
        <v>11087.92</v>
      </c>
      <c r="CA128" s="1">
        <v>13137.54</v>
      </c>
      <c r="CB128" s="1">
        <v>11548.13</v>
      </c>
      <c r="CC128" s="1">
        <v>36.180000000000007</v>
      </c>
      <c r="CD128" s="1">
        <v>30.61</v>
      </c>
      <c r="CE128" s="1">
        <v>15.59</v>
      </c>
      <c r="CF128" s="1">
        <v>48.77</v>
      </c>
      <c r="CG128" s="1">
        <v>0</v>
      </c>
      <c r="CH128" s="1">
        <v>0</v>
      </c>
      <c r="CI128" s="1">
        <v>0</v>
      </c>
      <c r="CJ128" s="1">
        <v>713.42</v>
      </c>
      <c r="CK128" s="1">
        <v>0</v>
      </c>
      <c r="CL128" s="1">
        <v>0</v>
      </c>
      <c r="CM128" s="1">
        <v>0</v>
      </c>
      <c r="CN128" s="1">
        <v>0</v>
      </c>
      <c r="CO128" s="1">
        <v>0</v>
      </c>
      <c r="CP128" s="1">
        <v>0</v>
      </c>
      <c r="CQ128" s="1">
        <v>0</v>
      </c>
      <c r="CR128" s="1">
        <v>0</v>
      </c>
      <c r="CS128" s="1">
        <v>1452.93</v>
      </c>
      <c r="CT128" s="1">
        <v>1311.97</v>
      </c>
      <c r="CU128" s="1">
        <v>1174.08</v>
      </c>
      <c r="CV128" s="1">
        <v>1171.6199999999999</v>
      </c>
      <c r="CW128" s="1">
        <v>1452.93</v>
      </c>
      <c r="CX128" s="1">
        <v>1311.97</v>
      </c>
      <c r="CY128" s="1">
        <v>1174.08</v>
      </c>
      <c r="CZ128" s="1">
        <v>1171.6199999999999</v>
      </c>
      <c r="DA128" s="1">
        <v>0</v>
      </c>
      <c r="DB128" s="1">
        <v>0</v>
      </c>
      <c r="DC128" s="1">
        <v>0</v>
      </c>
      <c r="DD128" s="1">
        <v>0</v>
      </c>
      <c r="DE128" s="1">
        <v>0</v>
      </c>
      <c r="DF128" s="1">
        <v>0</v>
      </c>
      <c r="DG128" s="1">
        <v>0</v>
      </c>
      <c r="DH128" s="1">
        <v>0</v>
      </c>
      <c r="DI128" s="1">
        <v>0</v>
      </c>
      <c r="DJ128" s="1">
        <v>0</v>
      </c>
      <c r="DK128" s="1">
        <v>0</v>
      </c>
      <c r="DL128" s="1">
        <v>0</v>
      </c>
      <c r="DM128" s="1">
        <v>6750.61</v>
      </c>
      <c r="DN128" s="1">
        <v>5337.62</v>
      </c>
      <c r="DO128" s="1">
        <v>5078.3899999999994</v>
      </c>
      <c r="DP128" s="1">
        <v>4417.13</v>
      </c>
      <c r="DQ128" s="1">
        <v>6750.61</v>
      </c>
      <c r="DR128" s="1">
        <v>5337.62</v>
      </c>
      <c r="DS128" s="1">
        <v>5078.3899999999994</v>
      </c>
      <c r="DT128" s="1">
        <v>4417.13</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1113.94</v>
      </c>
      <c r="EL128" s="1">
        <v>730.21</v>
      </c>
      <c r="EM128" s="1">
        <v>571.74</v>
      </c>
      <c r="EN128" s="1">
        <v>780.53</v>
      </c>
      <c r="EO128" s="1">
        <v>1112.51</v>
      </c>
      <c r="EP128" s="1">
        <v>727.3900000000001</v>
      </c>
      <c r="EQ128" s="1">
        <v>569.45000000000005</v>
      </c>
      <c r="ER128" s="1">
        <v>774.8</v>
      </c>
      <c r="ES128" s="1">
        <v>1.43</v>
      </c>
      <c r="ET128" s="1">
        <v>2.82</v>
      </c>
      <c r="EU128" s="1">
        <v>2.29</v>
      </c>
      <c r="EV128" s="1">
        <v>5.73</v>
      </c>
      <c r="EW128" s="1">
        <v>0</v>
      </c>
      <c r="EX128" s="1">
        <v>0</v>
      </c>
      <c r="EY128" s="1">
        <v>0</v>
      </c>
      <c r="EZ128" s="1">
        <v>0</v>
      </c>
      <c r="FA128" s="1">
        <v>0</v>
      </c>
      <c r="FB128" s="1">
        <v>0</v>
      </c>
      <c r="FC128" s="1">
        <v>0</v>
      </c>
      <c r="FD128" s="1">
        <v>0</v>
      </c>
      <c r="FE128" s="1">
        <v>309.94</v>
      </c>
      <c r="FF128" s="1">
        <v>715.02</v>
      </c>
      <c r="FG128" s="1">
        <v>742.125</v>
      </c>
      <c r="FH128" s="1">
        <v>618.95000000000005</v>
      </c>
      <c r="FI128" s="1">
        <v>67.52</v>
      </c>
      <c r="FJ128" s="1">
        <v>268.31</v>
      </c>
      <c r="FK128" s="1">
        <v>235.92</v>
      </c>
      <c r="FL128" s="1">
        <v>268.42</v>
      </c>
      <c r="FM128" s="1">
        <v>242.42</v>
      </c>
      <c r="FN128" s="1">
        <v>446.71</v>
      </c>
      <c r="FO128" s="1">
        <v>506.20499999999998</v>
      </c>
      <c r="FP128" s="1">
        <v>350.53</v>
      </c>
      <c r="FQ128" s="1">
        <v>0</v>
      </c>
      <c r="FR128" s="1">
        <v>0</v>
      </c>
      <c r="FS128" s="1">
        <v>0</v>
      </c>
      <c r="FT128" s="1">
        <v>0</v>
      </c>
      <c r="FU128" s="1">
        <v>0</v>
      </c>
      <c r="FV128" s="1">
        <v>0</v>
      </c>
      <c r="FW128" s="1">
        <v>0</v>
      </c>
      <c r="FX128" s="1">
        <v>0</v>
      </c>
      <c r="FY128" s="1">
        <v>0</v>
      </c>
      <c r="FZ128" s="1">
        <v>0</v>
      </c>
      <c r="GA128" s="1">
        <v>0</v>
      </c>
      <c r="GB128" s="1">
        <v>0</v>
      </c>
      <c r="GC128" s="1">
        <v>239.61</v>
      </c>
      <c r="GD128" s="1">
        <v>246.85</v>
      </c>
      <c r="GE128" s="1">
        <v>150.91</v>
      </c>
      <c r="GF128" s="1">
        <v>245.95</v>
      </c>
      <c r="GG128" s="1">
        <v>239.61</v>
      </c>
      <c r="GH128" s="1">
        <v>246.85</v>
      </c>
      <c r="GI128" s="1">
        <v>150.91</v>
      </c>
      <c r="GJ128" s="1">
        <v>245.95</v>
      </c>
      <c r="GK128" s="1">
        <v>0</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894.62999999999988</v>
      </c>
      <c r="HF128" s="1">
        <v>1067.1400000000001</v>
      </c>
      <c r="HG128" s="1">
        <v>1231.42</v>
      </c>
      <c r="HH128" s="1">
        <v>2059.0100000000002</v>
      </c>
      <c r="HI128" s="1">
        <v>894.62999999999988</v>
      </c>
      <c r="HJ128" s="1">
        <v>913.26</v>
      </c>
      <c r="HK128" s="1">
        <v>749.22</v>
      </c>
      <c r="HL128" s="1">
        <v>1831.35</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0.05</v>
      </c>
      <c r="IC128" s="1">
        <v>0</v>
      </c>
      <c r="ID128" s="1">
        <v>153.88</v>
      </c>
      <c r="IE128" s="1">
        <v>474.12</v>
      </c>
      <c r="IF128" s="1">
        <v>223.53</v>
      </c>
      <c r="IG128" s="1">
        <v>0</v>
      </c>
      <c r="IH128" s="1">
        <v>0</v>
      </c>
      <c r="II128" s="1">
        <v>8.08</v>
      </c>
      <c r="IJ128" s="1">
        <v>4.08</v>
      </c>
      <c r="IK128" s="1">
        <v>0</v>
      </c>
      <c r="IL128" s="1">
        <v>0</v>
      </c>
      <c r="IM128" s="1">
        <v>0</v>
      </c>
      <c r="IN128" s="1">
        <v>0</v>
      </c>
      <c r="IO128" s="1">
        <v>25.7</v>
      </c>
      <c r="IP128" s="1">
        <v>15.9</v>
      </c>
      <c r="IQ128" s="1">
        <v>4.0999999999999996</v>
      </c>
      <c r="IR128" s="1">
        <v>117.58</v>
      </c>
      <c r="IS128" s="1">
        <v>14.71</v>
      </c>
      <c r="IT128" s="1">
        <v>15.9</v>
      </c>
      <c r="IU128" s="1">
        <v>4.0999999999999996</v>
      </c>
      <c r="IV128" s="1">
        <v>117.58</v>
      </c>
      <c r="IW128" s="1">
        <v>10.99</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0</v>
      </c>
      <c r="JO128" s="1">
        <v>0</v>
      </c>
      <c r="JP128" s="1">
        <v>0</v>
      </c>
      <c r="JQ128" s="9"/>
      <c r="JR128" s="1">
        <f t="shared" si="25"/>
        <v>5083.8623999999991</v>
      </c>
      <c r="JS128" s="1">
        <f t="shared" si="25"/>
        <v>5674.5252000000019</v>
      </c>
      <c r="JT128" s="1">
        <f t="shared" si="25"/>
        <v>5582.3067000000001</v>
      </c>
      <c r="JU128" s="1">
        <f t="shared" si="25"/>
        <v>6121.2483000000002</v>
      </c>
      <c r="JV128" s="1">
        <f t="shared" si="26"/>
        <v>941.45599999999979</v>
      </c>
      <c r="JW128" s="1">
        <f t="shared" si="26"/>
        <v>1050.8380000000004</v>
      </c>
      <c r="JX128" s="1">
        <f t="shared" si="26"/>
        <v>1033.7605000000001</v>
      </c>
      <c r="JY128" s="1">
        <f t="shared" si="26"/>
        <v>1133.5645000000002</v>
      </c>
    </row>
    <row r="129" spans="1:285" x14ac:dyDescent="0.35">
      <c r="A129" s="2" t="s">
        <v>136</v>
      </c>
      <c r="B129" s="1">
        <v>144874</v>
      </c>
      <c r="C129" s="1">
        <v>144266</v>
      </c>
      <c r="D129" s="1">
        <v>146336</v>
      </c>
      <c r="E129" s="1">
        <v>146499</v>
      </c>
      <c r="F129" s="1">
        <v>80960.81</v>
      </c>
      <c r="G129" s="1">
        <v>82487.53</v>
      </c>
      <c r="H129" s="1">
        <v>83483.360000000001</v>
      </c>
      <c r="I129" s="1">
        <v>81865.33</v>
      </c>
      <c r="J129" s="1">
        <f t="shared" si="27"/>
        <v>63787.87999999999</v>
      </c>
      <c r="K129" s="1">
        <f t="shared" si="28"/>
        <v>65083.18</v>
      </c>
      <c r="L129" s="1">
        <f t="shared" si="29"/>
        <v>65304.28</v>
      </c>
      <c r="M129" s="1">
        <f t="shared" si="30"/>
        <v>65923.929999999993</v>
      </c>
      <c r="N129" s="1">
        <f t="shared" si="31"/>
        <v>17172.930000000008</v>
      </c>
      <c r="O129" s="1">
        <f t="shared" si="32"/>
        <v>17404.349999999999</v>
      </c>
      <c r="P129" s="1">
        <f t="shared" si="33"/>
        <v>18179.080000000002</v>
      </c>
      <c r="Q129" s="1">
        <f t="shared" si="34"/>
        <v>15941.400000000009</v>
      </c>
      <c r="R129" s="1">
        <v>224.72</v>
      </c>
      <c r="S129" s="1">
        <v>222.34</v>
      </c>
      <c r="T129" s="1">
        <v>251.8</v>
      </c>
      <c r="U129" s="1">
        <v>1592.33</v>
      </c>
      <c r="V129" s="1">
        <v>0</v>
      </c>
      <c r="W129" s="1">
        <v>0</v>
      </c>
      <c r="X129" s="1">
        <v>224.72</v>
      </c>
      <c r="Y129" s="1">
        <v>0</v>
      </c>
      <c r="Z129" s="1">
        <v>0</v>
      </c>
      <c r="AA129" s="1">
        <v>222.34</v>
      </c>
      <c r="AB129" s="1">
        <v>0</v>
      </c>
      <c r="AC129" s="1">
        <v>0</v>
      </c>
      <c r="AD129" s="1">
        <v>251.8</v>
      </c>
      <c r="AE129" s="1">
        <v>0</v>
      </c>
      <c r="AF129" s="1">
        <v>0</v>
      </c>
      <c r="AG129" s="1">
        <v>1592.33</v>
      </c>
      <c r="AH129" s="1">
        <v>0</v>
      </c>
      <c r="AI129" s="1">
        <v>0</v>
      </c>
      <c r="AJ129" s="1">
        <v>0</v>
      </c>
      <c r="AK129" s="1">
        <v>0</v>
      </c>
      <c r="AL129" s="1">
        <v>0</v>
      </c>
      <c r="AM129" s="1">
        <v>0</v>
      </c>
      <c r="AN129" s="1">
        <v>0</v>
      </c>
      <c r="AO129" s="1">
        <v>0</v>
      </c>
      <c r="AP129" s="1">
        <v>1162.02</v>
      </c>
      <c r="AQ129" s="1">
        <v>1160.4100000000001</v>
      </c>
      <c r="AR129" s="1">
        <v>958.4799999999999</v>
      </c>
      <c r="AS129" s="1">
        <v>1008.76</v>
      </c>
      <c r="AT129" s="1">
        <v>0</v>
      </c>
      <c r="AU129" s="1">
        <v>1162.02</v>
      </c>
      <c r="AV129" s="1">
        <v>0</v>
      </c>
      <c r="AW129" s="1">
        <v>0</v>
      </c>
      <c r="AX129" s="1">
        <v>0</v>
      </c>
      <c r="AY129" s="1">
        <v>1160.4100000000001</v>
      </c>
      <c r="AZ129" s="1">
        <v>0</v>
      </c>
      <c r="BA129" s="1">
        <v>0</v>
      </c>
      <c r="BB129" s="1">
        <v>0</v>
      </c>
      <c r="BC129" s="1">
        <v>958.4799999999999</v>
      </c>
      <c r="BD129" s="1">
        <v>0</v>
      </c>
      <c r="BE129" s="1">
        <v>0</v>
      </c>
      <c r="BF129" s="1">
        <v>1008.76</v>
      </c>
      <c r="BG129" s="1">
        <v>0</v>
      </c>
      <c r="BH129" s="1">
        <v>0</v>
      </c>
      <c r="BI129" s="1">
        <v>0</v>
      </c>
      <c r="BJ129" s="1">
        <v>0</v>
      </c>
      <c r="BK129" s="1">
        <v>0</v>
      </c>
      <c r="BL129" s="1">
        <v>0</v>
      </c>
      <c r="BM129" s="1">
        <v>0</v>
      </c>
      <c r="BN129" s="1">
        <v>0</v>
      </c>
      <c r="BO129" s="1">
        <v>0</v>
      </c>
      <c r="BP129" s="1">
        <v>0</v>
      </c>
      <c r="BQ129" s="1">
        <v>0</v>
      </c>
      <c r="BR129" s="1">
        <v>0</v>
      </c>
      <c r="BS129" s="1">
        <v>0</v>
      </c>
      <c r="BT129" s="1">
        <v>0</v>
      </c>
      <c r="BU129" s="1">
        <v>12503.8</v>
      </c>
      <c r="BV129" s="1">
        <v>12721.43</v>
      </c>
      <c r="BW129" s="1">
        <v>12755.84</v>
      </c>
      <c r="BX129" s="1">
        <v>12568.81</v>
      </c>
      <c r="BY129" s="1">
        <v>12503.8</v>
      </c>
      <c r="BZ129" s="1">
        <v>12721.43</v>
      </c>
      <c r="CA129" s="1">
        <v>12755.84</v>
      </c>
      <c r="CB129" s="1">
        <v>12568.81</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12145.02</v>
      </c>
      <c r="CT129" s="1">
        <v>12461.68</v>
      </c>
      <c r="CU129" s="1">
        <v>12596.79</v>
      </c>
      <c r="CV129" s="1">
        <v>12491.29</v>
      </c>
      <c r="CW129" s="1">
        <v>12145.02</v>
      </c>
      <c r="CX129" s="1">
        <v>12461.68</v>
      </c>
      <c r="CY129" s="1">
        <v>12596.79</v>
      </c>
      <c r="CZ129" s="1">
        <v>12491.29</v>
      </c>
      <c r="DA129" s="1">
        <v>0</v>
      </c>
      <c r="DB129" s="1">
        <v>0</v>
      </c>
      <c r="DC129" s="1">
        <v>0</v>
      </c>
      <c r="DD129" s="1">
        <v>0</v>
      </c>
      <c r="DE129" s="1">
        <v>0</v>
      </c>
      <c r="DF129" s="1">
        <v>0</v>
      </c>
      <c r="DG129" s="1">
        <v>0</v>
      </c>
      <c r="DH129" s="1">
        <v>0</v>
      </c>
      <c r="DI129" s="1">
        <v>0</v>
      </c>
      <c r="DJ129" s="1">
        <v>0</v>
      </c>
      <c r="DK129" s="1">
        <v>0</v>
      </c>
      <c r="DL129" s="1">
        <v>0</v>
      </c>
      <c r="DM129" s="1">
        <v>11963.13</v>
      </c>
      <c r="DN129" s="1">
        <v>12190.44</v>
      </c>
      <c r="DO129" s="1">
        <v>12350.58</v>
      </c>
      <c r="DP129" s="1">
        <v>12242.57</v>
      </c>
      <c r="DQ129" s="1">
        <v>11963.13</v>
      </c>
      <c r="DR129" s="1">
        <v>12190.44</v>
      </c>
      <c r="DS129" s="1">
        <v>12350.58</v>
      </c>
      <c r="DT129" s="1">
        <v>12242.57</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12554.39</v>
      </c>
      <c r="EL129" s="1">
        <v>12805.18</v>
      </c>
      <c r="EM129" s="1">
        <v>12930.74</v>
      </c>
      <c r="EN129" s="1">
        <v>12734.71</v>
      </c>
      <c r="EO129" s="1">
        <v>12549.89</v>
      </c>
      <c r="EP129" s="1">
        <v>12802.06</v>
      </c>
      <c r="EQ129" s="1">
        <v>12919.85</v>
      </c>
      <c r="ER129" s="1">
        <v>12724.02</v>
      </c>
      <c r="ES129" s="1">
        <v>4.5</v>
      </c>
      <c r="ET129" s="1">
        <v>3.12</v>
      </c>
      <c r="EU129" s="1">
        <v>10.89</v>
      </c>
      <c r="EV129" s="1">
        <v>10.69</v>
      </c>
      <c r="EW129" s="1">
        <v>0</v>
      </c>
      <c r="EX129" s="1">
        <v>0</v>
      </c>
      <c r="EY129" s="1">
        <v>0</v>
      </c>
      <c r="EZ129" s="1">
        <v>0</v>
      </c>
      <c r="FA129" s="1">
        <v>0</v>
      </c>
      <c r="FB129" s="1">
        <v>0</v>
      </c>
      <c r="FC129" s="1">
        <v>0</v>
      </c>
      <c r="FD129" s="1">
        <v>0</v>
      </c>
      <c r="FE129" s="1">
        <v>263.17</v>
      </c>
      <c r="FF129" s="1">
        <v>271.24</v>
      </c>
      <c r="FG129" s="1">
        <v>218.57</v>
      </c>
      <c r="FH129" s="1">
        <v>206.08</v>
      </c>
      <c r="FI129" s="1"/>
      <c r="FJ129" s="1"/>
      <c r="FK129" s="1"/>
      <c r="FL129" s="1"/>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12803.05</v>
      </c>
      <c r="GD129" s="1">
        <v>13042.26</v>
      </c>
      <c r="GE129" s="1">
        <v>13014.67</v>
      </c>
      <c r="GF129" s="1">
        <v>12858.95</v>
      </c>
      <c r="GG129" s="1">
        <v>12803.05</v>
      </c>
      <c r="GH129" s="1">
        <v>13042.26</v>
      </c>
      <c r="GI129" s="1">
        <v>13014.67</v>
      </c>
      <c r="GJ129" s="1">
        <v>12858.95</v>
      </c>
      <c r="GK129" s="1">
        <v>0</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0</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168.58</v>
      </c>
      <c r="IP129" s="1">
        <v>208.2</v>
      </c>
      <c r="IQ129" s="1">
        <v>226.81</v>
      </c>
      <c r="IR129" s="1">
        <v>220.43</v>
      </c>
      <c r="IS129" s="1">
        <v>168.58</v>
      </c>
      <c r="IT129" s="1">
        <v>208.2</v>
      </c>
      <c r="IU129" s="1">
        <v>226.81</v>
      </c>
      <c r="IV129" s="1">
        <v>220.43</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0</v>
      </c>
      <c r="JO129" s="1">
        <v>0</v>
      </c>
      <c r="JP129" s="1">
        <v>0</v>
      </c>
      <c r="JQ129" s="9"/>
      <c r="JR129" s="1">
        <f t="shared" si="25"/>
        <v>4636.6911000000027</v>
      </c>
      <c r="JS129" s="1">
        <f t="shared" si="25"/>
        <v>4699.1745000000001</v>
      </c>
      <c r="JT129" s="1">
        <f t="shared" si="25"/>
        <v>4908.3516000000009</v>
      </c>
      <c r="JU129" s="1">
        <f t="shared" ref="JU129:JU192" si="36">27%*Q129</f>
        <v>4304.1780000000026</v>
      </c>
      <c r="JV129" s="1">
        <f t="shared" si="26"/>
        <v>858.6465000000004</v>
      </c>
      <c r="JW129" s="1">
        <f t="shared" si="26"/>
        <v>870.21749999999997</v>
      </c>
      <c r="JX129" s="1">
        <f t="shared" si="26"/>
        <v>908.95400000000018</v>
      </c>
      <c r="JY129" s="1">
        <f t="shared" ref="JY129:JY192" si="37">5%*Q129</f>
        <v>797.0700000000005</v>
      </c>
    </row>
    <row r="130" spans="1:285" x14ac:dyDescent="0.35">
      <c r="A130" s="2" t="s">
        <v>137</v>
      </c>
      <c r="B130" s="1">
        <v>153023</v>
      </c>
      <c r="C130" s="1">
        <v>154920</v>
      </c>
      <c r="D130" s="1">
        <v>155665</v>
      </c>
      <c r="E130" s="1">
        <v>156201</v>
      </c>
      <c r="F130" s="1">
        <v>58990.839</v>
      </c>
      <c r="G130" s="1">
        <v>57508.857000000004</v>
      </c>
      <c r="H130" s="1">
        <v>56873.4</v>
      </c>
      <c r="I130" s="1">
        <v>54884.14</v>
      </c>
      <c r="J130" s="1">
        <f t="shared" si="27"/>
        <v>38979.294999999991</v>
      </c>
      <c r="K130" s="1">
        <f t="shared" si="28"/>
        <v>38890.363000000005</v>
      </c>
      <c r="L130" s="1">
        <f t="shared" si="29"/>
        <v>38918.139999999992</v>
      </c>
      <c r="M130" s="1">
        <f t="shared" si="30"/>
        <v>37411.57</v>
      </c>
      <c r="N130" s="1">
        <f t="shared" si="31"/>
        <v>20011.544000000009</v>
      </c>
      <c r="O130" s="1">
        <f t="shared" si="32"/>
        <v>18618.493999999999</v>
      </c>
      <c r="P130" s="1">
        <f t="shared" si="33"/>
        <v>17955.260000000009</v>
      </c>
      <c r="Q130" s="1">
        <f t="shared" si="34"/>
        <v>17472.57</v>
      </c>
      <c r="R130" s="1">
        <v>783.29</v>
      </c>
      <c r="S130" s="1">
        <v>685.28</v>
      </c>
      <c r="T130" s="1">
        <v>1918.98</v>
      </c>
      <c r="U130" s="1">
        <v>1698.49</v>
      </c>
      <c r="V130" s="1">
        <v>0</v>
      </c>
      <c r="W130" s="1">
        <v>0</v>
      </c>
      <c r="X130" s="1">
        <v>783.29</v>
      </c>
      <c r="Y130" s="1">
        <v>0</v>
      </c>
      <c r="Z130" s="1">
        <v>0</v>
      </c>
      <c r="AA130" s="1">
        <v>685.28</v>
      </c>
      <c r="AB130" s="1">
        <v>0</v>
      </c>
      <c r="AC130" s="1">
        <v>0</v>
      </c>
      <c r="AD130" s="1">
        <v>1918.98</v>
      </c>
      <c r="AE130" s="1">
        <v>0</v>
      </c>
      <c r="AF130" s="1">
        <v>0</v>
      </c>
      <c r="AG130" s="1">
        <v>1698.49</v>
      </c>
      <c r="AH130" s="1">
        <v>0</v>
      </c>
      <c r="AI130" s="1">
        <v>0</v>
      </c>
      <c r="AJ130" s="1">
        <v>0</v>
      </c>
      <c r="AK130" s="1">
        <v>0</v>
      </c>
      <c r="AL130" s="1">
        <v>0</v>
      </c>
      <c r="AM130" s="1">
        <v>0</v>
      </c>
      <c r="AN130" s="1">
        <v>0</v>
      </c>
      <c r="AO130" s="1">
        <v>0</v>
      </c>
      <c r="AP130" s="1">
        <v>10749.3</v>
      </c>
      <c r="AQ130" s="1">
        <v>11424.399000000001</v>
      </c>
      <c r="AR130" s="1">
        <v>10274.93</v>
      </c>
      <c r="AS130" s="1">
        <v>11524.880000000001</v>
      </c>
      <c r="AT130" s="1">
        <v>0</v>
      </c>
      <c r="AU130" s="1">
        <v>10749.3</v>
      </c>
      <c r="AV130" s="1">
        <v>0</v>
      </c>
      <c r="AW130" s="1">
        <v>0</v>
      </c>
      <c r="AX130" s="1">
        <v>0</v>
      </c>
      <c r="AY130" s="1">
        <v>11424.399000000001</v>
      </c>
      <c r="AZ130" s="1">
        <v>0</v>
      </c>
      <c r="BA130" s="1">
        <v>0</v>
      </c>
      <c r="BB130" s="1">
        <v>0</v>
      </c>
      <c r="BC130" s="1">
        <v>10274.93</v>
      </c>
      <c r="BD130" s="1">
        <v>0</v>
      </c>
      <c r="BE130" s="1">
        <v>0</v>
      </c>
      <c r="BF130" s="1">
        <v>11524.880000000001</v>
      </c>
      <c r="BG130" s="1">
        <v>0</v>
      </c>
      <c r="BH130" s="1">
        <v>0</v>
      </c>
      <c r="BI130" s="1">
        <v>0</v>
      </c>
      <c r="BJ130" s="1">
        <v>0</v>
      </c>
      <c r="BK130" s="1">
        <v>0</v>
      </c>
      <c r="BL130" s="1">
        <v>0</v>
      </c>
      <c r="BM130" s="1">
        <v>0</v>
      </c>
      <c r="BN130" s="1">
        <v>0</v>
      </c>
      <c r="BO130" s="1">
        <v>0</v>
      </c>
      <c r="BP130" s="1">
        <v>0</v>
      </c>
      <c r="BQ130" s="1">
        <v>0</v>
      </c>
      <c r="BR130" s="1">
        <v>0</v>
      </c>
      <c r="BS130" s="1">
        <v>0</v>
      </c>
      <c r="BT130" s="1">
        <v>0</v>
      </c>
      <c r="BU130" s="1">
        <v>10506.987999999999</v>
      </c>
      <c r="BV130" s="1">
        <v>9085.494999999999</v>
      </c>
      <c r="BW130" s="1">
        <v>10600.4</v>
      </c>
      <c r="BX130" s="1">
        <v>9152.84</v>
      </c>
      <c r="BY130" s="1">
        <v>10506.987999999999</v>
      </c>
      <c r="BZ130" s="1">
        <v>9085.494999999999</v>
      </c>
      <c r="CA130" s="1">
        <v>10600.4</v>
      </c>
      <c r="CB130" s="1">
        <v>9152.84</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4260.723</v>
      </c>
      <c r="CT130" s="1">
        <v>5256.2370000000001</v>
      </c>
      <c r="CU130" s="1">
        <v>4336.1499999999996</v>
      </c>
      <c r="CV130" s="1">
        <v>3072.26</v>
      </c>
      <c r="CW130" s="1">
        <v>4260.723</v>
      </c>
      <c r="CX130" s="1">
        <v>5256.2370000000001</v>
      </c>
      <c r="CY130" s="1">
        <v>4336.1499999999996</v>
      </c>
      <c r="CZ130" s="1">
        <v>3072.26</v>
      </c>
      <c r="DA130" s="1">
        <v>0</v>
      </c>
      <c r="DB130" s="1">
        <v>0</v>
      </c>
      <c r="DC130" s="1">
        <v>0</v>
      </c>
      <c r="DD130" s="1">
        <v>0</v>
      </c>
      <c r="DE130" s="1">
        <v>0</v>
      </c>
      <c r="DF130" s="1">
        <v>0</v>
      </c>
      <c r="DG130" s="1">
        <v>0</v>
      </c>
      <c r="DH130" s="1">
        <v>0</v>
      </c>
      <c r="DI130" s="1">
        <v>0</v>
      </c>
      <c r="DJ130" s="1">
        <v>0</v>
      </c>
      <c r="DK130" s="1">
        <v>0</v>
      </c>
      <c r="DL130" s="1">
        <v>0</v>
      </c>
      <c r="DM130" s="1">
        <v>4748.5300000000007</v>
      </c>
      <c r="DN130" s="1">
        <v>4226.8780000000006</v>
      </c>
      <c r="DO130" s="1">
        <v>4142.84</v>
      </c>
      <c r="DP130" s="1">
        <v>4251.7299999999996</v>
      </c>
      <c r="DQ130" s="1">
        <v>4748.5300000000007</v>
      </c>
      <c r="DR130" s="1">
        <v>4226.8780000000006</v>
      </c>
      <c r="DS130" s="1">
        <v>4142.84</v>
      </c>
      <c r="DT130" s="1">
        <v>4251.7299999999996</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1277.7560000000001</v>
      </c>
      <c r="EL130" s="1">
        <v>1279.0429999999999</v>
      </c>
      <c r="EM130" s="1">
        <v>1231.8499999999999</v>
      </c>
      <c r="EN130" s="1">
        <v>1314.63</v>
      </c>
      <c r="EO130" s="1">
        <v>1277.7560000000001</v>
      </c>
      <c r="EP130" s="1">
        <v>1279.0429999999999</v>
      </c>
      <c r="EQ130" s="1">
        <v>1231.8499999999999</v>
      </c>
      <c r="ER130" s="1">
        <v>1314.63</v>
      </c>
      <c r="ES130" s="1">
        <v>0</v>
      </c>
      <c r="ET130" s="1">
        <v>0</v>
      </c>
      <c r="EU130" s="1">
        <v>0</v>
      </c>
      <c r="EV130" s="1">
        <v>0</v>
      </c>
      <c r="EW130" s="1">
        <v>0</v>
      </c>
      <c r="EX130" s="1">
        <v>0</v>
      </c>
      <c r="EY130" s="1">
        <v>0</v>
      </c>
      <c r="EZ130" s="1">
        <v>0</v>
      </c>
      <c r="FA130" s="1">
        <v>0</v>
      </c>
      <c r="FB130" s="1">
        <v>0</v>
      </c>
      <c r="FC130" s="1">
        <v>0</v>
      </c>
      <c r="FD130" s="1">
        <v>0</v>
      </c>
      <c r="FE130" s="1">
        <v>729.27600000000007</v>
      </c>
      <c r="FF130" s="1">
        <v>363.92999999999989</v>
      </c>
      <c r="FG130" s="1">
        <v>614.91</v>
      </c>
      <c r="FH130" s="1">
        <v>579.20000000000005</v>
      </c>
      <c r="FI130" s="1">
        <v>729.27600000000007</v>
      </c>
      <c r="FJ130" s="1">
        <v>363.92999999999989</v>
      </c>
      <c r="FK130" s="1">
        <v>614.91</v>
      </c>
      <c r="FL130" s="1">
        <v>579.20000000000005</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127.38</v>
      </c>
      <c r="GD130" s="1">
        <v>281.3</v>
      </c>
      <c r="GE130" s="1">
        <v>147.46</v>
      </c>
      <c r="GF130" s="1">
        <v>171.2</v>
      </c>
      <c r="GG130" s="1">
        <v>127.38</v>
      </c>
      <c r="GH130" s="1">
        <v>281.3</v>
      </c>
      <c r="GI130" s="1">
        <v>147.46</v>
      </c>
      <c r="GJ130" s="1">
        <v>171.2</v>
      </c>
      <c r="GK130" s="1">
        <v>0</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5172.17</v>
      </c>
      <c r="HF130" s="1">
        <v>5618.28</v>
      </c>
      <c r="HG130" s="1">
        <v>4963.24</v>
      </c>
      <c r="HH130" s="1">
        <v>4934.99</v>
      </c>
      <c r="HI130" s="1">
        <v>5151.87</v>
      </c>
      <c r="HJ130" s="1">
        <v>5618.28</v>
      </c>
      <c r="HK130" s="1">
        <v>4963.24</v>
      </c>
      <c r="HL130" s="1">
        <v>4934.99</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623.88200000000006</v>
      </c>
      <c r="IP130" s="1">
        <v>669.52099999999996</v>
      </c>
      <c r="IQ130" s="1">
        <v>687.38</v>
      </c>
      <c r="IR130" s="1">
        <v>711.34999999999991</v>
      </c>
      <c r="IS130" s="1">
        <v>623.88200000000006</v>
      </c>
      <c r="IT130" s="1">
        <v>669.52099999999996</v>
      </c>
      <c r="IU130" s="1">
        <v>687.38</v>
      </c>
      <c r="IV130" s="1">
        <v>711.34999999999991</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0</v>
      </c>
      <c r="JO130" s="1">
        <v>0</v>
      </c>
      <c r="JP130" s="1">
        <v>0</v>
      </c>
      <c r="JQ130" s="9"/>
      <c r="JR130" s="1">
        <f t="shared" ref="JR130:JU193" si="38">27%*N130</f>
        <v>5403.1168800000032</v>
      </c>
      <c r="JS130" s="1">
        <f t="shared" si="38"/>
        <v>5026.9933799999999</v>
      </c>
      <c r="JT130" s="1">
        <f t="shared" si="38"/>
        <v>4847.9202000000032</v>
      </c>
      <c r="JU130" s="1">
        <f t="shared" si="36"/>
        <v>4717.5938999999998</v>
      </c>
      <c r="JV130" s="1">
        <f t="shared" ref="JV130:JY193" si="39">5%*N130</f>
        <v>1000.5772000000005</v>
      </c>
      <c r="JW130" s="1">
        <f t="shared" si="39"/>
        <v>930.92470000000003</v>
      </c>
      <c r="JX130" s="1">
        <f t="shared" si="39"/>
        <v>897.76300000000049</v>
      </c>
      <c r="JY130" s="1">
        <f t="shared" si="37"/>
        <v>873.62850000000003</v>
      </c>
    </row>
    <row r="131" spans="1:285" x14ac:dyDescent="0.35">
      <c r="A131" s="2" t="s">
        <v>138</v>
      </c>
      <c r="B131" s="1">
        <v>267591</v>
      </c>
      <c r="C131" s="1">
        <v>266516</v>
      </c>
      <c r="D131" s="1">
        <v>268768</v>
      </c>
      <c r="E131" s="1">
        <v>273069</v>
      </c>
      <c r="F131" s="1">
        <v>317580.34999999998</v>
      </c>
      <c r="G131" s="1">
        <v>318418.40500000003</v>
      </c>
      <c r="H131" s="1">
        <v>291146.08</v>
      </c>
      <c r="I131" s="1">
        <v>298343.48</v>
      </c>
      <c r="J131" s="1">
        <f t="shared" ref="J131:J194" si="40">R131+AP131+BU131+CS131+DM131+EK131+FE131+GC131+HE131+IO131</f>
        <v>63008.7</v>
      </c>
      <c r="K131" s="1">
        <f t="shared" ref="K131:K194" si="41">S131+AQ131+BV131+CT131+DN131+EL131+FF131+GD131+HF131+IP131</f>
        <v>66367.06</v>
      </c>
      <c r="L131" s="1">
        <f t="shared" ref="L131:L194" si="42">T131+AR131+BW131+CU131+DO131+EM131+FG131+GE131+HG131+IQ131</f>
        <v>56062.240000000013</v>
      </c>
      <c r="M131" s="1">
        <f t="shared" ref="M131:M194" si="43">U131+AS131+BX131+CV131+DP131+EN131+FH131+GF131+HH131+IR131</f>
        <v>60736.51999999999</v>
      </c>
      <c r="N131" s="1">
        <f t="shared" ref="N131:N194" si="44">F131-J131</f>
        <v>254571.64999999997</v>
      </c>
      <c r="O131" s="1">
        <f t="shared" ref="O131:O194" si="45">G131-K131</f>
        <v>252051.34500000003</v>
      </c>
      <c r="P131" s="1">
        <f t="shared" ref="P131:P194" si="46">H131-L131</f>
        <v>235083.84</v>
      </c>
      <c r="Q131" s="1">
        <f t="shared" ref="Q131:Q194" si="47">I131-M131</f>
        <v>237606.96</v>
      </c>
      <c r="R131" s="1">
        <v>0</v>
      </c>
      <c r="S131" s="1">
        <v>0</v>
      </c>
      <c r="T131" s="1">
        <v>0</v>
      </c>
      <c r="U131" s="1">
        <v>0</v>
      </c>
      <c r="V131" s="1">
        <v>0</v>
      </c>
      <c r="W131" s="1">
        <v>0</v>
      </c>
      <c r="X131" s="1">
        <v>0</v>
      </c>
      <c r="Y131" s="1">
        <v>0</v>
      </c>
      <c r="Z131" s="1">
        <v>0</v>
      </c>
      <c r="AA131" s="1">
        <v>0</v>
      </c>
      <c r="AB131" s="1">
        <v>0</v>
      </c>
      <c r="AC131" s="1">
        <v>0</v>
      </c>
      <c r="AD131" s="1">
        <v>0</v>
      </c>
      <c r="AE131" s="1">
        <v>0</v>
      </c>
      <c r="AF131" s="1">
        <v>0</v>
      </c>
      <c r="AG131" s="1">
        <v>0</v>
      </c>
      <c r="AH131" s="1">
        <v>0</v>
      </c>
      <c r="AI131" s="1">
        <v>0</v>
      </c>
      <c r="AJ131" s="1">
        <v>0</v>
      </c>
      <c r="AK131" s="1">
        <v>0</v>
      </c>
      <c r="AL131" s="1">
        <v>0</v>
      </c>
      <c r="AM131" s="1">
        <v>0</v>
      </c>
      <c r="AN131" s="1">
        <v>0</v>
      </c>
      <c r="AO131" s="1">
        <v>0</v>
      </c>
      <c r="AP131" s="1">
        <v>19521.75</v>
      </c>
      <c r="AQ131" s="1">
        <v>23061.079999999998</v>
      </c>
      <c r="AR131" s="1">
        <v>16510.86</v>
      </c>
      <c r="AS131" s="1">
        <v>18932.21</v>
      </c>
      <c r="AT131" s="1">
        <v>18505.099999999999</v>
      </c>
      <c r="AU131" s="1">
        <v>1016.6500000000001</v>
      </c>
      <c r="AV131" s="1">
        <v>0</v>
      </c>
      <c r="AW131" s="1">
        <v>0</v>
      </c>
      <c r="AX131" s="1">
        <v>18269.57</v>
      </c>
      <c r="AY131" s="1">
        <v>4791.5099999999984</v>
      </c>
      <c r="AZ131" s="1">
        <v>0</v>
      </c>
      <c r="BA131" s="1">
        <v>0</v>
      </c>
      <c r="BB131" s="1">
        <v>15387.88</v>
      </c>
      <c r="BC131" s="1">
        <v>1122.9800000000014</v>
      </c>
      <c r="BD131" s="1">
        <v>0</v>
      </c>
      <c r="BE131" s="1">
        <v>17663.05</v>
      </c>
      <c r="BF131" s="1">
        <v>1269.1599999999999</v>
      </c>
      <c r="BG131" s="1">
        <v>0</v>
      </c>
      <c r="BH131" s="1">
        <v>0</v>
      </c>
      <c r="BI131" s="1">
        <v>0</v>
      </c>
      <c r="BJ131" s="1">
        <v>0</v>
      </c>
      <c r="BK131" s="1">
        <v>0</v>
      </c>
      <c r="BL131" s="1">
        <v>0</v>
      </c>
      <c r="BM131" s="1">
        <v>0</v>
      </c>
      <c r="BN131" s="1">
        <v>0</v>
      </c>
      <c r="BO131" s="1">
        <v>0</v>
      </c>
      <c r="BP131" s="1">
        <v>0</v>
      </c>
      <c r="BQ131" s="1">
        <v>0</v>
      </c>
      <c r="BR131" s="1">
        <v>0</v>
      </c>
      <c r="BS131" s="1">
        <v>0</v>
      </c>
      <c r="BT131" s="1">
        <v>0</v>
      </c>
      <c r="BU131" s="1">
        <v>16451.669999999998</v>
      </c>
      <c r="BV131" s="1">
        <v>16990.23</v>
      </c>
      <c r="BW131" s="1">
        <v>15929.59</v>
      </c>
      <c r="BX131" s="1">
        <v>15897.1</v>
      </c>
      <c r="BY131" s="1">
        <v>16451.669999999998</v>
      </c>
      <c r="BZ131" s="1">
        <v>16990.23</v>
      </c>
      <c r="CA131" s="1">
        <v>15929.59</v>
      </c>
      <c r="CB131" s="1">
        <v>15897.1</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10944.26</v>
      </c>
      <c r="CT131" s="1">
        <v>8681.52</v>
      </c>
      <c r="CU131" s="1">
        <v>5423.39</v>
      </c>
      <c r="CV131" s="1">
        <v>4410.6299999999992</v>
      </c>
      <c r="CW131" s="1">
        <v>10944.26</v>
      </c>
      <c r="CX131" s="1">
        <v>8681.52</v>
      </c>
      <c r="CY131" s="1">
        <v>5423.39</v>
      </c>
      <c r="CZ131" s="1">
        <v>4410.6299999999992</v>
      </c>
      <c r="DA131" s="1">
        <v>0</v>
      </c>
      <c r="DB131" s="1">
        <v>0</v>
      </c>
      <c r="DC131" s="1">
        <v>0</v>
      </c>
      <c r="DD131" s="1">
        <v>0</v>
      </c>
      <c r="DE131" s="1">
        <v>0</v>
      </c>
      <c r="DF131" s="1">
        <v>0</v>
      </c>
      <c r="DG131" s="1">
        <v>0</v>
      </c>
      <c r="DH131" s="1">
        <v>0</v>
      </c>
      <c r="DI131" s="1">
        <v>0</v>
      </c>
      <c r="DJ131" s="1">
        <v>0</v>
      </c>
      <c r="DK131" s="1">
        <v>0</v>
      </c>
      <c r="DL131" s="1">
        <v>0</v>
      </c>
      <c r="DM131" s="1">
        <v>5329.62</v>
      </c>
      <c r="DN131" s="1">
        <v>5454.02</v>
      </c>
      <c r="DO131" s="1">
        <v>5539.08</v>
      </c>
      <c r="DP131" s="1">
        <v>5486.27</v>
      </c>
      <c r="DQ131" s="1">
        <v>5329.62</v>
      </c>
      <c r="DR131" s="1">
        <v>5454.02</v>
      </c>
      <c r="DS131" s="1">
        <v>5539.08</v>
      </c>
      <c r="DT131" s="1">
        <v>5486.27</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3983.06</v>
      </c>
      <c r="EL131" s="1">
        <v>4286.8099999999986</v>
      </c>
      <c r="EM131" s="1">
        <v>4239.6100000000006</v>
      </c>
      <c r="EN131" s="1">
        <v>7712.54</v>
      </c>
      <c r="EO131" s="1">
        <v>3983.06</v>
      </c>
      <c r="EP131" s="1">
        <v>4286.8099999999986</v>
      </c>
      <c r="EQ131" s="1">
        <v>4231.0300000000007</v>
      </c>
      <c r="ER131" s="1">
        <v>7712.54</v>
      </c>
      <c r="ES131" s="1">
        <v>0</v>
      </c>
      <c r="ET131" s="1">
        <v>0</v>
      </c>
      <c r="EU131" s="1">
        <v>0</v>
      </c>
      <c r="EV131" s="1">
        <v>0</v>
      </c>
      <c r="EW131" s="1">
        <v>0</v>
      </c>
      <c r="EX131" s="1">
        <v>0</v>
      </c>
      <c r="EY131" s="1">
        <v>0</v>
      </c>
      <c r="EZ131" s="1">
        <v>0</v>
      </c>
      <c r="FA131" s="1">
        <v>0</v>
      </c>
      <c r="FB131" s="1">
        <v>0</v>
      </c>
      <c r="FC131" s="1">
        <v>0</v>
      </c>
      <c r="FD131" s="1">
        <v>0</v>
      </c>
      <c r="FE131" s="1">
        <v>1585.17</v>
      </c>
      <c r="FF131" s="1">
        <v>1887.35</v>
      </c>
      <c r="FG131" s="1">
        <v>1793.48</v>
      </c>
      <c r="FH131" s="1">
        <v>1669.63</v>
      </c>
      <c r="FI131" s="1">
        <v>1585.17</v>
      </c>
      <c r="FJ131" s="1">
        <v>1887.35</v>
      </c>
      <c r="FK131" s="1">
        <v>1793.48</v>
      </c>
      <c r="FL131" s="1">
        <v>1669.63</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1728.53</v>
      </c>
      <c r="GD131" s="1">
        <v>1809.8050000000001</v>
      </c>
      <c r="GE131" s="1">
        <v>1852.19</v>
      </c>
      <c r="GF131" s="1">
        <v>1854.14</v>
      </c>
      <c r="GG131" s="1">
        <v>1700.01</v>
      </c>
      <c r="GH131" s="1">
        <v>1786.89</v>
      </c>
      <c r="GI131" s="1">
        <v>1805.58</v>
      </c>
      <c r="GJ131" s="1">
        <v>1812.3</v>
      </c>
      <c r="GK131" s="1">
        <v>28.52</v>
      </c>
      <c r="GL131" s="1">
        <v>22.914999999999999</v>
      </c>
      <c r="GM131" s="1">
        <v>46.61</v>
      </c>
      <c r="GN131" s="1">
        <v>41.84</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3435.85</v>
      </c>
      <c r="HF131" s="1">
        <v>4172.17</v>
      </c>
      <c r="HG131" s="1">
        <v>4453.8900000000003</v>
      </c>
      <c r="HH131" s="1">
        <v>4731.2400000000007</v>
      </c>
      <c r="HI131" s="1">
        <v>3435.85</v>
      </c>
      <c r="HJ131" s="1">
        <v>4172.17</v>
      </c>
      <c r="HK131" s="1">
        <v>4453.8900000000003</v>
      </c>
      <c r="HL131" s="1">
        <v>4731.2400000000007</v>
      </c>
      <c r="HM131" s="1">
        <v>0</v>
      </c>
      <c r="HN131" s="1">
        <v>0</v>
      </c>
      <c r="HO131" s="1">
        <v>0</v>
      </c>
      <c r="HP131" s="1">
        <v>0</v>
      </c>
      <c r="HQ131" s="1">
        <v>0</v>
      </c>
      <c r="HR131" s="1">
        <v>0</v>
      </c>
      <c r="HS131" s="1">
        <v>0</v>
      </c>
      <c r="HT131" s="1">
        <v>0</v>
      </c>
      <c r="HU131" s="1">
        <v>20.3</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28.79</v>
      </c>
      <c r="IP131" s="1">
        <v>24.074999999999999</v>
      </c>
      <c r="IQ131" s="1">
        <v>320.14999999999998</v>
      </c>
      <c r="IR131" s="1">
        <v>42.76</v>
      </c>
      <c r="IS131" s="1">
        <v>0.27</v>
      </c>
      <c r="IT131" s="1">
        <v>1.1599999999999999</v>
      </c>
      <c r="IU131" s="1">
        <v>273.54000000000002</v>
      </c>
      <c r="IV131" s="1">
        <v>0.92</v>
      </c>
      <c r="IW131" s="1">
        <v>28.52</v>
      </c>
      <c r="IX131" s="1">
        <v>22.914999999999999</v>
      </c>
      <c r="IY131" s="1">
        <v>46.61</v>
      </c>
      <c r="IZ131" s="1">
        <v>41.84</v>
      </c>
      <c r="JA131" s="1">
        <v>0</v>
      </c>
      <c r="JB131" s="1">
        <v>0</v>
      </c>
      <c r="JC131" s="1">
        <v>0</v>
      </c>
      <c r="JD131" s="1">
        <v>0</v>
      </c>
      <c r="JE131" s="1">
        <v>0</v>
      </c>
      <c r="JF131" s="1">
        <v>0</v>
      </c>
      <c r="JG131" s="1">
        <v>0</v>
      </c>
      <c r="JH131" s="1">
        <v>0</v>
      </c>
      <c r="JI131" s="1">
        <v>0</v>
      </c>
      <c r="JJ131" s="1">
        <v>0</v>
      </c>
      <c r="JK131" s="1">
        <v>0</v>
      </c>
      <c r="JL131" s="1">
        <v>0</v>
      </c>
      <c r="JM131" s="1">
        <v>0</v>
      </c>
      <c r="JN131" s="1">
        <v>0</v>
      </c>
      <c r="JO131" s="1">
        <v>0</v>
      </c>
      <c r="JP131" s="1">
        <v>0</v>
      </c>
      <c r="JQ131" s="9"/>
      <c r="JR131" s="1">
        <f t="shared" si="38"/>
        <v>68734.345499999996</v>
      </c>
      <c r="JS131" s="1">
        <f t="shared" si="38"/>
        <v>68053.863150000019</v>
      </c>
      <c r="JT131" s="1">
        <f t="shared" si="38"/>
        <v>63472.6368</v>
      </c>
      <c r="JU131" s="1">
        <f t="shared" si="36"/>
        <v>64153.879200000003</v>
      </c>
      <c r="JV131" s="1">
        <f t="shared" si="39"/>
        <v>12728.582499999999</v>
      </c>
      <c r="JW131" s="1">
        <f t="shared" si="39"/>
        <v>12602.567250000002</v>
      </c>
      <c r="JX131" s="1">
        <f t="shared" si="39"/>
        <v>11754.192000000001</v>
      </c>
      <c r="JY131" s="1">
        <f t="shared" si="37"/>
        <v>11880.348</v>
      </c>
    </row>
    <row r="132" spans="1:285" x14ac:dyDescent="0.35">
      <c r="A132" s="2" t="s">
        <v>139</v>
      </c>
      <c r="B132" s="1">
        <v>169770</v>
      </c>
      <c r="C132" s="1">
        <v>167992</v>
      </c>
      <c r="D132" s="1">
        <v>169076</v>
      </c>
      <c r="E132" s="1">
        <v>170780</v>
      </c>
      <c r="F132" s="1">
        <v>153253.85500000001</v>
      </c>
      <c r="G132" s="1">
        <v>152941.07800000001</v>
      </c>
      <c r="H132" s="1">
        <v>140272.19099999999</v>
      </c>
      <c r="I132" s="1">
        <v>140976.106</v>
      </c>
      <c r="J132" s="1">
        <f t="shared" si="40"/>
        <v>47684.685000000005</v>
      </c>
      <c r="K132" s="1">
        <f t="shared" si="41"/>
        <v>44476.548000000003</v>
      </c>
      <c r="L132" s="1">
        <f t="shared" si="42"/>
        <v>40325.315999999999</v>
      </c>
      <c r="M132" s="1">
        <f t="shared" si="43"/>
        <v>37170.292999999998</v>
      </c>
      <c r="N132" s="1">
        <f t="shared" si="44"/>
        <v>105569.17000000001</v>
      </c>
      <c r="O132" s="1">
        <f t="shared" si="45"/>
        <v>108464.53</v>
      </c>
      <c r="P132" s="1">
        <f t="shared" si="46"/>
        <v>99946.875</v>
      </c>
      <c r="Q132" s="1">
        <f t="shared" si="47"/>
        <v>103805.81299999999</v>
      </c>
      <c r="R132" s="1">
        <v>5641.8</v>
      </c>
      <c r="S132" s="1">
        <v>5629.46</v>
      </c>
      <c r="T132" s="1">
        <v>4878.37</v>
      </c>
      <c r="U132" s="1">
        <v>4428.43</v>
      </c>
      <c r="V132" s="1">
        <v>0</v>
      </c>
      <c r="W132" s="1">
        <v>0</v>
      </c>
      <c r="X132" s="1">
        <v>5641.7999999999993</v>
      </c>
      <c r="Y132" s="1">
        <v>0</v>
      </c>
      <c r="Z132" s="1">
        <v>0</v>
      </c>
      <c r="AA132" s="1">
        <v>5629.46</v>
      </c>
      <c r="AB132" s="1">
        <v>0</v>
      </c>
      <c r="AC132" s="1">
        <v>0</v>
      </c>
      <c r="AD132" s="1">
        <v>4878.37</v>
      </c>
      <c r="AE132" s="1">
        <v>0</v>
      </c>
      <c r="AF132" s="1">
        <v>0</v>
      </c>
      <c r="AG132" s="1">
        <v>4428.43</v>
      </c>
      <c r="AH132" s="1">
        <v>0</v>
      </c>
      <c r="AI132" s="1">
        <v>0</v>
      </c>
      <c r="AJ132" s="1">
        <v>0</v>
      </c>
      <c r="AK132" s="1">
        <v>0</v>
      </c>
      <c r="AL132" s="1">
        <v>0</v>
      </c>
      <c r="AM132" s="1">
        <v>0</v>
      </c>
      <c r="AN132" s="1">
        <v>0</v>
      </c>
      <c r="AO132" s="1">
        <v>0</v>
      </c>
      <c r="AP132" s="1">
        <v>6387.4000000000005</v>
      </c>
      <c r="AQ132" s="1">
        <v>6394.65</v>
      </c>
      <c r="AR132" s="1">
        <v>5651.2899999999991</v>
      </c>
      <c r="AS132" s="1">
        <v>6241.08</v>
      </c>
      <c r="AT132" s="1">
        <v>18505.099999999999</v>
      </c>
      <c r="AU132" s="1">
        <v>1016.6500000000001</v>
      </c>
      <c r="AV132" s="1">
        <v>0</v>
      </c>
      <c r="AW132" s="1">
        <v>0</v>
      </c>
      <c r="AX132" s="1">
        <v>0</v>
      </c>
      <c r="AY132" s="1">
        <v>6394.65</v>
      </c>
      <c r="AZ132" s="1">
        <v>0</v>
      </c>
      <c r="BA132" s="1">
        <v>0</v>
      </c>
      <c r="BB132" s="1">
        <v>0</v>
      </c>
      <c r="BC132" s="1">
        <v>5651.2899999999991</v>
      </c>
      <c r="BD132" s="1">
        <v>0</v>
      </c>
      <c r="BE132" s="1">
        <v>0</v>
      </c>
      <c r="BF132" s="1">
        <v>6241.08</v>
      </c>
      <c r="BG132" s="1">
        <v>0</v>
      </c>
      <c r="BH132" s="1">
        <v>0</v>
      </c>
      <c r="BI132" s="1">
        <v>0</v>
      </c>
      <c r="BJ132" s="1">
        <v>0</v>
      </c>
      <c r="BK132" s="1">
        <v>0</v>
      </c>
      <c r="BL132" s="1">
        <v>0</v>
      </c>
      <c r="BM132" s="1">
        <v>0</v>
      </c>
      <c r="BN132" s="1">
        <v>0</v>
      </c>
      <c r="BO132" s="1">
        <v>0</v>
      </c>
      <c r="BP132" s="1">
        <v>0</v>
      </c>
      <c r="BQ132" s="1">
        <v>0</v>
      </c>
      <c r="BR132" s="1">
        <v>0</v>
      </c>
      <c r="BS132" s="1">
        <v>0</v>
      </c>
      <c r="BT132" s="1">
        <v>0</v>
      </c>
      <c r="BU132" s="1">
        <v>15839.394</v>
      </c>
      <c r="BV132" s="1">
        <v>12357.978999999999</v>
      </c>
      <c r="BW132" s="1">
        <v>12590.526</v>
      </c>
      <c r="BX132" s="1">
        <v>11721.049000000001</v>
      </c>
      <c r="BY132" s="1">
        <v>15811.806</v>
      </c>
      <c r="BZ132" s="1">
        <v>12309.579</v>
      </c>
      <c r="CA132" s="1">
        <v>12497.755999999999</v>
      </c>
      <c r="CB132" s="1">
        <v>11645.589</v>
      </c>
      <c r="CC132" s="1">
        <v>27.588000000000001</v>
      </c>
      <c r="CD132" s="1">
        <v>48.4</v>
      </c>
      <c r="CE132" s="1">
        <v>92.77</v>
      </c>
      <c r="CF132" s="1">
        <v>75.460000000000008</v>
      </c>
      <c r="CG132" s="1">
        <v>0</v>
      </c>
      <c r="CH132" s="1">
        <v>0</v>
      </c>
      <c r="CI132" s="1">
        <v>0</v>
      </c>
      <c r="CJ132" s="1">
        <v>0</v>
      </c>
      <c r="CK132" s="1">
        <v>0</v>
      </c>
      <c r="CL132" s="1">
        <v>0</v>
      </c>
      <c r="CM132" s="1">
        <v>0</v>
      </c>
      <c r="CN132" s="1">
        <v>0</v>
      </c>
      <c r="CO132" s="1">
        <v>0</v>
      </c>
      <c r="CP132" s="1">
        <v>0</v>
      </c>
      <c r="CQ132" s="1">
        <v>0</v>
      </c>
      <c r="CR132" s="1">
        <v>0</v>
      </c>
      <c r="CS132" s="1">
        <v>1708.288</v>
      </c>
      <c r="CT132" s="1">
        <v>1772.9010000000001</v>
      </c>
      <c r="CU132" s="1">
        <v>2330.1129999999998</v>
      </c>
      <c r="CV132" s="1">
        <v>1773.691</v>
      </c>
      <c r="CW132" s="1">
        <v>1708.288</v>
      </c>
      <c r="CX132" s="1">
        <v>1772.9010000000001</v>
      </c>
      <c r="CY132" s="1">
        <v>2330.1129999999998</v>
      </c>
      <c r="CZ132" s="1">
        <v>1773.691</v>
      </c>
      <c r="DA132" s="1">
        <v>0</v>
      </c>
      <c r="DB132" s="1">
        <v>0</v>
      </c>
      <c r="DC132" s="1">
        <v>0</v>
      </c>
      <c r="DD132" s="1">
        <v>0</v>
      </c>
      <c r="DE132" s="1">
        <v>0</v>
      </c>
      <c r="DF132" s="1">
        <v>0</v>
      </c>
      <c r="DG132" s="1">
        <v>0</v>
      </c>
      <c r="DH132" s="1">
        <v>0</v>
      </c>
      <c r="DI132" s="1">
        <v>0</v>
      </c>
      <c r="DJ132" s="1">
        <v>0</v>
      </c>
      <c r="DK132" s="1">
        <v>0</v>
      </c>
      <c r="DL132" s="1">
        <v>0</v>
      </c>
      <c r="DM132" s="1">
        <v>5667.4180000000006</v>
      </c>
      <c r="DN132" s="1">
        <v>5621.5209999999997</v>
      </c>
      <c r="DO132" s="1">
        <v>4227.5429999999997</v>
      </c>
      <c r="DP132" s="1">
        <v>3922.7629999999999</v>
      </c>
      <c r="DQ132" s="1">
        <v>5667.4180000000006</v>
      </c>
      <c r="DR132" s="1">
        <v>5621.5209999999997</v>
      </c>
      <c r="DS132" s="1">
        <v>4227.5429999999997</v>
      </c>
      <c r="DT132" s="1">
        <v>3922.7629999999999</v>
      </c>
      <c r="DU132" s="1">
        <v>0</v>
      </c>
      <c r="DV132" s="1">
        <v>0</v>
      </c>
      <c r="DW132" s="1">
        <v>0</v>
      </c>
      <c r="DX132" s="1">
        <v>0</v>
      </c>
      <c r="DY132" s="1">
        <v>0</v>
      </c>
      <c r="DZ132" s="1">
        <v>0</v>
      </c>
      <c r="EA132" s="1">
        <v>0</v>
      </c>
      <c r="EB132" s="1">
        <v>0</v>
      </c>
      <c r="EC132" s="1">
        <v>0</v>
      </c>
      <c r="ED132" s="1">
        <v>0</v>
      </c>
      <c r="EE132" s="1">
        <v>0</v>
      </c>
      <c r="EF132" s="1">
        <v>0</v>
      </c>
      <c r="EG132" s="1">
        <v>0</v>
      </c>
      <c r="EH132" s="1">
        <v>0</v>
      </c>
      <c r="EI132" s="1">
        <v>0</v>
      </c>
      <c r="EJ132" s="1">
        <v>0</v>
      </c>
      <c r="EK132" s="1">
        <v>9733.5949999999993</v>
      </c>
      <c r="EL132" s="1">
        <v>9063.93</v>
      </c>
      <c r="EM132" s="1">
        <v>8476.0329999999994</v>
      </c>
      <c r="EN132" s="1">
        <v>6218.5039999999999</v>
      </c>
      <c r="EO132" s="1">
        <v>9733.5949999999993</v>
      </c>
      <c r="EP132" s="1">
        <v>9063.93</v>
      </c>
      <c r="EQ132" s="1">
        <v>8476.0329999999994</v>
      </c>
      <c r="ER132" s="1">
        <v>6218.5039999999999</v>
      </c>
      <c r="ES132" s="1">
        <v>0</v>
      </c>
      <c r="ET132" s="1">
        <v>0</v>
      </c>
      <c r="EU132" s="1">
        <v>0</v>
      </c>
      <c r="EV132" s="1">
        <v>0</v>
      </c>
      <c r="EW132" s="1">
        <v>0</v>
      </c>
      <c r="EX132" s="1">
        <v>0</v>
      </c>
      <c r="EY132" s="1">
        <v>0</v>
      </c>
      <c r="EZ132" s="1">
        <v>0</v>
      </c>
      <c r="FA132" s="1">
        <v>0</v>
      </c>
      <c r="FB132" s="1">
        <v>0</v>
      </c>
      <c r="FC132" s="1">
        <v>0</v>
      </c>
      <c r="FD132" s="1">
        <v>0</v>
      </c>
      <c r="FE132" s="1">
        <v>362.66500000000002</v>
      </c>
      <c r="FF132" s="1">
        <v>769.84400000000005</v>
      </c>
      <c r="FG132" s="1">
        <v>202.32499999999999</v>
      </c>
      <c r="FH132" s="1">
        <v>159.74799999999999</v>
      </c>
      <c r="FI132" s="1"/>
      <c r="FJ132" s="1"/>
      <c r="FK132" s="1"/>
      <c r="FL132" s="1"/>
      <c r="FM132" s="1">
        <v>362.38499999999999</v>
      </c>
      <c r="FN132" s="1">
        <v>764.53099999999995</v>
      </c>
      <c r="FO132" s="1">
        <v>193.23500000000001</v>
      </c>
      <c r="FP132" s="1">
        <v>149.47300000000001</v>
      </c>
      <c r="FQ132" s="1">
        <v>0</v>
      </c>
      <c r="FR132" s="1">
        <v>0</v>
      </c>
      <c r="FS132" s="1">
        <v>0</v>
      </c>
      <c r="FT132" s="1">
        <v>0</v>
      </c>
      <c r="FU132" s="1">
        <v>0</v>
      </c>
      <c r="FV132" s="1">
        <v>0</v>
      </c>
      <c r="FW132" s="1">
        <v>0</v>
      </c>
      <c r="FX132" s="1">
        <v>0</v>
      </c>
      <c r="FY132" s="1">
        <v>0</v>
      </c>
      <c r="FZ132" s="1">
        <v>0</v>
      </c>
      <c r="GA132" s="1">
        <v>0</v>
      </c>
      <c r="GB132" s="1">
        <v>0</v>
      </c>
      <c r="GC132" s="1">
        <v>695.22500000000002</v>
      </c>
      <c r="GD132" s="1">
        <v>1094.45</v>
      </c>
      <c r="GE132" s="1">
        <v>391.50699999999989</v>
      </c>
      <c r="GF132" s="1">
        <v>409.62799999999999</v>
      </c>
      <c r="GG132" s="1">
        <v>416.34</v>
      </c>
      <c r="GH132" s="1">
        <v>467.78800000000001</v>
      </c>
      <c r="GI132" s="1">
        <v>390.93400000000003</v>
      </c>
      <c r="GJ132" s="1">
        <v>405.86200000000002</v>
      </c>
      <c r="GK132" s="1">
        <v>278.88499999999999</v>
      </c>
      <c r="GL132" s="1">
        <v>626.66200000000003</v>
      </c>
      <c r="GM132" s="1">
        <v>0.57299999999999995</v>
      </c>
      <c r="GN132" s="1">
        <v>3.766</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1574.25</v>
      </c>
      <c r="HF132" s="1">
        <v>1676.66</v>
      </c>
      <c r="HG132" s="1">
        <v>1488.33</v>
      </c>
      <c r="HH132" s="1">
        <v>1655.33</v>
      </c>
      <c r="HI132" s="1">
        <v>1574.25</v>
      </c>
      <c r="HJ132" s="1">
        <v>1676.66</v>
      </c>
      <c r="HK132" s="1">
        <v>1488.33</v>
      </c>
      <c r="HL132" s="1">
        <v>1655.33</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74.650000000000006</v>
      </c>
      <c r="IP132" s="1">
        <v>95.152999999999992</v>
      </c>
      <c r="IQ132" s="1">
        <v>89.278999999999996</v>
      </c>
      <c r="IR132" s="1">
        <v>640.07000000000016</v>
      </c>
      <c r="IS132" s="1">
        <v>0</v>
      </c>
      <c r="IT132" s="1">
        <v>0</v>
      </c>
      <c r="IU132" s="1">
        <v>0</v>
      </c>
      <c r="IV132" s="1">
        <v>572.61599999999999</v>
      </c>
      <c r="IW132" s="1">
        <v>74.650000000000006</v>
      </c>
      <c r="IX132" s="1">
        <v>95.152999999999992</v>
      </c>
      <c r="IY132" s="1">
        <v>89.278999999999996</v>
      </c>
      <c r="IZ132" s="1">
        <v>67.453999999999994</v>
      </c>
      <c r="JA132" s="1">
        <v>0</v>
      </c>
      <c r="JB132" s="1">
        <v>0</v>
      </c>
      <c r="JC132" s="1">
        <v>0</v>
      </c>
      <c r="JD132" s="1">
        <v>0</v>
      </c>
      <c r="JE132" s="1">
        <v>0</v>
      </c>
      <c r="JF132" s="1">
        <v>0</v>
      </c>
      <c r="JG132" s="1">
        <v>0</v>
      </c>
      <c r="JH132" s="1">
        <v>0</v>
      </c>
      <c r="JI132" s="1">
        <v>0</v>
      </c>
      <c r="JJ132" s="1">
        <v>0</v>
      </c>
      <c r="JK132" s="1">
        <v>0</v>
      </c>
      <c r="JL132" s="1">
        <v>0</v>
      </c>
      <c r="JM132" s="1">
        <v>0</v>
      </c>
      <c r="JN132" s="1">
        <v>0</v>
      </c>
      <c r="JO132" s="1">
        <v>0</v>
      </c>
      <c r="JP132" s="1">
        <v>0</v>
      </c>
      <c r="JQ132" s="9"/>
      <c r="JR132" s="1">
        <f t="shared" si="38"/>
        <v>28503.675900000006</v>
      </c>
      <c r="JS132" s="1">
        <f t="shared" si="38"/>
        <v>29285.4231</v>
      </c>
      <c r="JT132" s="1">
        <f t="shared" si="38"/>
        <v>26985.65625</v>
      </c>
      <c r="JU132" s="1">
        <f t="shared" si="36"/>
        <v>28027.569510000001</v>
      </c>
      <c r="JV132" s="1">
        <f t="shared" si="39"/>
        <v>5278.4585000000006</v>
      </c>
      <c r="JW132" s="1">
        <f t="shared" si="39"/>
        <v>5423.2265000000007</v>
      </c>
      <c r="JX132" s="1">
        <f t="shared" si="39"/>
        <v>4997.34375</v>
      </c>
      <c r="JY132" s="1">
        <f t="shared" si="37"/>
        <v>5190.2906499999999</v>
      </c>
    </row>
    <row r="133" spans="1:285" x14ac:dyDescent="0.35">
      <c r="A133" s="2" t="s">
        <v>140</v>
      </c>
      <c r="B133" s="1">
        <v>432878</v>
      </c>
      <c r="C133" s="1">
        <v>433458</v>
      </c>
      <c r="D133" s="1">
        <v>438486</v>
      </c>
      <c r="E133" s="1">
        <v>443745</v>
      </c>
      <c r="F133" s="1">
        <v>365853.924</v>
      </c>
      <c r="G133" s="1">
        <v>359011.69099999999</v>
      </c>
      <c r="H133" s="1">
        <v>341415.61099999998</v>
      </c>
      <c r="I133" s="1">
        <v>337426.50599999999</v>
      </c>
      <c r="J133" s="1">
        <f t="shared" si="40"/>
        <v>62226.607000000004</v>
      </c>
      <c r="K133" s="1">
        <f t="shared" si="41"/>
        <v>60601.298000000003</v>
      </c>
      <c r="L133" s="1">
        <f t="shared" si="42"/>
        <v>54712.156000000003</v>
      </c>
      <c r="M133" s="1">
        <f t="shared" si="43"/>
        <v>45239.82</v>
      </c>
      <c r="N133" s="1">
        <f t="shared" si="44"/>
        <v>303627.31699999998</v>
      </c>
      <c r="O133" s="1">
        <f t="shared" si="45"/>
        <v>298410.39299999998</v>
      </c>
      <c r="P133" s="1">
        <f t="shared" si="46"/>
        <v>286703.45499999996</v>
      </c>
      <c r="Q133" s="1">
        <f t="shared" si="47"/>
        <v>292186.68599999999</v>
      </c>
      <c r="R133" s="1">
        <v>0</v>
      </c>
      <c r="S133" s="1">
        <v>0</v>
      </c>
      <c r="T133" s="1">
        <v>0</v>
      </c>
      <c r="U133" s="1">
        <v>0</v>
      </c>
      <c r="V133" s="1">
        <v>0</v>
      </c>
      <c r="W133" s="1">
        <v>0</v>
      </c>
      <c r="X133" s="1">
        <v>0</v>
      </c>
      <c r="Y133" s="1">
        <v>0</v>
      </c>
      <c r="Z133" s="1">
        <v>0</v>
      </c>
      <c r="AA133" s="1">
        <v>0</v>
      </c>
      <c r="AB133" s="1">
        <v>0</v>
      </c>
      <c r="AC133" s="1">
        <v>0</v>
      </c>
      <c r="AD133" s="1">
        <v>0</v>
      </c>
      <c r="AE133" s="1">
        <v>0</v>
      </c>
      <c r="AF133" s="1">
        <v>0</v>
      </c>
      <c r="AG133" s="1">
        <v>0</v>
      </c>
      <c r="AH133" s="1">
        <v>0</v>
      </c>
      <c r="AI133" s="1">
        <v>0</v>
      </c>
      <c r="AJ133" s="1">
        <v>0</v>
      </c>
      <c r="AK133" s="1">
        <v>0</v>
      </c>
      <c r="AL133" s="1">
        <v>0</v>
      </c>
      <c r="AM133" s="1">
        <v>0</v>
      </c>
      <c r="AN133" s="1">
        <v>0</v>
      </c>
      <c r="AO133" s="1">
        <v>0</v>
      </c>
      <c r="AP133" s="1">
        <v>12561.86</v>
      </c>
      <c r="AQ133" s="1">
        <v>13877.666999999999</v>
      </c>
      <c r="AR133" s="1">
        <v>13259.18</v>
      </c>
      <c r="AS133" s="1">
        <v>14063.36</v>
      </c>
      <c r="AT133" s="1">
        <v>0</v>
      </c>
      <c r="AU133" s="1">
        <v>12561.86</v>
      </c>
      <c r="AV133" s="1">
        <v>0</v>
      </c>
      <c r="AW133" s="1">
        <v>0</v>
      </c>
      <c r="AX133" s="1">
        <v>0</v>
      </c>
      <c r="AY133" s="1">
        <v>13877.666999999999</v>
      </c>
      <c r="AZ133" s="1">
        <v>0</v>
      </c>
      <c r="BA133" s="1">
        <v>0</v>
      </c>
      <c r="BB133" s="1">
        <v>0</v>
      </c>
      <c r="BC133" s="1">
        <v>13259.18</v>
      </c>
      <c r="BD133" s="1">
        <v>0</v>
      </c>
      <c r="BE133" s="1">
        <v>0</v>
      </c>
      <c r="BF133" s="1">
        <v>14063.36</v>
      </c>
      <c r="BG133" s="1">
        <v>0</v>
      </c>
      <c r="BH133" s="1">
        <v>0</v>
      </c>
      <c r="BI133" s="1">
        <v>0</v>
      </c>
      <c r="BJ133" s="1">
        <v>0</v>
      </c>
      <c r="BK133" s="1">
        <v>0</v>
      </c>
      <c r="BL133" s="1">
        <v>0</v>
      </c>
      <c r="BM133" s="1">
        <v>0</v>
      </c>
      <c r="BN133" s="1">
        <v>0</v>
      </c>
      <c r="BO133" s="1">
        <v>0</v>
      </c>
      <c r="BP133" s="1">
        <v>0</v>
      </c>
      <c r="BQ133" s="1">
        <v>0</v>
      </c>
      <c r="BR133" s="1">
        <v>0</v>
      </c>
      <c r="BS133" s="1">
        <v>0</v>
      </c>
      <c r="BT133" s="1">
        <v>0</v>
      </c>
      <c r="BU133" s="1">
        <v>15316.949000000001</v>
      </c>
      <c r="BV133" s="1">
        <v>13376.312</v>
      </c>
      <c r="BW133" s="1">
        <v>11946.888000000001</v>
      </c>
      <c r="BX133" s="1">
        <v>11780.812</v>
      </c>
      <c r="BY133" s="1">
        <v>15293.126</v>
      </c>
      <c r="BZ133" s="1">
        <v>13339.812</v>
      </c>
      <c r="CA133" s="1">
        <v>11499.905000000001</v>
      </c>
      <c r="CB133" s="1">
        <v>11631.822</v>
      </c>
      <c r="CC133" s="1">
        <v>23.823</v>
      </c>
      <c r="CD133" s="1">
        <v>36.5</v>
      </c>
      <c r="CE133" s="1">
        <v>446.98299999999989</v>
      </c>
      <c r="CF133" s="1">
        <v>148.99</v>
      </c>
      <c r="CG133" s="1">
        <v>0</v>
      </c>
      <c r="CH133" s="1">
        <v>0</v>
      </c>
      <c r="CI133" s="1">
        <v>0</v>
      </c>
      <c r="CJ133" s="1">
        <v>0</v>
      </c>
      <c r="CK133" s="1">
        <v>0</v>
      </c>
      <c r="CL133" s="1">
        <v>0</v>
      </c>
      <c r="CM133" s="1">
        <v>0</v>
      </c>
      <c r="CN133" s="1">
        <v>0</v>
      </c>
      <c r="CO133" s="1">
        <v>0</v>
      </c>
      <c r="CP133" s="1">
        <v>0</v>
      </c>
      <c r="CQ133" s="1">
        <v>0</v>
      </c>
      <c r="CR133" s="1">
        <v>0</v>
      </c>
      <c r="CS133" s="1">
        <v>1763.1079999999999</v>
      </c>
      <c r="CT133" s="1">
        <v>963.50099999999998</v>
      </c>
      <c r="CU133" s="1">
        <v>1162.7629999999999</v>
      </c>
      <c r="CV133" s="1">
        <v>794.40199999999993</v>
      </c>
      <c r="CW133" s="1">
        <v>1763.1079999999999</v>
      </c>
      <c r="CX133" s="1">
        <v>963.50099999999998</v>
      </c>
      <c r="CY133" s="1">
        <v>812.06000000000006</v>
      </c>
      <c r="CZ133" s="1">
        <v>706.98199999999997</v>
      </c>
      <c r="DA133" s="1">
        <v>0</v>
      </c>
      <c r="DB133" s="1">
        <v>0</v>
      </c>
      <c r="DC133" s="1">
        <v>350.70299999999997</v>
      </c>
      <c r="DD133" s="1">
        <v>87.42</v>
      </c>
      <c r="DE133" s="1">
        <v>0</v>
      </c>
      <c r="DF133" s="1">
        <v>0</v>
      </c>
      <c r="DG133" s="1">
        <v>0</v>
      </c>
      <c r="DH133" s="1">
        <v>0</v>
      </c>
      <c r="DI133" s="1">
        <v>0</v>
      </c>
      <c r="DJ133" s="1">
        <v>0</v>
      </c>
      <c r="DK133" s="1">
        <v>0</v>
      </c>
      <c r="DL133" s="1">
        <v>0</v>
      </c>
      <c r="DM133" s="1">
        <v>19787.34</v>
      </c>
      <c r="DN133" s="1">
        <v>18833.13</v>
      </c>
      <c r="DO133" s="1">
        <v>16848.900000000001</v>
      </c>
      <c r="DP133" s="1">
        <v>10518.77</v>
      </c>
      <c r="DQ133" s="1">
        <v>19787.34</v>
      </c>
      <c r="DR133" s="1">
        <v>18833.13</v>
      </c>
      <c r="DS133" s="1">
        <v>16848.900000000001</v>
      </c>
      <c r="DT133" s="1">
        <v>10518.77</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5301.7640000000001</v>
      </c>
      <c r="EL133" s="1">
        <v>5689.0950000000003</v>
      </c>
      <c r="EM133" s="1">
        <v>4558.2020000000002</v>
      </c>
      <c r="EN133" s="1">
        <v>5086.33</v>
      </c>
      <c r="EO133" s="1">
        <v>5281.1010000000006</v>
      </c>
      <c r="EP133" s="1">
        <v>5650.9189999999999</v>
      </c>
      <c r="EQ133" s="1">
        <v>4524.8140000000003</v>
      </c>
      <c r="ER133" s="1">
        <v>5016.8919999999998</v>
      </c>
      <c r="ES133" s="1">
        <v>20.663</v>
      </c>
      <c r="ET133" s="1">
        <v>38.176000000000002</v>
      </c>
      <c r="EU133" s="1">
        <v>33.388000000000012</v>
      </c>
      <c r="EV133" s="1">
        <v>69.438000000000002</v>
      </c>
      <c r="EW133" s="1">
        <v>0</v>
      </c>
      <c r="EX133" s="1">
        <v>0</v>
      </c>
      <c r="EY133" s="1">
        <v>0</v>
      </c>
      <c r="EZ133" s="1">
        <v>0</v>
      </c>
      <c r="FA133" s="1">
        <v>0</v>
      </c>
      <c r="FB133" s="1">
        <v>0</v>
      </c>
      <c r="FC133" s="1">
        <v>0</v>
      </c>
      <c r="FD133" s="1">
        <v>0</v>
      </c>
      <c r="FE133" s="1">
        <v>148.828</v>
      </c>
      <c r="FF133" s="1">
        <v>312.892</v>
      </c>
      <c r="FG133" s="1">
        <v>1240.9259999999999</v>
      </c>
      <c r="FH133" s="1">
        <v>589.71</v>
      </c>
      <c r="FI133" s="1">
        <v>74.412999999999997</v>
      </c>
      <c r="FJ133" s="1">
        <v>156.476</v>
      </c>
      <c r="FK133" s="1">
        <v>269.76</v>
      </c>
      <c r="FL133" s="1">
        <v>187.84</v>
      </c>
      <c r="FM133" s="1">
        <v>74.414999999999992</v>
      </c>
      <c r="FN133" s="1">
        <v>156.416</v>
      </c>
      <c r="FO133" s="1">
        <v>971.16599999999994</v>
      </c>
      <c r="FP133" s="1">
        <v>401.87</v>
      </c>
      <c r="FQ133" s="1">
        <v>0</v>
      </c>
      <c r="FR133" s="1">
        <v>0</v>
      </c>
      <c r="FS133" s="1">
        <v>0</v>
      </c>
      <c r="FT133" s="1">
        <v>0</v>
      </c>
      <c r="FU133" s="1">
        <v>0</v>
      </c>
      <c r="FV133" s="1">
        <v>0</v>
      </c>
      <c r="FW133" s="1">
        <v>0</v>
      </c>
      <c r="FX133" s="1">
        <v>0</v>
      </c>
      <c r="FY133" s="1">
        <v>0</v>
      </c>
      <c r="FZ133" s="1">
        <v>0</v>
      </c>
      <c r="GA133" s="1">
        <v>0</v>
      </c>
      <c r="GB133" s="1">
        <v>0</v>
      </c>
      <c r="GC133" s="1">
        <v>3802.9380000000001</v>
      </c>
      <c r="GD133" s="1">
        <v>3726.1709999999998</v>
      </c>
      <c r="GE133" s="1">
        <v>2518.6770000000001</v>
      </c>
      <c r="GF133" s="1">
        <v>2295.7649999999999</v>
      </c>
      <c r="GG133" s="1">
        <v>3802.9380000000001</v>
      </c>
      <c r="GH133" s="1">
        <v>3726.1709999999998</v>
      </c>
      <c r="GI133" s="1">
        <v>2167.9740000000002</v>
      </c>
      <c r="GJ133" s="1">
        <v>2208.3449999999998</v>
      </c>
      <c r="GK133" s="1">
        <v>0</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0</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3543.82</v>
      </c>
      <c r="IP133" s="1">
        <v>3822.53</v>
      </c>
      <c r="IQ133" s="1">
        <v>3176.62</v>
      </c>
      <c r="IR133" s="1">
        <v>110.67100000000001</v>
      </c>
      <c r="IS133" s="1">
        <v>3543.82</v>
      </c>
      <c r="IT133" s="1">
        <v>3822.53</v>
      </c>
      <c r="IU133" s="1">
        <v>2825.9169999999999</v>
      </c>
      <c r="IV133" s="1">
        <v>23.251000000000001</v>
      </c>
      <c r="IW133" s="1">
        <v>0</v>
      </c>
      <c r="IX133" s="1">
        <v>0</v>
      </c>
      <c r="IY133" s="1">
        <v>350.70299999999997</v>
      </c>
      <c r="IZ133" s="1">
        <v>87.42</v>
      </c>
      <c r="JA133" s="1">
        <v>0</v>
      </c>
      <c r="JB133" s="1">
        <v>0</v>
      </c>
      <c r="JC133" s="1">
        <v>0</v>
      </c>
      <c r="JD133" s="1">
        <v>0</v>
      </c>
      <c r="JE133" s="1">
        <v>0</v>
      </c>
      <c r="JF133" s="1">
        <v>0</v>
      </c>
      <c r="JG133" s="1">
        <v>0</v>
      </c>
      <c r="JH133" s="1">
        <v>0</v>
      </c>
      <c r="JI133" s="1">
        <v>0</v>
      </c>
      <c r="JJ133" s="1">
        <v>0</v>
      </c>
      <c r="JK133" s="1">
        <v>0</v>
      </c>
      <c r="JL133" s="1">
        <v>0</v>
      </c>
      <c r="JM133" s="1">
        <v>0</v>
      </c>
      <c r="JN133" s="1">
        <v>0</v>
      </c>
      <c r="JO133" s="1">
        <v>0</v>
      </c>
      <c r="JP133" s="1">
        <v>0</v>
      </c>
      <c r="JQ133" s="9"/>
      <c r="JR133" s="1">
        <f t="shared" si="38"/>
        <v>81979.375589999996</v>
      </c>
      <c r="JS133" s="1">
        <f t="shared" si="38"/>
        <v>80570.806110000005</v>
      </c>
      <c r="JT133" s="1">
        <f t="shared" si="38"/>
        <v>77409.932849999997</v>
      </c>
      <c r="JU133" s="1">
        <f t="shared" si="36"/>
        <v>78890.405220000001</v>
      </c>
      <c r="JV133" s="1">
        <f t="shared" si="39"/>
        <v>15181.36585</v>
      </c>
      <c r="JW133" s="1">
        <f t="shared" si="39"/>
        <v>14920.51965</v>
      </c>
      <c r="JX133" s="1">
        <f t="shared" si="39"/>
        <v>14335.172749999998</v>
      </c>
      <c r="JY133" s="1">
        <f t="shared" si="37"/>
        <v>14609.3343</v>
      </c>
    </row>
    <row r="134" spans="1:285" x14ac:dyDescent="0.35">
      <c r="A134" s="2" t="s">
        <v>141</v>
      </c>
      <c r="B134" s="1">
        <v>153408</v>
      </c>
      <c r="C134" s="1">
        <v>154978</v>
      </c>
      <c r="D134" s="1">
        <v>157227</v>
      </c>
      <c r="E134" s="1">
        <v>159672</v>
      </c>
      <c r="F134" s="1">
        <v>46924.97</v>
      </c>
      <c r="G134" s="1">
        <v>48148.14</v>
      </c>
      <c r="H134" s="1">
        <v>45123.540000000008</v>
      </c>
      <c r="I134" s="1">
        <v>48864.74</v>
      </c>
      <c r="J134" s="1">
        <f t="shared" si="40"/>
        <v>23348.58</v>
      </c>
      <c r="K134" s="1">
        <f t="shared" si="41"/>
        <v>21615.26</v>
      </c>
      <c r="L134" s="1">
        <f t="shared" si="42"/>
        <v>18312.799999999996</v>
      </c>
      <c r="M134" s="1">
        <f t="shared" si="43"/>
        <v>16949.589999999997</v>
      </c>
      <c r="N134" s="1">
        <f t="shared" si="44"/>
        <v>23576.39</v>
      </c>
      <c r="O134" s="1">
        <f t="shared" si="45"/>
        <v>26532.880000000001</v>
      </c>
      <c r="P134" s="1">
        <f t="shared" si="46"/>
        <v>26810.740000000013</v>
      </c>
      <c r="Q134" s="1">
        <f t="shared" si="47"/>
        <v>31915.15</v>
      </c>
      <c r="R134" s="1">
        <v>0</v>
      </c>
      <c r="S134" s="1">
        <v>0</v>
      </c>
      <c r="T134" s="1">
        <v>0</v>
      </c>
      <c r="U134" s="1">
        <v>0</v>
      </c>
      <c r="V134" s="1">
        <v>0</v>
      </c>
      <c r="W134" s="1">
        <v>0</v>
      </c>
      <c r="X134" s="1">
        <v>0</v>
      </c>
      <c r="Y134" s="1">
        <v>0</v>
      </c>
      <c r="Z134" s="1">
        <v>0</v>
      </c>
      <c r="AA134" s="1">
        <v>0</v>
      </c>
      <c r="AB134" s="1">
        <v>0</v>
      </c>
      <c r="AC134" s="1">
        <v>0</v>
      </c>
      <c r="AD134" s="1">
        <v>0</v>
      </c>
      <c r="AE134" s="1">
        <v>0</v>
      </c>
      <c r="AF134" s="1">
        <v>0</v>
      </c>
      <c r="AG134" s="1">
        <v>0</v>
      </c>
      <c r="AH134" s="1">
        <v>0</v>
      </c>
      <c r="AI134" s="1">
        <v>0</v>
      </c>
      <c r="AJ134" s="1">
        <v>0</v>
      </c>
      <c r="AK134" s="1">
        <v>0</v>
      </c>
      <c r="AL134" s="1">
        <v>0</v>
      </c>
      <c r="AM134" s="1">
        <v>0</v>
      </c>
      <c r="AN134" s="1">
        <v>0</v>
      </c>
      <c r="AO134" s="1">
        <v>0</v>
      </c>
      <c r="AP134" s="1">
        <v>7011.5</v>
      </c>
      <c r="AQ134" s="1">
        <v>6832.5400000000009</v>
      </c>
      <c r="AR134" s="1">
        <v>5827.02</v>
      </c>
      <c r="AS134" s="1">
        <v>6252.6399999999994</v>
      </c>
      <c r="AT134" s="1">
        <v>0</v>
      </c>
      <c r="AU134" s="1">
        <v>7011.5</v>
      </c>
      <c r="AV134" s="1">
        <v>0</v>
      </c>
      <c r="AW134" s="1">
        <v>0</v>
      </c>
      <c r="AX134" s="1">
        <v>0</v>
      </c>
      <c r="AY134" s="1">
        <v>6832.5400000000009</v>
      </c>
      <c r="AZ134" s="1">
        <v>0</v>
      </c>
      <c r="BA134" s="1">
        <v>0</v>
      </c>
      <c r="BB134" s="1">
        <v>0</v>
      </c>
      <c r="BC134" s="1">
        <v>5827.02</v>
      </c>
      <c r="BD134" s="1">
        <v>0</v>
      </c>
      <c r="BE134" s="1">
        <v>0</v>
      </c>
      <c r="BF134" s="1">
        <v>6252.6399999999994</v>
      </c>
      <c r="BG134" s="1">
        <v>0</v>
      </c>
      <c r="BH134" s="1">
        <v>0</v>
      </c>
      <c r="BI134" s="1">
        <v>0</v>
      </c>
      <c r="BJ134" s="1">
        <v>0</v>
      </c>
      <c r="BK134" s="1">
        <v>0</v>
      </c>
      <c r="BL134" s="1">
        <v>0</v>
      </c>
      <c r="BM134" s="1">
        <v>0</v>
      </c>
      <c r="BN134" s="1">
        <v>0</v>
      </c>
      <c r="BO134" s="1">
        <v>0</v>
      </c>
      <c r="BP134" s="1">
        <v>0</v>
      </c>
      <c r="BQ134" s="1">
        <v>0</v>
      </c>
      <c r="BR134" s="1">
        <v>0</v>
      </c>
      <c r="BS134" s="1">
        <v>0</v>
      </c>
      <c r="BT134" s="1">
        <v>0</v>
      </c>
      <c r="BU134" s="1">
        <v>8252.73</v>
      </c>
      <c r="BV134" s="1">
        <v>8534.0400000000009</v>
      </c>
      <c r="BW134" s="1">
        <v>5886.78</v>
      </c>
      <c r="BX134" s="1">
        <v>5002.62</v>
      </c>
      <c r="BY134" s="1">
        <v>8252.73</v>
      </c>
      <c r="BZ134" s="1">
        <v>8534.0400000000009</v>
      </c>
      <c r="CA134" s="1">
        <v>5886.78</v>
      </c>
      <c r="CB134" s="1">
        <v>5002.62</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2103.11</v>
      </c>
      <c r="CT134" s="1">
        <v>949.91</v>
      </c>
      <c r="CU134" s="1">
        <v>946.06</v>
      </c>
      <c r="CV134" s="1">
        <v>995.86</v>
      </c>
      <c r="CW134" s="1">
        <v>2103.11</v>
      </c>
      <c r="CX134" s="1">
        <v>949.91</v>
      </c>
      <c r="CY134" s="1">
        <v>946.06</v>
      </c>
      <c r="CZ134" s="1">
        <v>995.86</v>
      </c>
      <c r="DA134" s="1">
        <v>0</v>
      </c>
      <c r="DB134" s="1">
        <v>0</v>
      </c>
      <c r="DC134" s="1">
        <v>0</v>
      </c>
      <c r="DD134" s="1">
        <v>0</v>
      </c>
      <c r="DE134" s="1">
        <v>0</v>
      </c>
      <c r="DF134" s="1">
        <v>0</v>
      </c>
      <c r="DG134" s="1">
        <v>0</v>
      </c>
      <c r="DH134" s="1">
        <v>0</v>
      </c>
      <c r="DI134" s="1">
        <v>0</v>
      </c>
      <c r="DJ134" s="1">
        <v>0</v>
      </c>
      <c r="DK134" s="1">
        <v>0</v>
      </c>
      <c r="DL134" s="1">
        <v>0</v>
      </c>
      <c r="DM134" s="1">
        <v>5238.5</v>
      </c>
      <c r="DN134" s="1">
        <v>4555.51</v>
      </c>
      <c r="DO134" s="1">
        <v>4989.8999999999996</v>
      </c>
      <c r="DP134" s="1">
        <v>4033.14</v>
      </c>
      <c r="DQ134" s="1">
        <v>5238.5</v>
      </c>
      <c r="DR134" s="1">
        <v>4555.51</v>
      </c>
      <c r="DS134" s="1">
        <v>4989.8999999999996</v>
      </c>
      <c r="DT134" s="1">
        <v>4033.14</v>
      </c>
      <c r="DU134" s="1">
        <v>0</v>
      </c>
      <c r="DV134" s="1">
        <v>0</v>
      </c>
      <c r="DW134" s="1">
        <v>0</v>
      </c>
      <c r="DX134" s="1">
        <v>0</v>
      </c>
      <c r="DY134" s="1">
        <v>0</v>
      </c>
      <c r="DZ134" s="1">
        <v>0</v>
      </c>
      <c r="EA134" s="1">
        <v>0</v>
      </c>
      <c r="EB134" s="1">
        <v>0</v>
      </c>
      <c r="EC134" s="1">
        <v>0</v>
      </c>
      <c r="ED134" s="1">
        <v>0</v>
      </c>
      <c r="EE134" s="1">
        <v>0</v>
      </c>
      <c r="EF134" s="1">
        <v>0</v>
      </c>
      <c r="EG134" s="1">
        <v>0</v>
      </c>
      <c r="EH134" s="1">
        <v>0</v>
      </c>
      <c r="EI134" s="1">
        <v>0</v>
      </c>
      <c r="EJ134" s="1">
        <v>0</v>
      </c>
      <c r="EK134" s="1">
        <v>630.17000000000007</v>
      </c>
      <c r="EL134" s="1">
        <v>599.41</v>
      </c>
      <c r="EM134" s="1">
        <v>557.41999999999996</v>
      </c>
      <c r="EN134" s="1">
        <v>543.03</v>
      </c>
      <c r="EO134" s="1">
        <v>630.17000000000007</v>
      </c>
      <c r="EP134" s="1">
        <v>599.41</v>
      </c>
      <c r="EQ134" s="1">
        <v>557.41999999999996</v>
      </c>
      <c r="ER134" s="1">
        <v>543.03</v>
      </c>
      <c r="ES134" s="1">
        <v>0</v>
      </c>
      <c r="ET134" s="1">
        <v>0</v>
      </c>
      <c r="EU134" s="1">
        <v>0</v>
      </c>
      <c r="EV134" s="1">
        <v>0</v>
      </c>
      <c r="EW134" s="1">
        <v>0</v>
      </c>
      <c r="EX134" s="1">
        <v>0</v>
      </c>
      <c r="EY134" s="1">
        <v>0</v>
      </c>
      <c r="EZ134" s="1">
        <v>0</v>
      </c>
      <c r="FA134" s="1">
        <v>0</v>
      </c>
      <c r="FB134" s="1">
        <v>0</v>
      </c>
      <c r="FC134" s="1">
        <v>0</v>
      </c>
      <c r="FD134" s="1">
        <v>0</v>
      </c>
      <c r="FE134" s="1">
        <v>81.259999999999991</v>
      </c>
      <c r="FF134" s="1">
        <v>100.35</v>
      </c>
      <c r="FG134" s="1">
        <v>63.95</v>
      </c>
      <c r="FH134" s="1">
        <v>88.28</v>
      </c>
      <c r="FI134" s="1">
        <v>81.259999999999991</v>
      </c>
      <c r="FJ134" s="1">
        <v>100.35</v>
      </c>
      <c r="FK134" s="1">
        <v>63.95</v>
      </c>
      <c r="FL134" s="1">
        <v>88.28</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31.31</v>
      </c>
      <c r="GD134" s="1">
        <v>43.5</v>
      </c>
      <c r="GE134" s="1">
        <v>41.67</v>
      </c>
      <c r="GF134" s="1">
        <v>34.020000000000003</v>
      </c>
      <c r="GG134" s="1">
        <v>31.31</v>
      </c>
      <c r="GH134" s="1">
        <v>43.5</v>
      </c>
      <c r="GI134" s="1">
        <v>41.67</v>
      </c>
      <c r="GJ134" s="1">
        <v>34.020000000000003</v>
      </c>
      <c r="GK134" s="1">
        <v>0</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0</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0</v>
      </c>
      <c r="JO134" s="1">
        <v>0</v>
      </c>
      <c r="JP134" s="1">
        <v>0</v>
      </c>
      <c r="JQ134" s="9"/>
      <c r="JR134" s="1">
        <f t="shared" si="38"/>
        <v>6365.6253000000006</v>
      </c>
      <c r="JS134" s="1">
        <f t="shared" si="38"/>
        <v>7163.8776000000007</v>
      </c>
      <c r="JT134" s="1">
        <f t="shared" si="38"/>
        <v>7238.8998000000038</v>
      </c>
      <c r="JU134" s="1">
        <f t="shared" si="36"/>
        <v>8617.0905000000002</v>
      </c>
      <c r="JV134" s="1">
        <f t="shared" si="39"/>
        <v>1178.8195000000001</v>
      </c>
      <c r="JW134" s="1">
        <f t="shared" si="39"/>
        <v>1326.6440000000002</v>
      </c>
      <c r="JX134" s="1">
        <f t="shared" si="39"/>
        <v>1340.5370000000007</v>
      </c>
      <c r="JY134" s="1">
        <f t="shared" si="37"/>
        <v>1595.7575000000002</v>
      </c>
    </row>
    <row r="135" spans="1:285" x14ac:dyDescent="0.35">
      <c r="A135" s="2" t="s">
        <v>142</v>
      </c>
      <c r="B135" s="1">
        <v>325527</v>
      </c>
      <c r="C135" s="1">
        <v>317691</v>
      </c>
      <c r="D135" s="1">
        <v>317657</v>
      </c>
      <c r="E135" s="1">
        <v>318738</v>
      </c>
      <c r="F135" s="1">
        <v>135782.41</v>
      </c>
      <c r="G135" s="1">
        <v>132386.9</v>
      </c>
      <c r="H135" s="1">
        <v>110870.84</v>
      </c>
      <c r="I135" s="1">
        <v>105183.23</v>
      </c>
      <c r="J135" s="1">
        <f t="shared" si="40"/>
        <v>106431.18999999999</v>
      </c>
      <c r="K135" s="1">
        <f t="shared" si="41"/>
        <v>102479.57</v>
      </c>
      <c r="L135" s="1">
        <f t="shared" si="42"/>
        <v>86526.69</v>
      </c>
      <c r="M135" s="1">
        <f t="shared" si="43"/>
        <v>82225.180000000008</v>
      </c>
      <c r="N135" s="1">
        <f t="shared" si="44"/>
        <v>29351.220000000016</v>
      </c>
      <c r="O135" s="1">
        <f t="shared" si="45"/>
        <v>29907.329999999987</v>
      </c>
      <c r="P135" s="1">
        <f t="shared" si="46"/>
        <v>24344.149999999994</v>
      </c>
      <c r="Q135" s="1">
        <f t="shared" si="47"/>
        <v>22958.049999999988</v>
      </c>
      <c r="R135" s="1">
        <v>0</v>
      </c>
      <c r="S135" s="1">
        <v>0</v>
      </c>
      <c r="T135" s="1">
        <v>0</v>
      </c>
      <c r="U135" s="1">
        <v>0</v>
      </c>
      <c r="V135" s="1">
        <v>0</v>
      </c>
      <c r="W135" s="1">
        <v>0</v>
      </c>
      <c r="X135" s="1">
        <v>0</v>
      </c>
      <c r="Y135" s="1">
        <v>0</v>
      </c>
      <c r="Z135" s="1">
        <v>0</v>
      </c>
      <c r="AA135" s="1">
        <v>0</v>
      </c>
      <c r="AB135" s="1">
        <v>0</v>
      </c>
      <c r="AC135" s="1">
        <v>0</v>
      </c>
      <c r="AD135" s="1">
        <v>0</v>
      </c>
      <c r="AE135" s="1">
        <v>0</v>
      </c>
      <c r="AF135" s="1">
        <v>0</v>
      </c>
      <c r="AG135" s="1">
        <v>0</v>
      </c>
      <c r="AH135" s="1">
        <v>0</v>
      </c>
      <c r="AI135" s="1">
        <v>0</v>
      </c>
      <c r="AJ135" s="1">
        <v>0</v>
      </c>
      <c r="AK135" s="1">
        <v>0</v>
      </c>
      <c r="AL135" s="1">
        <v>0</v>
      </c>
      <c r="AM135" s="1">
        <v>0</v>
      </c>
      <c r="AN135" s="1">
        <v>0</v>
      </c>
      <c r="AO135" s="1">
        <v>0</v>
      </c>
      <c r="AP135" s="1">
        <v>7658.75</v>
      </c>
      <c r="AQ135" s="1">
        <v>7740.7200000000012</v>
      </c>
      <c r="AR135" s="1">
        <v>6647.9800000000005</v>
      </c>
      <c r="AS135" s="1">
        <v>6691.39</v>
      </c>
      <c r="AT135" s="1">
        <v>5823.880000000001</v>
      </c>
      <c r="AU135" s="1">
        <v>1834.8700000000001</v>
      </c>
      <c r="AV135" s="1">
        <v>0</v>
      </c>
      <c r="AW135" s="1">
        <v>0</v>
      </c>
      <c r="AX135" s="1">
        <v>6118.8099999999995</v>
      </c>
      <c r="AY135" s="1">
        <v>1621.9100000000017</v>
      </c>
      <c r="AZ135" s="1">
        <v>0</v>
      </c>
      <c r="BA135" s="1">
        <v>0</v>
      </c>
      <c r="BB135" s="1">
        <v>5276.4699999999993</v>
      </c>
      <c r="BC135" s="1">
        <v>1371.5100000000011</v>
      </c>
      <c r="BD135" s="1">
        <v>0</v>
      </c>
      <c r="BE135" s="1">
        <v>5204.63</v>
      </c>
      <c r="BF135" s="1">
        <v>1486.76</v>
      </c>
      <c r="BG135" s="1">
        <v>0</v>
      </c>
      <c r="BH135" s="1">
        <v>0</v>
      </c>
      <c r="BI135" s="1">
        <v>0</v>
      </c>
      <c r="BJ135" s="1">
        <v>0</v>
      </c>
      <c r="BK135" s="1">
        <v>0</v>
      </c>
      <c r="BL135" s="1">
        <v>0</v>
      </c>
      <c r="BM135" s="1">
        <v>0</v>
      </c>
      <c r="BN135" s="1">
        <v>0</v>
      </c>
      <c r="BO135" s="1">
        <v>0</v>
      </c>
      <c r="BP135" s="1">
        <v>0</v>
      </c>
      <c r="BQ135" s="1">
        <v>0</v>
      </c>
      <c r="BR135" s="1">
        <v>0</v>
      </c>
      <c r="BS135" s="1">
        <v>0</v>
      </c>
      <c r="BT135" s="1">
        <v>0</v>
      </c>
      <c r="BU135" s="1">
        <v>19784.36</v>
      </c>
      <c r="BV135" s="1">
        <v>18993.810000000001</v>
      </c>
      <c r="BW135" s="1">
        <v>16008.92</v>
      </c>
      <c r="BX135" s="1">
        <v>15073.16</v>
      </c>
      <c r="BY135" s="1">
        <v>19784.36</v>
      </c>
      <c r="BZ135" s="1">
        <v>18993.810000000001</v>
      </c>
      <c r="CA135" s="1">
        <v>16008.92</v>
      </c>
      <c r="CB135" s="1">
        <v>15073.16</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19151.55</v>
      </c>
      <c r="CT135" s="1">
        <v>18410.86</v>
      </c>
      <c r="CU135" s="1">
        <v>15506.34</v>
      </c>
      <c r="CV135" s="1">
        <v>14763.1</v>
      </c>
      <c r="CW135" s="1">
        <v>19151.55</v>
      </c>
      <c r="CX135" s="1">
        <v>18410.86</v>
      </c>
      <c r="CY135" s="1">
        <v>15506.34</v>
      </c>
      <c r="CZ135" s="1">
        <v>14763.1</v>
      </c>
      <c r="DA135" s="1">
        <v>0</v>
      </c>
      <c r="DB135" s="1">
        <v>0</v>
      </c>
      <c r="DC135" s="1">
        <v>0</v>
      </c>
      <c r="DD135" s="1">
        <v>0</v>
      </c>
      <c r="DE135" s="1">
        <v>0</v>
      </c>
      <c r="DF135" s="1">
        <v>0</v>
      </c>
      <c r="DG135" s="1">
        <v>0</v>
      </c>
      <c r="DH135" s="1">
        <v>0</v>
      </c>
      <c r="DI135" s="1">
        <v>0</v>
      </c>
      <c r="DJ135" s="1">
        <v>0</v>
      </c>
      <c r="DK135" s="1">
        <v>0</v>
      </c>
      <c r="DL135" s="1">
        <v>0</v>
      </c>
      <c r="DM135" s="1">
        <v>18830.099999999999</v>
      </c>
      <c r="DN135" s="1">
        <v>18038.150000000001</v>
      </c>
      <c r="DO135" s="1">
        <v>15218.05</v>
      </c>
      <c r="DP135" s="1">
        <v>14402.68</v>
      </c>
      <c r="DQ135" s="1">
        <v>18830.099999999999</v>
      </c>
      <c r="DR135" s="1">
        <v>18038.150000000001</v>
      </c>
      <c r="DS135" s="1">
        <v>15218.05</v>
      </c>
      <c r="DT135" s="1">
        <v>14402.68</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20106.330000000002</v>
      </c>
      <c r="EL135" s="1">
        <v>24208.68</v>
      </c>
      <c r="EM135" s="1">
        <v>16213.36</v>
      </c>
      <c r="EN135" s="1">
        <v>15285.61</v>
      </c>
      <c r="EO135" s="1">
        <v>20100.689999999999</v>
      </c>
      <c r="EP135" s="1">
        <v>24204</v>
      </c>
      <c r="EQ135" s="1">
        <v>16201.17</v>
      </c>
      <c r="ER135" s="1">
        <v>15281.35</v>
      </c>
      <c r="ES135" s="1">
        <v>5.6400000000000006</v>
      </c>
      <c r="ET135" s="1">
        <v>4.68</v>
      </c>
      <c r="EU135" s="1">
        <v>12.19</v>
      </c>
      <c r="EV135" s="1">
        <v>4.26</v>
      </c>
      <c r="EW135" s="1">
        <v>0</v>
      </c>
      <c r="EX135" s="1">
        <v>0</v>
      </c>
      <c r="EY135" s="1">
        <v>0</v>
      </c>
      <c r="EZ135" s="1">
        <v>0</v>
      </c>
      <c r="FA135" s="1">
        <v>0</v>
      </c>
      <c r="FB135" s="1">
        <v>0</v>
      </c>
      <c r="FC135" s="1">
        <v>0</v>
      </c>
      <c r="FD135" s="1">
        <v>0</v>
      </c>
      <c r="FE135" s="1">
        <v>318.98</v>
      </c>
      <c r="FF135" s="1">
        <v>341.07</v>
      </c>
      <c r="FG135" s="1">
        <v>384.27</v>
      </c>
      <c r="FH135" s="1">
        <v>278.63</v>
      </c>
      <c r="FI135" s="1">
        <v>318.98</v>
      </c>
      <c r="FJ135" s="1">
        <v>341.07</v>
      </c>
      <c r="FK135" s="1">
        <v>384.27</v>
      </c>
      <c r="FL135" s="1">
        <v>278.63</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20466.75</v>
      </c>
      <c r="GD135" s="1">
        <v>14597.08</v>
      </c>
      <c r="GE135" s="1">
        <v>16384.71</v>
      </c>
      <c r="GF135" s="1">
        <v>15559.11</v>
      </c>
      <c r="GG135" s="1">
        <v>20466.75</v>
      </c>
      <c r="GH135" s="1">
        <v>14597.08</v>
      </c>
      <c r="GI135" s="1">
        <v>16384.71</v>
      </c>
      <c r="GJ135" s="1">
        <v>15559.11</v>
      </c>
      <c r="GK135" s="1">
        <v>0</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0</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114.37</v>
      </c>
      <c r="IP135" s="1">
        <v>149.19999999999999</v>
      </c>
      <c r="IQ135" s="1">
        <v>163.06</v>
      </c>
      <c r="IR135" s="1">
        <v>171.5</v>
      </c>
      <c r="IS135" s="1">
        <v>114.37</v>
      </c>
      <c r="IT135" s="1">
        <v>149.19999999999999</v>
      </c>
      <c r="IU135" s="1">
        <v>163.06</v>
      </c>
      <c r="IV135" s="1">
        <v>171.5</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0</v>
      </c>
      <c r="JO135" s="1">
        <v>0</v>
      </c>
      <c r="JP135" s="1">
        <v>0</v>
      </c>
      <c r="JQ135" s="9"/>
      <c r="JR135" s="1">
        <f t="shared" si="38"/>
        <v>7924.8294000000051</v>
      </c>
      <c r="JS135" s="1">
        <f t="shared" si="38"/>
        <v>8074.9790999999968</v>
      </c>
      <c r="JT135" s="1">
        <f t="shared" si="38"/>
        <v>6572.9204999999993</v>
      </c>
      <c r="JU135" s="1">
        <f t="shared" si="36"/>
        <v>6198.6734999999971</v>
      </c>
      <c r="JV135" s="1">
        <f t="shared" si="39"/>
        <v>1467.5610000000008</v>
      </c>
      <c r="JW135" s="1">
        <f t="shared" si="39"/>
        <v>1495.3664999999994</v>
      </c>
      <c r="JX135" s="1">
        <f t="shared" si="39"/>
        <v>1217.2074999999998</v>
      </c>
      <c r="JY135" s="1">
        <f t="shared" si="37"/>
        <v>1147.9024999999995</v>
      </c>
    </row>
    <row r="136" spans="1:285" x14ac:dyDescent="0.35">
      <c r="A136" s="2" t="s">
        <v>143</v>
      </c>
      <c r="B136" s="1">
        <v>140881</v>
      </c>
      <c r="C136" s="1">
        <v>142351</v>
      </c>
      <c r="D136" s="1">
        <v>144366</v>
      </c>
      <c r="E136" s="1">
        <v>145056</v>
      </c>
      <c r="F136" s="1">
        <v>31458.237000000001</v>
      </c>
      <c r="G136" s="1">
        <v>33099.923999999999</v>
      </c>
      <c r="H136" s="1">
        <v>29785.521000000001</v>
      </c>
      <c r="I136" s="1">
        <v>32572.816999999999</v>
      </c>
      <c r="J136" s="1">
        <f t="shared" si="40"/>
        <v>21126.328000000001</v>
      </c>
      <c r="K136" s="1">
        <f t="shared" si="41"/>
        <v>21437.519</v>
      </c>
      <c r="L136" s="1">
        <f t="shared" si="42"/>
        <v>19243.873999999996</v>
      </c>
      <c r="M136" s="1">
        <f t="shared" si="43"/>
        <v>22233.521000000001</v>
      </c>
      <c r="N136" s="1">
        <f t="shared" si="44"/>
        <v>10331.909</v>
      </c>
      <c r="O136" s="1">
        <f t="shared" si="45"/>
        <v>11662.404999999999</v>
      </c>
      <c r="P136" s="1">
        <f t="shared" si="46"/>
        <v>10541.647000000004</v>
      </c>
      <c r="Q136" s="1">
        <f t="shared" si="47"/>
        <v>10339.295999999998</v>
      </c>
      <c r="R136" s="1">
        <v>0</v>
      </c>
      <c r="S136" s="1">
        <v>6.8</v>
      </c>
      <c r="T136" s="1">
        <v>0</v>
      </c>
      <c r="U136" s="1">
        <v>0</v>
      </c>
      <c r="V136" s="1">
        <v>0</v>
      </c>
      <c r="W136" s="1">
        <v>0</v>
      </c>
      <c r="X136" s="1">
        <v>0</v>
      </c>
      <c r="Y136" s="1">
        <v>0</v>
      </c>
      <c r="Z136" s="1">
        <v>6.8</v>
      </c>
      <c r="AA136" s="1">
        <v>0</v>
      </c>
      <c r="AB136" s="1">
        <v>0</v>
      </c>
      <c r="AC136" s="1">
        <v>0</v>
      </c>
      <c r="AD136" s="1">
        <v>0</v>
      </c>
      <c r="AE136" s="1">
        <v>0</v>
      </c>
      <c r="AF136" s="1">
        <v>0</v>
      </c>
      <c r="AG136" s="1">
        <v>0</v>
      </c>
      <c r="AH136" s="1">
        <v>0</v>
      </c>
      <c r="AI136" s="1">
        <v>0</v>
      </c>
      <c r="AJ136" s="1">
        <v>0</v>
      </c>
      <c r="AK136" s="1">
        <v>0</v>
      </c>
      <c r="AL136" s="1">
        <v>0</v>
      </c>
      <c r="AM136" s="1">
        <v>0</v>
      </c>
      <c r="AN136" s="1">
        <v>0</v>
      </c>
      <c r="AO136" s="1">
        <v>0</v>
      </c>
      <c r="AP136" s="1">
        <v>7497.34</v>
      </c>
      <c r="AQ136" s="1">
        <v>6911.08</v>
      </c>
      <c r="AR136" s="1">
        <v>6900.04</v>
      </c>
      <c r="AS136" s="1">
        <v>6847.28</v>
      </c>
      <c r="AT136" s="1">
        <v>7497.34</v>
      </c>
      <c r="AU136" s="1">
        <v>0</v>
      </c>
      <c r="AV136" s="1">
        <v>0</v>
      </c>
      <c r="AW136" s="1">
        <v>0</v>
      </c>
      <c r="AX136" s="1">
        <v>0</v>
      </c>
      <c r="AY136" s="1">
        <v>6911.08</v>
      </c>
      <c r="AZ136" s="1">
        <v>0</v>
      </c>
      <c r="BA136" s="1">
        <v>0</v>
      </c>
      <c r="BB136" s="1">
        <v>0</v>
      </c>
      <c r="BC136" s="1">
        <v>6900.04</v>
      </c>
      <c r="BD136" s="1">
        <v>0</v>
      </c>
      <c r="BE136" s="1">
        <v>0</v>
      </c>
      <c r="BF136" s="1">
        <v>6847.28</v>
      </c>
      <c r="BG136" s="1">
        <v>0</v>
      </c>
      <c r="BH136" s="1">
        <v>0</v>
      </c>
      <c r="BI136" s="1">
        <v>0</v>
      </c>
      <c r="BJ136" s="1">
        <v>0</v>
      </c>
      <c r="BK136" s="1">
        <v>0</v>
      </c>
      <c r="BL136" s="1">
        <v>0</v>
      </c>
      <c r="BM136" s="1">
        <v>0</v>
      </c>
      <c r="BN136" s="1">
        <v>0</v>
      </c>
      <c r="BO136" s="1">
        <v>0</v>
      </c>
      <c r="BP136" s="1">
        <v>0</v>
      </c>
      <c r="BQ136" s="1">
        <v>0</v>
      </c>
      <c r="BR136" s="1">
        <v>0</v>
      </c>
      <c r="BS136" s="1">
        <v>0</v>
      </c>
      <c r="BT136" s="1">
        <v>0</v>
      </c>
      <c r="BU136" s="1">
        <v>5002.4390000000003</v>
      </c>
      <c r="BV136" s="1">
        <v>4841.0999999999995</v>
      </c>
      <c r="BW136" s="1">
        <v>4330.9399999999996</v>
      </c>
      <c r="BX136" s="1">
        <v>4710.3680000000004</v>
      </c>
      <c r="BY136" s="1">
        <v>5002.4390000000003</v>
      </c>
      <c r="BZ136" s="1">
        <v>4841.0999999999995</v>
      </c>
      <c r="CA136" s="1">
        <v>4330.9399999999996</v>
      </c>
      <c r="CB136" s="1">
        <v>4710.3680000000004</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1019.101</v>
      </c>
      <c r="CT136" s="1">
        <v>1130.29</v>
      </c>
      <c r="CU136" s="1">
        <v>848.06</v>
      </c>
      <c r="CV136" s="1">
        <v>2367.7089999999998</v>
      </c>
      <c r="CW136" s="1">
        <v>1019.101</v>
      </c>
      <c r="CX136" s="1">
        <v>1130.29</v>
      </c>
      <c r="CY136" s="1">
        <v>848.06</v>
      </c>
      <c r="CZ136" s="1">
        <v>2367.7089999999998</v>
      </c>
      <c r="DA136" s="1">
        <v>0</v>
      </c>
      <c r="DB136" s="1">
        <v>0</v>
      </c>
      <c r="DC136" s="1">
        <v>0</v>
      </c>
      <c r="DD136" s="1">
        <v>0</v>
      </c>
      <c r="DE136" s="1">
        <v>0</v>
      </c>
      <c r="DF136" s="1">
        <v>0</v>
      </c>
      <c r="DG136" s="1">
        <v>0</v>
      </c>
      <c r="DH136" s="1">
        <v>0</v>
      </c>
      <c r="DI136" s="1">
        <v>0</v>
      </c>
      <c r="DJ136" s="1">
        <v>0</v>
      </c>
      <c r="DK136" s="1">
        <v>0</v>
      </c>
      <c r="DL136" s="1">
        <v>0</v>
      </c>
      <c r="DM136" s="1">
        <v>3730.3</v>
      </c>
      <c r="DN136" s="1">
        <v>3483.83</v>
      </c>
      <c r="DO136" s="1">
        <v>3365.78</v>
      </c>
      <c r="DP136" s="1">
        <v>3381.96</v>
      </c>
      <c r="DQ136" s="1">
        <v>3730.3</v>
      </c>
      <c r="DR136" s="1">
        <v>3483.83</v>
      </c>
      <c r="DS136" s="1">
        <v>3365.78</v>
      </c>
      <c r="DT136" s="1">
        <v>3381.96</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1645.8989999999999</v>
      </c>
      <c r="EL136" s="1">
        <v>2389.79</v>
      </c>
      <c r="EM136" s="1">
        <v>1424.19</v>
      </c>
      <c r="EN136" s="1">
        <v>2060.7089999999998</v>
      </c>
      <c r="EO136" s="1">
        <v>1645.8989999999999</v>
      </c>
      <c r="EP136" s="1">
        <v>2389.79</v>
      </c>
      <c r="EQ136" s="1">
        <v>1424.19</v>
      </c>
      <c r="ER136" s="1">
        <v>2060.7089999999998</v>
      </c>
      <c r="ES136" s="1">
        <v>0</v>
      </c>
      <c r="ET136" s="1">
        <v>0</v>
      </c>
      <c r="EU136" s="1">
        <v>0</v>
      </c>
      <c r="EV136" s="1">
        <v>0</v>
      </c>
      <c r="EW136" s="1">
        <v>0</v>
      </c>
      <c r="EX136" s="1">
        <v>0</v>
      </c>
      <c r="EY136" s="1">
        <v>0</v>
      </c>
      <c r="EZ136" s="1">
        <v>0</v>
      </c>
      <c r="FA136" s="1">
        <v>0</v>
      </c>
      <c r="FB136" s="1">
        <v>0</v>
      </c>
      <c r="FC136" s="1">
        <v>0</v>
      </c>
      <c r="FD136" s="1">
        <v>0</v>
      </c>
      <c r="FE136" s="1">
        <v>155.179</v>
      </c>
      <c r="FF136" s="1">
        <v>155.50899999999999</v>
      </c>
      <c r="FG136" s="1">
        <v>59.305000000000007</v>
      </c>
      <c r="FH136" s="1">
        <v>44.820000000000007</v>
      </c>
      <c r="FI136" s="1">
        <v>155.179</v>
      </c>
      <c r="FJ136" s="1">
        <v>155.50899999999999</v>
      </c>
      <c r="FK136" s="1">
        <v>22.55</v>
      </c>
      <c r="FL136" s="1">
        <v>0</v>
      </c>
      <c r="FM136" s="1">
        <v>0</v>
      </c>
      <c r="FN136" s="1">
        <v>0</v>
      </c>
      <c r="FO136" s="1">
        <v>36.755000000000003</v>
      </c>
      <c r="FP136" s="1">
        <v>44.820000000000007</v>
      </c>
      <c r="FQ136" s="1">
        <v>0</v>
      </c>
      <c r="FR136" s="1">
        <v>0</v>
      </c>
      <c r="FS136" s="1">
        <v>0</v>
      </c>
      <c r="FT136" s="1">
        <v>0</v>
      </c>
      <c r="FU136" s="1">
        <v>0</v>
      </c>
      <c r="FV136" s="1">
        <v>0</v>
      </c>
      <c r="FW136" s="1">
        <v>0</v>
      </c>
      <c r="FX136" s="1">
        <v>0</v>
      </c>
      <c r="FY136" s="1">
        <v>0</v>
      </c>
      <c r="FZ136" s="1">
        <v>0</v>
      </c>
      <c r="GA136" s="1">
        <v>0</v>
      </c>
      <c r="GB136" s="1">
        <v>0</v>
      </c>
      <c r="GC136" s="1">
        <v>1187.992</v>
      </c>
      <c r="GD136" s="1">
        <v>1319.81</v>
      </c>
      <c r="GE136" s="1">
        <v>1250.9970000000001</v>
      </c>
      <c r="GF136" s="1">
        <v>1362.508</v>
      </c>
      <c r="GG136" s="1">
        <v>1187.992</v>
      </c>
      <c r="GH136" s="1">
        <v>1319.81</v>
      </c>
      <c r="GI136" s="1">
        <v>1250.9970000000001</v>
      </c>
      <c r="GJ136" s="1">
        <v>1362.508</v>
      </c>
      <c r="GK136" s="1">
        <v>0</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200.22</v>
      </c>
      <c r="HF136" s="1">
        <v>0</v>
      </c>
      <c r="HG136" s="1">
        <v>0</v>
      </c>
      <c r="HH136" s="1">
        <v>0</v>
      </c>
      <c r="HI136" s="1">
        <v>200.22</v>
      </c>
      <c r="HJ136" s="1">
        <v>0</v>
      </c>
      <c r="HK136" s="1">
        <v>0</v>
      </c>
      <c r="HL136" s="1">
        <v>0</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687.85799999999995</v>
      </c>
      <c r="IP136" s="1">
        <v>1199.31</v>
      </c>
      <c r="IQ136" s="1">
        <v>1064.5619999999999</v>
      </c>
      <c r="IR136" s="1">
        <v>1458.1669999999999</v>
      </c>
      <c r="IS136" s="1">
        <v>687.85799999999995</v>
      </c>
      <c r="IT136" s="1">
        <v>1199.31</v>
      </c>
      <c r="IU136" s="1">
        <v>1064.5619999999999</v>
      </c>
      <c r="IV136" s="1">
        <v>1458.1669999999999</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0</v>
      </c>
      <c r="JO136" s="1">
        <v>0</v>
      </c>
      <c r="JP136" s="1">
        <v>0</v>
      </c>
      <c r="JQ136" s="9"/>
      <c r="JR136" s="1">
        <f t="shared" si="38"/>
        <v>2789.6154300000003</v>
      </c>
      <c r="JS136" s="1">
        <f t="shared" si="38"/>
        <v>3148.84935</v>
      </c>
      <c r="JT136" s="1">
        <f t="shared" si="38"/>
        <v>2846.2446900000014</v>
      </c>
      <c r="JU136" s="1">
        <f t="shared" si="36"/>
        <v>2791.6099199999999</v>
      </c>
      <c r="JV136" s="1">
        <f t="shared" si="39"/>
        <v>516.59545000000003</v>
      </c>
      <c r="JW136" s="1">
        <f t="shared" si="39"/>
        <v>583.12024999999994</v>
      </c>
      <c r="JX136" s="1">
        <f t="shared" si="39"/>
        <v>527.08235000000025</v>
      </c>
      <c r="JY136" s="1">
        <f t="shared" si="37"/>
        <v>516.96479999999997</v>
      </c>
    </row>
    <row r="137" spans="1:285" x14ac:dyDescent="0.35">
      <c r="A137" s="2" t="s">
        <v>144</v>
      </c>
      <c r="B137" s="1">
        <v>808443</v>
      </c>
      <c r="C137" s="1">
        <v>809479</v>
      </c>
      <c r="D137" s="1">
        <v>820294</v>
      </c>
      <c r="E137" s="1">
        <v>833516</v>
      </c>
      <c r="F137" s="1">
        <v>870418.62699999998</v>
      </c>
      <c r="G137" s="1">
        <v>895701.57200000004</v>
      </c>
      <c r="H137" s="1">
        <v>868360.54300000006</v>
      </c>
      <c r="I137" s="1">
        <v>873864.76100000006</v>
      </c>
      <c r="J137" s="1">
        <f t="shared" si="40"/>
        <v>185744.73899999997</v>
      </c>
      <c r="K137" s="1">
        <f t="shared" si="41"/>
        <v>188460.50100000002</v>
      </c>
      <c r="L137" s="1">
        <f t="shared" si="42"/>
        <v>186305.65599999999</v>
      </c>
      <c r="M137" s="1">
        <f t="shared" si="43"/>
        <v>185545.33</v>
      </c>
      <c r="N137" s="1">
        <f t="shared" si="44"/>
        <v>684673.88800000004</v>
      </c>
      <c r="O137" s="1">
        <f t="shared" si="45"/>
        <v>707241.071</v>
      </c>
      <c r="P137" s="1">
        <f t="shared" si="46"/>
        <v>682054.8870000001</v>
      </c>
      <c r="Q137" s="1">
        <f t="shared" si="47"/>
        <v>688319.4310000001</v>
      </c>
      <c r="R137" s="1">
        <v>165.3</v>
      </c>
      <c r="S137" s="1">
        <v>0</v>
      </c>
      <c r="T137" s="1">
        <v>0</v>
      </c>
      <c r="U137" s="1">
        <v>0</v>
      </c>
      <c r="V137" s="1">
        <v>0</v>
      </c>
      <c r="W137" s="1">
        <v>0</v>
      </c>
      <c r="X137" s="1">
        <v>165.3</v>
      </c>
      <c r="Y137" s="1">
        <v>0</v>
      </c>
      <c r="Z137" s="1">
        <v>0</v>
      </c>
      <c r="AA137" s="1">
        <v>0</v>
      </c>
      <c r="AB137" s="1">
        <v>0</v>
      </c>
      <c r="AC137" s="1">
        <v>0</v>
      </c>
      <c r="AD137" s="1">
        <v>0</v>
      </c>
      <c r="AE137" s="1">
        <v>0</v>
      </c>
      <c r="AF137" s="1">
        <v>0</v>
      </c>
      <c r="AG137" s="1">
        <v>0</v>
      </c>
      <c r="AH137" s="1">
        <v>0</v>
      </c>
      <c r="AI137" s="1">
        <v>0</v>
      </c>
      <c r="AJ137" s="1">
        <v>0</v>
      </c>
      <c r="AK137" s="1">
        <v>0</v>
      </c>
      <c r="AL137" s="1">
        <v>0</v>
      </c>
      <c r="AM137" s="1">
        <v>0</v>
      </c>
      <c r="AN137" s="1">
        <v>0</v>
      </c>
      <c r="AO137" s="1">
        <v>0</v>
      </c>
      <c r="AP137" s="1">
        <v>38116.69</v>
      </c>
      <c r="AQ137" s="1">
        <v>41048.269999999997</v>
      </c>
      <c r="AR137" s="1">
        <v>36041.19</v>
      </c>
      <c r="AS137" s="1">
        <v>40256.67</v>
      </c>
      <c r="AT137" s="1">
        <v>0</v>
      </c>
      <c r="AU137" s="1">
        <v>38116.69</v>
      </c>
      <c r="AV137" s="1">
        <v>0</v>
      </c>
      <c r="AW137" s="1">
        <v>0</v>
      </c>
      <c r="AX137" s="1">
        <v>0</v>
      </c>
      <c r="AY137" s="1">
        <v>41048.269999999997</v>
      </c>
      <c r="AZ137" s="1">
        <v>0</v>
      </c>
      <c r="BA137" s="1">
        <v>0</v>
      </c>
      <c r="BB137" s="1">
        <v>0</v>
      </c>
      <c r="BC137" s="1">
        <v>36041.19</v>
      </c>
      <c r="BD137" s="1">
        <v>0</v>
      </c>
      <c r="BE137" s="1">
        <v>0</v>
      </c>
      <c r="BF137" s="1">
        <v>40256.67</v>
      </c>
      <c r="BG137" s="1">
        <v>0</v>
      </c>
      <c r="BH137" s="1">
        <v>0</v>
      </c>
      <c r="BI137" s="1">
        <v>0</v>
      </c>
      <c r="BJ137" s="1">
        <v>0</v>
      </c>
      <c r="BK137" s="1">
        <v>0</v>
      </c>
      <c r="BL137" s="1">
        <v>0</v>
      </c>
      <c r="BM137" s="1">
        <v>0</v>
      </c>
      <c r="BN137" s="1">
        <v>0</v>
      </c>
      <c r="BO137" s="1">
        <v>0</v>
      </c>
      <c r="BP137" s="1">
        <v>0</v>
      </c>
      <c r="BQ137" s="1">
        <v>0</v>
      </c>
      <c r="BR137" s="1">
        <v>0</v>
      </c>
      <c r="BS137" s="1">
        <v>0</v>
      </c>
      <c r="BT137" s="1">
        <v>0</v>
      </c>
      <c r="BU137" s="1">
        <v>47973.34</v>
      </c>
      <c r="BV137" s="1">
        <v>47523.724000000002</v>
      </c>
      <c r="BW137" s="1">
        <v>58907.425999999999</v>
      </c>
      <c r="BX137" s="1">
        <v>56478.718999999997</v>
      </c>
      <c r="BY137" s="1">
        <v>47796.83</v>
      </c>
      <c r="BZ137" s="1">
        <v>47313.384000000013</v>
      </c>
      <c r="CA137" s="1">
        <v>58689.016000000003</v>
      </c>
      <c r="CB137" s="1">
        <v>56338.19</v>
      </c>
      <c r="CC137" s="1">
        <v>176.51</v>
      </c>
      <c r="CD137" s="1">
        <v>203.36</v>
      </c>
      <c r="CE137" s="1">
        <v>218.41</v>
      </c>
      <c r="CF137" s="1">
        <v>140.529</v>
      </c>
      <c r="CG137" s="1">
        <v>0</v>
      </c>
      <c r="CH137" s="1">
        <v>0</v>
      </c>
      <c r="CI137" s="1">
        <v>0</v>
      </c>
      <c r="CJ137" s="1">
        <v>0</v>
      </c>
      <c r="CK137" s="1">
        <v>0</v>
      </c>
      <c r="CL137" s="1">
        <v>6.98</v>
      </c>
      <c r="CM137" s="1">
        <v>0</v>
      </c>
      <c r="CN137" s="1">
        <v>0</v>
      </c>
      <c r="CO137" s="1">
        <v>0</v>
      </c>
      <c r="CP137" s="1">
        <v>0</v>
      </c>
      <c r="CQ137" s="1">
        <v>0</v>
      </c>
      <c r="CR137" s="1">
        <v>0</v>
      </c>
      <c r="CS137" s="1">
        <v>7314.0379999999996</v>
      </c>
      <c r="CT137" s="1">
        <v>7306.6709999999994</v>
      </c>
      <c r="CU137" s="1">
        <v>7516.259</v>
      </c>
      <c r="CV137" s="1">
        <v>7376.9639999999999</v>
      </c>
      <c r="CW137" s="1">
        <v>6949.1980000000003</v>
      </c>
      <c r="CX137" s="1">
        <v>6933.9409999999998</v>
      </c>
      <c r="CY137" s="1">
        <v>6926.9889999999996</v>
      </c>
      <c r="CZ137" s="1">
        <v>6528.83</v>
      </c>
      <c r="DA137" s="1">
        <v>364.84</v>
      </c>
      <c r="DB137" s="1">
        <v>372.73</v>
      </c>
      <c r="DC137" s="1">
        <v>589.27</v>
      </c>
      <c r="DD137" s="1">
        <v>848.13400000000001</v>
      </c>
      <c r="DE137" s="1">
        <v>0</v>
      </c>
      <c r="DF137" s="1">
        <v>0</v>
      </c>
      <c r="DG137" s="1">
        <v>0</v>
      </c>
      <c r="DH137" s="1">
        <v>0</v>
      </c>
      <c r="DI137" s="1">
        <v>0</v>
      </c>
      <c r="DJ137" s="1">
        <v>0</v>
      </c>
      <c r="DK137" s="1">
        <v>0</v>
      </c>
      <c r="DL137" s="1">
        <v>0</v>
      </c>
      <c r="DM137" s="1">
        <v>52760.06</v>
      </c>
      <c r="DN137" s="1">
        <v>51688.1</v>
      </c>
      <c r="DO137" s="1">
        <v>44267.32</v>
      </c>
      <c r="DP137" s="1">
        <v>41307.908000000003</v>
      </c>
      <c r="DQ137" s="1">
        <v>52760.06</v>
      </c>
      <c r="DR137" s="1">
        <v>51688.1</v>
      </c>
      <c r="DS137" s="1">
        <v>44267.32</v>
      </c>
      <c r="DT137" s="1">
        <v>41307.908000000003</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19703.36</v>
      </c>
      <c r="EL137" s="1">
        <v>21992.524000000001</v>
      </c>
      <c r="EM137" s="1">
        <v>19722.956999999999</v>
      </c>
      <c r="EN137" s="1">
        <v>19685.562999999998</v>
      </c>
      <c r="EO137" s="1">
        <v>19655.54</v>
      </c>
      <c r="EP137" s="1">
        <v>21937.313999999998</v>
      </c>
      <c r="EQ137" s="1">
        <v>19666.804</v>
      </c>
      <c r="ER137" s="1">
        <v>19626.383000000002</v>
      </c>
      <c r="ES137" s="1">
        <v>47.82</v>
      </c>
      <c r="ET137" s="1">
        <v>55.21</v>
      </c>
      <c r="EU137" s="1">
        <v>56.152999999999999</v>
      </c>
      <c r="EV137" s="1">
        <v>59.18</v>
      </c>
      <c r="EW137" s="1">
        <v>0</v>
      </c>
      <c r="EX137" s="1">
        <v>0</v>
      </c>
      <c r="EY137" s="1">
        <v>0</v>
      </c>
      <c r="EZ137" s="1">
        <v>0</v>
      </c>
      <c r="FA137" s="1">
        <v>0</v>
      </c>
      <c r="FB137" s="1">
        <v>0</v>
      </c>
      <c r="FC137" s="1">
        <v>0</v>
      </c>
      <c r="FD137" s="1">
        <v>0</v>
      </c>
      <c r="FE137" s="1">
        <v>631.58500000000004</v>
      </c>
      <c r="FF137" s="1">
        <v>679.82999999999993</v>
      </c>
      <c r="FG137" s="1">
        <v>857.86099999999999</v>
      </c>
      <c r="FH137" s="1">
        <v>842.88400000000001</v>
      </c>
      <c r="FI137" s="1">
        <v>49.43</v>
      </c>
      <c r="FJ137" s="1">
        <v>37.549999999999997</v>
      </c>
      <c r="FK137" s="1">
        <v>24.013999999999999</v>
      </c>
      <c r="FL137" s="1">
        <v>24.97</v>
      </c>
      <c r="FM137" s="1">
        <v>582.15499999999997</v>
      </c>
      <c r="FN137" s="1">
        <v>642.28</v>
      </c>
      <c r="FO137" s="1">
        <v>833.84699999999998</v>
      </c>
      <c r="FP137" s="1">
        <v>817.91399999999999</v>
      </c>
      <c r="FQ137" s="1">
        <v>0</v>
      </c>
      <c r="FR137" s="1">
        <v>0</v>
      </c>
      <c r="FS137" s="1">
        <v>0</v>
      </c>
      <c r="FT137" s="1">
        <v>0</v>
      </c>
      <c r="FU137" s="1">
        <v>0</v>
      </c>
      <c r="FV137" s="1">
        <v>0</v>
      </c>
      <c r="FW137" s="1">
        <v>0</v>
      </c>
      <c r="FX137" s="1">
        <v>0</v>
      </c>
      <c r="FY137" s="1">
        <v>0</v>
      </c>
      <c r="FZ137" s="1">
        <v>0</v>
      </c>
      <c r="GA137" s="1">
        <v>0</v>
      </c>
      <c r="GB137" s="1">
        <v>0</v>
      </c>
      <c r="GC137" s="1">
        <v>2902.9059999999999</v>
      </c>
      <c r="GD137" s="1">
        <v>3178.1619999999998</v>
      </c>
      <c r="GE137" s="1">
        <v>3592.2240000000002</v>
      </c>
      <c r="GF137" s="1">
        <v>3530.4540000000002</v>
      </c>
      <c r="GG137" s="1">
        <v>2390.1</v>
      </c>
      <c r="GH137" s="1">
        <v>2685.75</v>
      </c>
      <c r="GI137" s="1">
        <v>3166.3510000000001</v>
      </c>
      <c r="GJ137" s="1">
        <v>3121.2890000000002</v>
      </c>
      <c r="GK137" s="1">
        <v>0</v>
      </c>
      <c r="GL137" s="1">
        <v>169</v>
      </c>
      <c r="GM137" s="1">
        <v>40.26</v>
      </c>
      <c r="GN137" s="1">
        <v>28.16</v>
      </c>
      <c r="GO137" s="1">
        <v>222.886</v>
      </c>
      <c r="GP137" s="1">
        <v>0</v>
      </c>
      <c r="GQ137" s="1">
        <v>0</v>
      </c>
      <c r="GR137" s="1">
        <v>0</v>
      </c>
      <c r="GS137" s="1">
        <v>264.7</v>
      </c>
      <c r="GT137" s="1">
        <v>218.08199999999999</v>
      </c>
      <c r="GU137" s="1">
        <v>241.33799999999999</v>
      </c>
      <c r="GV137" s="1">
        <v>236.80699999999999</v>
      </c>
      <c r="GW137" s="1">
        <v>0</v>
      </c>
      <c r="GX137" s="1">
        <v>0</v>
      </c>
      <c r="GY137" s="1">
        <v>0</v>
      </c>
      <c r="GZ137" s="1">
        <v>0</v>
      </c>
      <c r="HA137" s="1">
        <v>25.22</v>
      </c>
      <c r="HB137" s="1">
        <v>105.33</v>
      </c>
      <c r="HC137" s="1">
        <v>144.27500000000001</v>
      </c>
      <c r="HD137" s="1">
        <v>144.19800000000001</v>
      </c>
      <c r="HE137" s="1">
        <v>12256.12</v>
      </c>
      <c r="HF137" s="1">
        <v>13507.63</v>
      </c>
      <c r="HG137" s="1">
        <v>14308.555</v>
      </c>
      <c r="HH137" s="1">
        <v>14145.197</v>
      </c>
      <c r="HI137" s="1">
        <v>11551.33</v>
      </c>
      <c r="HJ137" s="1">
        <v>12699.77</v>
      </c>
      <c r="HK137" s="1">
        <v>13421.084999999999</v>
      </c>
      <c r="HL137" s="1">
        <v>13251.321</v>
      </c>
      <c r="HM137" s="1">
        <v>0</v>
      </c>
      <c r="HN137" s="1">
        <v>0</v>
      </c>
      <c r="HO137" s="1">
        <v>0</v>
      </c>
      <c r="HP137" s="1">
        <v>0</v>
      </c>
      <c r="HQ137" s="1">
        <v>0</v>
      </c>
      <c r="HR137" s="1">
        <v>0</v>
      </c>
      <c r="HS137" s="1">
        <v>0</v>
      </c>
      <c r="HT137" s="1">
        <v>0</v>
      </c>
      <c r="HU137" s="1">
        <v>0</v>
      </c>
      <c r="HV137" s="1">
        <v>0</v>
      </c>
      <c r="HW137" s="1">
        <v>0</v>
      </c>
      <c r="HX137" s="1">
        <v>0</v>
      </c>
      <c r="HY137" s="1">
        <v>188.64</v>
      </c>
      <c r="HZ137" s="1">
        <v>0</v>
      </c>
      <c r="IA137" s="1">
        <v>0</v>
      </c>
      <c r="IB137" s="1">
        <v>0</v>
      </c>
      <c r="IC137" s="1">
        <v>516.15</v>
      </c>
      <c r="ID137" s="1">
        <v>807.86</v>
      </c>
      <c r="IE137" s="1">
        <v>887.47</v>
      </c>
      <c r="IF137" s="1">
        <v>893.87599999999998</v>
      </c>
      <c r="IG137" s="1">
        <v>0</v>
      </c>
      <c r="IH137" s="1">
        <v>0</v>
      </c>
      <c r="II137" s="1">
        <v>0</v>
      </c>
      <c r="IJ137" s="1">
        <v>0</v>
      </c>
      <c r="IK137" s="1">
        <v>0</v>
      </c>
      <c r="IL137" s="1">
        <v>0</v>
      </c>
      <c r="IM137" s="1">
        <v>0</v>
      </c>
      <c r="IN137" s="1">
        <v>0</v>
      </c>
      <c r="IO137" s="1">
        <v>3921.34</v>
      </c>
      <c r="IP137" s="1">
        <v>1535.59</v>
      </c>
      <c r="IQ137" s="1">
        <v>1091.864</v>
      </c>
      <c r="IR137" s="1">
        <v>1920.971</v>
      </c>
      <c r="IS137" s="1">
        <v>2637.28</v>
      </c>
      <c r="IT137" s="1">
        <v>1162.8599999999999</v>
      </c>
      <c r="IU137" s="1">
        <v>502.59399999999999</v>
      </c>
      <c r="IV137" s="1">
        <v>1072.837</v>
      </c>
      <c r="IW137" s="1">
        <v>364.84</v>
      </c>
      <c r="IX137" s="1">
        <v>372.73</v>
      </c>
      <c r="IY137" s="1">
        <v>589.27</v>
      </c>
      <c r="IZ137" s="1">
        <v>848.13400000000001</v>
      </c>
      <c r="JA137" s="1">
        <v>0</v>
      </c>
      <c r="JB137" s="1">
        <v>0</v>
      </c>
      <c r="JC137" s="1">
        <v>0</v>
      </c>
      <c r="JD137" s="1">
        <v>0</v>
      </c>
      <c r="JE137" s="1">
        <v>0</v>
      </c>
      <c r="JF137" s="1">
        <v>0</v>
      </c>
      <c r="JG137" s="1">
        <v>0</v>
      </c>
      <c r="JH137" s="1">
        <v>0</v>
      </c>
      <c r="JI137" s="1">
        <v>0</v>
      </c>
      <c r="JJ137" s="1">
        <v>0</v>
      </c>
      <c r="JK137" s="1">
        <v>0</v>
      </c>
      <c r="JL137" s="1">
        <v>0</v>
      </c>
      <c r="JM137" s="1">
        <v>919.22</v>
      </c>
      <c r="JN137" s="1">
        <v>0</v>
      </c>
      <c r="JO137" s="1">
        <v>0</v>
      </c>
      <c r="JP137" s="1">
        <v>0</v>
      </c>
      <c r="JQ137" s="9"/>
      <c r="JR137" s="1">
        <f t="shared" si="38"/>
        <v>184861.94976000002</v>
      </c>
      <c r="JS137" s="1">
        <f t="shared" si="38"/>
        <v>190955.08917000002</v>
      </c>
      <c r="JT137" s="1">
        <f t="shared" si="38"/>
        <v>184154.81949000005</v>
      </c>
      <c r="JU137" s="1">
        <f t="shared" si="36"/>
        <v>185846.24637000004</v>
      </c>
      <c r="JV137" s="1">
        <f t="shared" si="39"/>
        <v>34233.6944</v>
      </c>
      <c r="JW137" s="1">
        <f t="shared" si="39"/>
        <v>35362.053550000004</v>
      </c>
      <c r="JX137" s="1">
        <f t="shared" si="39"/>
        <v>34102.744350000008</v>
      </c>
      <c r="JY137" s="1">
        <f t="shared" si="37"/>
        <v>34415.971550000009</v>
      </c>
    </row>
    <row r="138" spans="1:285" x14ac:dyDescent="0.35">
      <c r="A138" s="2" t="s">
        <v>145</v>
      </c>
      <c r="B138" s="1">
        <v>368922</v>
      </c>
      <c r="C138" s="1">
        <v>366940</v>
      </c>
      <c r="D138" s="1">
        <v>373086</v>
      </c>
      <c r="E138" s="1">
        <v>382696</v>
      </c>
      <c r="F138" s="1">
        <v>327334.06</v>
      </c>
      <c r="G138" s="1">
        <v>340911.19400000002</v>
      </c>
      <c r="H138" s="1">
        <v>316329.15399999998</v>
      </c>
      <c r="I138" s="1">
        <v>323236.75300000003</v>
      </c>
      <c r="J138" s="1">
        <f t="shared" si="40"/>
        <v>69994.44</v>
      </c>
      <c r="K138" s="1">
        <f t="shared" si="41"/>
        <v>83848.070000000007</v>
      </c>
      <c r="L138" s="1">
        <f t="shared" si="42"/>
        <v>74481.967999999993</v>
      </c>
      <c r="M138" s="1">
        <f t="shared" si="43"/>
        <v>73226.937999999995</v>
      </c>
      <c r="N138" s="1">
        <f t="shared" si="44"/>
        <v>257339.62</v>
      </c>
      <c r="O138" s="1">
        <f t="shared" si="45"/>
        <v>257063.12400000001</v>
      </c>
      <c r="P138" s="1">
        <f t="shared" si="46"/>
        <v>241847.18599999999</v>
      </c>
      <c r="Q138" s="1">
        <f t="shared" si="47"/>
        <v>250009.81500000003</v>
      </c>
      <c r="R138" s="1">
        <v>0</v>
      </c>
      <c r="S138" s="1">
        <v>0</v>
      </c>
      <c r="T138" s="1">
        <v>0</v>
      </c>
      <c r="U138" s="1">
        <v>0</v>
      </c>
      <c r="V138" s="1">
        <v>0</v>
      </c>
      <c r="W138" s="1">
        <v>0</v>
      </c>
      <c r="X138" s="1">
        <v>0</v>
      </c>
      <c r="Y138" s="1">
        <v>0</v>
      </c>
      <c r="Z138" s="1">
        <v>0</v>
      </c>
      <c r="AA138" s="1">
        <v>0</v>
      </c>
      <c r="AB138" s="1">
        <v>0</v>
      </c>
      <c r="AC138" s="1">
        <v>0</v>
      </c>
      <c r="AD138" s="1">
        <v>0</v>
      </c>
      <c r="AE138" s="1">
        <v>0</v>
      </c>
      <c r="AF138" s="1">
        <v>0</v>
      </c>
      <c r="AG138" s="1">
        <v>0</v>
      </c>
      <c r="AH138" s="1">
        <v>0</v>
      </c>
      <c r="AI138" s="1">
        <v>0</v>
      </c>
      <c r="AJ138" s="1">
        <v>0</v>
      </c>
      <c r="AK138" s="1">
        <v>0</v>
      </c>
      <c r="AL138" s="1">
        <v>0</v>
      </c>
      <c r="AM138" s="1">
        <v>0</v>
      </c>
      <c r="AN138" s="1">
        <v>0</v>
      </c>
      <c r="AO138" s="1">
        <v>0</v>
      </c>
      <c r="AP138" s="1">
        <v>4200.7599999999993</v>
      </c>
      <c r="AQ138" s="1">
        <v>4827.43</v>
      </c>
      <c r="AR138" s="1">
        <v>4444.2399999999989</v>
      </c>
      <c r="AS138" s="1">
        <v>5542.2599999999993</v>
      </c>
      <c r="AT138" s="1">
        <v>0</v>
      </c>
      <c r="AU138" s="1">
        <v>4149.78</v>
      </c>
      <c r="AV138" s="1">
        <v>0</v>
      </c>
      <c r="AW138" s="1">
        <v>0</v>
      </c>
      <c r="AX138" s="1">
        <v>0</v>
      </c>
      <c r="AY138" s="1">
        <v>4827.43</v>
      </c>
      <c r="AZ138" s="1">
        <v>0</v>
      </c>
      <c r="BA138" s="1">
        <v>0</v>
      </c>
      <c r="BB138" s="1">
        <v>0</v>
      </c>
      <c r="BC138" s="1">
        <v>4444.2399999999989</v>
      </c>
      <c r="BD138" s="1">
        <v>0</v>
      </c>
      <c r="BE138" s="1">
        <v>0</v>
      </c>
      <c r="BF138" s="1">
        <v>5542.2599999999993</v>
      </c>
      <c r="BG138" s="1">
        <v>0</v>
      </c>
      <c r="BH138" s="1">
        <v>0</v>
      </c>
      <c r="BI138" s="1">
        <v>50.98</v>
      </c>
      <c r="BJ138" s="1">
        <v>0</v>
      </c>
      <c r="BK138" s="1">
        <v>0</v>
      </c>
      <c r="BL138" s="1">
        <v>0</v>
      </c>
      <c r="BM138" s="1">
        <v>0</v>
      </c>
      <c r="BN138" s="1">
        <v>0</v>
      </c>
      <c r="BO138" s="1">
        <v>0</v>
      </c>
      <c r="BP138" s="1">
        <v>0</v>
      </c>
      <c r="BQ138" s="1">
        <v>0</v>
      </c>
      <c r="BR138" s="1">
        <v>0</v>
      </c>
      <c r="BS138" s="1">
        <v>0</v>
      </c>
      <c r="BT138" s="1">
        <v>0</v>
      </c>
      <c r="BU138" s="1">
        <v>22575.99</v>
      </c>
      <c r="BV138" s="1">
        <v>28747.09</v>
      </c>
      <c r="BW138" s="1">
        <v>24735.741000000002</v>
      </c>
      <c r="BX138" s="1">
        <v>23037.037</v>
      </c>
      <c r="BY138" s="1">
        <v>22574.79</v>
      </c>
      <c r="BZ138" s="1">
        <v>28736.07</v>
      </c>
      <c r="CA138" s="1">
        <v>24690.276000000002</v>
      </c>
      <c r="CB138" s="1">
        <v>22988.171999999999</v>
      </c>
      <c r="CC138" s="1">
        <v>1.2</v>
      </c>
      <c r="CD138" s="1">
        <v>11.02</v>
      </c>
      <c r="CE138" s="1">
        <v>45.465000000000003</v>
      </c>
      <c r="CF138" s="1">
        <v>48.864999999999988</v>
      </c>
      <c r="CG138" s="1">
        <v>0</v>
      </c>
      <c r="CH138" s="1">
        <v>0</v>
      </c>
      <c r="CI138" s="1">
        <v>0</v>
      </c>
      <c r="CJ138" s="1">
        <v>0</v>
      </c>
      <c r="CK138" s="1">
        <v>0</v>
      </c>
      <c r="CL138" s="1">
        <v>0</v>
      </c>
      <c r="CM138" s="1">
        <v>0</v>
      </c>
      <c r="CN138" s="1">
        <v>0</v>
      </c>
      <c r="CO138" s="1">
        <v>0</v>
      </c>
      <c r="CP138" s="1">
        <v>0</v>
      </c>
      <c r="CQ138" s="1">
        <v>0</v>
      </c>
      <c r="CR138" s="1">
        <v>0</v>
      </c>
      <c r="CS138" s="1">
        <v>4659.29</v>
      </c>
      <c r="CT138" s="1">
        <v>5279.45</v>
      </c>
      <c r="CU138" s="1">
        <v>4194.5190000000002</v>
      </c>
      <c r="CV138" s="1">
        <v>3409.864</v>
      </c>
      <c r="CW138" s="1">
        <v>4659.29</v>
      </c>
      <c r="CX138" s="1">
        <v>5279.45</v>
      </c>
      <c r="CY138" s="1">
        <v>4194.5190000000002</v>
      </c>
      <c r="CZ138" s="1">
        <v>3409.864</v>
      </c>
      <c r="DA138" s="1">
        <v>0</v>
      </c>
      <c r="DB138" s="1">
        <v>0</v>
      </c>
      <c r="DC138" s="1">
        <v>0</v>
      </c>
      <c r="DD138" s="1">
        <v>0</v>
      </c>
      <c r="DE138" s="1">
        <v>0</v>
      </c>
      <c r="DF138" s="1">
        <v>0</v>
      </c>
      <c r="DG138" s="1">
        <v>0</v>
      </c>
      <c r="DH138" s="1">
        <v>0</v>
      </c>
      <c r="DI138" s="1">
        <v>0</v>
      </c>
      <c r="DJ138" s="1">
        <v>0</v>
      </c>
      <c r="DK138" s="1">
        <v>0</v>
      </c>
      <c r="DL138" s="1">
        <v>0</v>
      </c>
      <c r="DM138" s="1">
        <v>7778.9299999999994</v>
      </c>
      <c r="DN138" s="1">
        <v>9683.3100000000013</v>
      </c>
      <c r="DO138" s="1">
        <v>9612.7649999999994</v>
      </c>
      <c r="DP138" s="1">
        <v>7192.7170000000006</v>
      </c>
      <c r="DQ138" s="1">
        <v>7778.9299999999994</v>
      </c>
      <c r="DR138" s="1">
        <v>9683.3100000000013</v>
      </c>
      <c r="DS138" s="1">
        <v>9612.7649999999994</v>
      </c>
      <c r="DT138" s="1">
        <v>7192.7170000000006</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9706.59</v>
      </c>
      <c r="EL138" s="1">
        <v>11551.09</v>
      </c>
      <c r="EM138" s="1">
        <v>10303.004000000001</v>
      </c>
      <c r="EN138" s="1">
        <v>11166.588</v>
      </c>
      <c r="EO138" s="1">
        <v>9699.2000000000007</v>
      </c>
      <c r="EP138" s="1">
        <v>11547.57</v>
      </c>
      <c r="EQ138" s="1">
        <v>10298.236000000001</v>
      </c>
      <c r="ER138" s="1">
        <v>11163.342000000001</v>
      </c>
      <c r="ES138" s="1">
        <v>7.3900000000000006</v>
      </c>
      <c r="ET138" s="1">
        <v>3.52</v>
      </c>
      <c r="EU138" s="1">
        <v>4.7679999999999998</v>
      </c>
      <c r="EV138" s="1">
        <v>3.246</v>
      </c>
      <c r="EW138" s="1">
        <v>0</v>
      </c>
      <c r="EX138" s="1">
        <v>0</v>
      </c>
      <c r="EY138" s="1">
        <v>0</v>
      </c>
      <c r="EZ138" s="1">
        <v>0</v>
      </c>
      <c r="FA138" s="1">
        <v>0</v>
      </c>
      <c r="FB138" s="1">
        <v>0</v>
      </c>
      <c r="FC138" s="1">
        <v>0</v>
      </c>
      <c r="FD138" s="1">
        <v>0</v>
      </c>
      <c r="FE138" s="1">
        <v>500.77</v>
      </c>
      <c r="FF138" s="1">
        <v>560.86</v>
      </c>
      <c r="FG138" s="1">
        <v>626.44200000000001</v>
      </c>
      <c r="FH138" s="1">
        <v>560.08899999999994</v>
      </c>
      <c r="FI138" s="1">
        <v>0</v>
      </c>
      <c r="FJ138" s="1">
        <v>0</v>
      </c>
      <c r="FK138" s="1">
        <v>0</v>
      </c>
      <c r="FL138" s="1">
        <v>0</v>
      </c>
      <c r="FM138" s="1">
        <v>500.77</v>
      </c>
      <c r="FN138" s="1">
        <v>560.86</v>
      </c>
      <c r="FO138" s="1">
        <v>626.44200000000001</v>
      </c>
      <c r="FP138" s="1">
        <v>560.08899999999994</v>
      </c>
      <c r="FQ138" s="1">
        <v>0</v>
      </c>
      <c r="FR138" s="1">
        <v>0</v>
      </c>
      <c r="FS138" s="1">
        <v>0</v>
      </c>
      <c r="FT138" s="1">
        <v>0</v>
      </c>
      <c r="FU138" s="1">
        <v>0</v>
      </c>
      <c r="FV138" s="1">
        <v>0</v>
      </c>
      <c r="FW138" s="1">
        <v>0</v>
      </c>
      <c r="FX138" s="1">
        <v>0</v>
      </c>
      <c r="FY138" s="1">
        <v>0</v>
      </c>
      <c r="FZ138" s="1">
        <v>0</v>
      </c>
      <c r="GA138" s="1">
        <v>0</v>
      </c>
      <c r="GB138" s="1">
        <v>0</v>
      </c>
      <c r="GC138" s="1">
        <v>945.72</v>
      </c>
      <c r="GD138" s="1">
        <v>1139.0999999999999</v>
      </c>
      <c r="GE138" s="1">
        <v>1145.002</v>
      </c>
      <c r="GF138" s="1">
        <v>1176.2239999999999</v>
      </c>
      <c r="GG138" s="1">
        <v>945.72</v>
      </c>
      <c r="GH138" s="1">
        <v>1139.0999999999999</v>
      </c>
      <c r="GI138" s="1">
        <v>1145.002</v>
      </c>
      <c r="GJ138" s="1">
        <v>1176.2239999999999</v>
      </c>
      <c r="GK138" s="1">
        <v>0</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8828.5300000000007</v>
      </c>
      <c r="HF138" s="1">
        <v>12199.28</v>
      </c>
      <c r="HG138" s="1">
        <v>11447.453</v>
      </c>
      <c r="HH138" s="1">
        <v>11923.43</v>
      </c>
      <c r="HI138" s="1">
        <v>8828.5300000000007</v>
      </c>
      <c r="HJ138" s="1">
        <v>12199.28</v>
      </c>
      <c r="HK138" s="1">
        <v>11447.453</v>
      </c>
      <c r="HL138" s="1">
        <v>11923.43</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10797.86</v>
      </c>
      <c r="IP138" s="1">
        <v>9860.4599999999991</v>
      </c>
      <c r="IQ138" s="1">
        <v>7972.8019999999997</v>
      </c>
      <c r="IR138" s="1">
        <v>9218.7289999999994</v>
      </c>
      <c r="IS138" s="1">
        <v>401.35</v>
      </c>
      <c r="IT138" s="1">
        <v>369.12</v>
      </c>
      <c r="IU138" s="1">
        <v>363.24</v>
      </c>
      <c r="IV138" s="1">
        <v>180.44</v>
      </c>
      <c r="IW138" s="1">
        <v>73.490000000000009</v>
      </c>
      <c r="IX138" s="1">
        <v>0</v>
      </c>
      <c r="IY138" s="1">
        <v>32.625999999999998</v>
      </c>
      <c r="IZ138" s="1">
        <v>104.93</v>
      </c>
      <c r="JA138" s="1">
        <v>0</v>
      </c>
      <c r="JB138" s="1">
        <v>0</v>
      </c>
      <c r="JC138" s="1">
        <v>0</v>
      </c>
      <c r="JD138" s="1">
        <v>0</v>
      </c>
      <c r="JE138" s="1">
        <v>0</v>
      </c>
      <c r="JF138" s="1">
        <v>0</v>
      </c>
      <c r="JG138" s="1">
        <v>0</v>
      </c>
      <c r="JH138" s="1">
        <v>0</v>
      </c>
      <c r="JI138" s="1">
        <v>0</v>
      </c>
      <c r="JJ138" s="1">
        <v>0</v>
      </c>
      <c r="JK138" s="1">
        <v>0</v>
      </c>
      <c r="JL138" s="1">
        <v>0</v>
      </c>
      <c r="JM138" s="1">
        <v>10323.02</v>
      </c>
      <c r="JN138" s="1">
        <v>9491.34</v>
      </c>
      <c r="JO138" s="1">
        <v>7576.9359999999997</v>
      </c>
      <c r="JP138" s="1">
        <v>8933.3590000000004</v>
      </c>
      <c r="JQ138" s="9"/>
      <c r="JR138" s="1">
        <f t="shared" si="38"/>
        <v>69481.697400000005</v>
      </c>
      <c r="JS138" s="1">
        <f t="shared" si="38"/>
        <v>69407.043480000008</v>
      </c>
      <c r="JT138" s="1">
        <f t="shared" si="38"/>
        <v>65298.74022</v>
      </c>
      <c r="JU138" s="1">
        <f t="shared" si="36"/>
        <v>67502.650050000011</v>
      </c>
      <c r="JV138" s="1">
        <f t="shared" si="39"/>
        <v>12866.981</v>
      </c>
      <c r="JW138" s="1">
        <f t="shared" si="39"/>
        <v>12853.156200000001</v>
      </c>
      <c r="JX138" s="1">
        <f t="shared" si="39"/>
        <v>12092.3593</v>
      </c>
      <c r="JY138" s="1">
        <f t="shared" si="37"/>
        <v>12500.490750000003</v>
      </c>
    </row>
    <row r="139" spans="1:285" x14ac:dyDescent="0.35">
      <c r="A139" s="2" t="s">
        <v>146</v>
      </c>
      <c r="B139" s="1">
        <v>100443</v>
      </c>
      <c r="C139" s="1">
        <v>100166</v>
      </c>
      <c r="D139" s="1">
        <v>100693</v>
      </c>
      <c r="E139" s="1">
        <v>101605</v>
      </c>
      <c r="F139" s="1">
        <v>24600.758000000002</v>
      </c>
      <c r="G139" s="1">
        <v>29109.06</v>
      </c>
      <c r="H139" s="1">
        <v>29326.125</v>
      </c>
      <c r="I139" s="1">
        <v>33429.913</v>
      </c>
      <c r="J139" s="1">
        <f t="shared" si="40"/>
        <v>14570.767</v>
      </c>
      <c r="K139" s="1">
        <f t="shared" si="41"/>
        <v>18162.098000000002</v>
      </c>
      <c r="L139" s="1">
        <f t="shared" si="42"/>
        <v>18461.852000000003</v>
      </c>
      <c r="M139" s="1">
        <f t="shared" si="43"/>
        <v>21300.487000000001</v>
      </c>
      <c r="N139" s="1">
        <f t="shared" si="44"/>
        <v>10029.991000000002</v>
      </c>
      <c r="O139" s="1">
        <f t="shared" si="45"/>
        <v>10946.962</v>
      </c>
      <c r="P139" s="1">
        <f t="shared" si="46"/>
        <v>10864.272999999997</v>
      </c>
      <c r="Q139" s="1">
        <f t="shared" si="47"/>
        <v>12129.425999999999</v>
      </c>
      <c r="R139" s="1">
        <v>1229.02</v>
      </c>
      <c r="S139" s="1">
        <v>1104.02</v>
      </c>
      <c r="T139" s="1">
        <v>913.02</v>
      </c>
      <c r="U139" s="1">
        <v>833.3</v>
      </c>
      <c r="V139" s="1">
        <v>1229.02</v>
      </c>
      <c r="W139" s="1">
        <v>0</v>
      </c>
      <c r="X139" s="1">
        <v>0</v>
      </c>
      <c r="Y139" s="1">
        <v>1104.02</v>
      </c>
      <c r="Z139" s="1">
        <v>0</v>
      </c>
      <c r="AA139" s="1">
        <v>0</v>
      </c>
      <c r="AB139" s="1">
        <v>0</v>
      </c>
      <c r="AC139" s="1">
        <v>0</v>
      </c>
      <c r="AD139" s="1">
        <v>913.02</v>
      </c>
      <c r="AE139" s="1">
        <v>833.3</v>
      </c>
      <c r="AF139" s="1">
        <v>0</v>
      </c>
      <c r="AG139" s="1">
        <v>0</v>
      </c>
      <c r="AH139" s="1">
        <v>0</v>
      </c>
      <c r="AI139" s="1">
        <v>0</v>
      </c>
      <c r="AJ139" s="1">
        <v>0</v>
      </c>
      <c r="AK139" s="1">
        <v>0</v>
      </c>
      <c r="AL139" s="1">
        <v>0</v>
      </c>
      <c r="AM139" s="1">
        <v>0</v>
      </c>
      <c r="AN139" s="1">
        <v>0</v>
      </c>
      <c r="AO139" s="1">
        <v>0</v>
      </c>
      <c r="AP139" s="1">
        <v>2862.0129999999999</v>
      </c>
      <c r="AQ139" s="1">
        <v>3751.08</v>
      </c>
      <c r="AR139" s="1">
        <v>3583.6800000000003</v>
      </c>
      <c r="AS139" s="1">
        <v>4066.97</v>
      </c>
      <c r="AT139" s="1">
        <v>0</v>
      </c>
      <c r="AU139" s="1">
        <v>2862.0129999999999</v>
      </c>
      <c r="AV139" s="1">
        <v>0</v>
      </c>
      <c r="AW139" s="1">
        <v>0</v>
      </c>
      <c r="AX139" s="1">
        <v>0</v>
      </c>
      <c r="AY139" s="1">
        <v>3751.08</v>
      </c>
      <c r="AZ139" s="1">
        <v>0</v>
      </c>
      <c r="BA139" s="1">
        <v>0</v>
      </c>
      <c r="BB139" s="1">
        <v>1799.6799999999998</v>
      </c>
      <c r="BC139" s="1">
        <v>1784.0000000000005</v>
      </c>
      <c r="BD139" s="1">
        <v>0</v>
      </c>
      <c r="BE139" s="1">
        <v>4066.97</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5293.6409999999996</v>
      </c>
      <c r="BV139" s="1">
        <v>8375.6260000000002</v>
      </c>
      <c r="BW139" s="1">
        <v>8925.0840000000007</v>
      </c>
      <c r="BX139" s="1">
        <v>9116.0829999999987</v>
      </c>
      <c r="BY139" s="1">
        <v>5293.6409999999996</v>
      </c>
      <c r="BZ139" s="1">
        <v>8375.6260000000002</v>
      </c>
      <c r="CA139" s="1">
        <v>8925.0840000000007</v>
      </c>
      <c r="CB139" s="1">
        <v>9116.0829999999987</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2181.2440000000001</v>
      </c>
      <c r="CT139" s="1">
        <v>1339.2809999999999</v>
      </c>
      <c r="CU139" s="1">
        <v>1089.5119999999999</v>
      </c>
      <c r="CV139" s="1">
        <v>1288.4770000000001</v>
      </c>
      <c r="CW139" s="1">
        <v>2181.2440000000001</v>
      </c>
      <c r="CX139" s="1">
        <v>1339.2809999999999</v>
      </c>
      <c r="CY139" s="1">
        <v>1089.5119999999999</v>
      </c>
      <c r="CZ139" s="1">
        <v>1288.4770000000001</v>
      </c>
      <c r="DA139" s="1">
        <v>0</v>
      </c>
      <c r="DB139" s="1">
        <v>0</v>
      </c>
      <c r="DC139" s="1">
        <v>0</v>
      </c>
      <c r="DD139" s="1">
        <v>0</v>
      </c>
      <c r="DE139" s="1">
        <v>0</v>
      </c>
      <c r="DF139" s="1">
        <v>0</v>
      </c>
      <c r="DG139" s="1">
        <v>0</v>
      </c>
      <c r="DH139" s="1">
        <v>0</v>
      </c>
      <c r="DI139" s="1">
        <v>0</v>
      </c>
      <c r="DJ139" s="1">
        <v>0</v>
      </c>
      <c r="DK139" s="1">
        <v>0</v>
      </c>
      <c r="DL139" s="1">
        <v>0</v>
      </c>
      <c r="DM139" s="1">
        <v>2389.39</v>
      </c>
      <c r="DN139" s="1">
        <v>2523.7199999999998</v>
      </c>
      <c r="DO139" s="1">
        <v>2644.8380000000002</v>
      </c>
      <c r="DP139" s="1">
        <v>2349.2440000000001</v>
      </c>
      <c r="DQ139" s="1">
        <v>2389.39</v>
      </c>
      <c r="DR139" s="1">
        <v>2523.7199999999998</v>
      </c>
      <c r="DS139" s="1">
        <v>2644.8380000000002</v>
      </c>
      <c r="DT139" s="1">
        <v>2349.2440000000001</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521.01199999999994</v>
      </c>
      <c r="EL139" s="1">
        <v>741.06299999999999</v>
      </c>
      <c r="EM139" s="1">
        <v>820.39499999999998</v>
      </c>
      <c r="EN139" s="1">
        <v>2717.4380000000001</v>
      </c>
      <c r="EO139" s="1">
        <v>521.01199999999994</v>
      </c>
      <c r="EP139" s="1">
        <v>741.06299999999999</v>
      </c>
      <c r="EQ139" s="1">
        <v>820.39499999999998</v>
      </c>
      <c r="ER139" s="1">
        <v>2717.4380000000001</v>
      </c>
      <c r="ES139" s="1">
        <v>0</v>
      </c>
      <c r="ET139" s="1">
        <v>0</v>
      </c>
      <c r="EU139" s="1">
        <v>0</v>
      </c>
      <c r="EV139" s="1">
        <v>0</v>
      </c>
      <c r="EW139" s="1">
        <v>0</v>
      </c>
      <c r="EX139" s="1">
        <v>0</v>
      </c>
      <c r="EY139" s="1">
        <v>0</v>
      </c>
      <c r="EZ139" s="1">
        <v>0</v>
      </c>
      <c r="FA139" s="1">
        <v>0</v>
      </c>
      <c r="FB139" s="1">
        <v>0</v>
      </c>
      <c r="FC139" s="1">
        <v>0</v>
      </c>
      <c r="FD139" s="1">
        <v>0</v>
      </c>
      <c r="FE139" s="1">
        <v>77.558999999999997</v>
      </c>
      <c r="FF139" s="1">
        <v>61.488</v>
      </c>
      <c r="FG139" s="1">
        <v>20.683</v>
      </c>
      <c r="FH139" s="1">
        <v>15.414999999999999</v>
      </c>
      <c r="FI139" s="1">
        <v>77.558999999999997</v>
      </c>
      <c r="FJ139" s="1">
        <v>61.488</v>
      </c>
      <c r="FK139" s="1">
        <v>11.583</v>
      </c>
      <c r="FL139" s="1">
        <v>15.414999999999999</v>
      </c>
      <c r="FM139" s="1">
        <v>0</v>
      </c>
      <c r="FN139" s="1">
        <v>0</v>
      </c>
      <c r="FO139" s="1">
        <v>9.1</v>
      </c>
      <c r="FP139" s="1">
        <v>0</v>
      </c>
      <c r="FQ139" s="1">
        <v>0</v>
      </c>
      <c r="FR139" s="1">
        <v>0</v>
      </c>
      <c r="FS139" s="1">
        <v>0</v>
      </c>
      <c r="FT139" s="1">
        <v>0</v>
      </c>
      <c r="FU139" s="1">
        <v>0</v>
      </c>
      <c r="FV139" s="1">
        <v>0</v>
      </c>
      <c r="FW139" s="1">
        <v>0</v>
      </c>
      <c r="FX139" s="1">
        <v>0</v>
      </c>
      <c r="FY139" s="1">
        <v>0</v>
      </c>
      <c r="FZ139" s="1">
        <v>0</v>
      </c>
      <c r="GA139" s="1">
        <v>0</v>
      </c>
      <c r="GB139" s="1">
        <v>0</v>
      </c>
      <c r="GC139" s="1">
        <v>16.888000000000002</v>
      </c>
      <c r="GD139" s="1">
        <v>12.82</v>
      </c>
      <c r="GE139" s="1">
        <v>18.940000000000001</v>
      </c>
      <c r="GF139" s="1">
        <v>13.26</v>
      </c>
      <c r="GG139" s="1">
        <v>16.888000000000002</v>
      </c>
      <c r="GH139" s="1">
        <v>12.82</v>
      </c>
      <c r="GI139" s="1">
        <v>18.940000000000001</v>
      </c>
      <c r="GJ139" s="1">
        <v>13.26</v>
      </c>
      <c r="GK139" s="1">
        <v>0</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0</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253</v>
      </c>
      <c r="IQ139" s="1">
        <v>445.7</v>
      </c>
      <c r="IR139" s="1">
        <v>900.3</v>
      </c>
      <c r="IS139" s="1">
        <v>0</v>
      </c>
      <c r="IT139" s="1">
        <v>5.82</v>
      </c>
      <c r="IU139" s="1">
        <v>445.7</v>
      </c>
      <c r="IV139" s="1">
        <v>900.3</v>
      </c>
      <c r="IW139" s="1">
        <v>0</v>
      </c>
      <c r="IX139" s="1">
        <v>247.18</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0</v>
      </c>
      <c r="JO139" s="1">
        <v>0</v>
      </c>
      <c r="JP139" s="1">
        <v>0</v>
      </c>
      <c r="JQ139" s="9"/>
      <c r="JR139" s="1">
        <f t="shared" si="38"/>
        <v>2708.0975700000008</v>
      </c>
      <c r="JS139" s="1">
        <f t="shared" si="38"/>
        <v>2955.67974</v>
      </c>
      <c r="JT139" s="1">
        <f t="shared" si="38"/>
        <v>2933.3537099999994</v>
      </c>
      <c r="JU139" s="1">
        <f t="shared" si="36"/>
        <v>3274.9450200000001</v>
      </c>
      <c r="JV139" s="1">
        <f t="shared" si="39"/>
        <v>501.49955000000011</v>
      </c>
      <c r="JW139" s="1">
        <f t="shared" si="39"/>
        <v>547.34810000000004</v>
      </c>
      <c r="JX139" s="1">
        <f t="shared" si="39"/>
        <v>543.21364999999992</v>
      </c>
      <c r="JY139" s="1">
        <f t="shared" si="37"/>
        <v>606.47130000000004</v>
      </c>
    </row>
    <row r="140" spans="1:285" x14ac:dyDescent="0.35">
      <c r="A140" s="2" t="s">
        <v>147</v>
      </c>
      <c r="B140" s="1">
        <v>304169</v>
      </c>
      <c r="C140" s="1">
        <v>300013</v>
      </c>
      <c r="D140" s="1">
        <v>299164</v>
      </c>
      <c r="E140" s="1">
        <v>300225</v>
      </c>
      <c r="F140" s="1">
        <v>230178.402</v>
      </c>
      <c r="G140" s="1">
        <v>227142.91099999999</v>
      </c>
      <c r="H140" s="1">
        <v>219891.421</v>
      </c>
      <c r="I140" s="1">
        <v>217943.25</v>
      </c>
      <c r="J140" s="1">
        <f t="shared" si="40"/>
        <v>35417.218000000001</v>
      </c>
      <c r="K140" s="1">
        <f t="shared" si="41"/>
        <v>31169.352000000003</v>
      </c>
      <c r="L140" s="1">
        <f t="shared" si="42"/>
        <v>22623.962</v>
      </c>
      <c r="M140" s="1">
        <f t="shared" si="43"/>
        <v>31778.75</v>
      </c>
      <c r="N140" s="1">
        <f t="shared" si="44"/>
        <v>194761.18400000001</v>
      </c>
      <c r="O140" s="1">
        <f t="shared" si="45"/>
        <v>195973.55899999998</v>
      </c>
      <c r="P140" s="1">
        <f t="shared" si="46"/>
        <v>197267.459</v>
      </c>
      <c r="Q140" s="1">
        <f t="shared" si="47"/>
        <v>186164.5</v>
      </c>
      <c r="R140" s="1">
        <v>0</v>
      </c>
      <c r="S140" s="1">
        <v>0</v>
      </c>
      <c r="T140" s="1">
        <v>3.18</v>
      </c>
      <c r="U140" s="1">
        <v>6233.72</v>
      </c>
      <c r="V140" s="1">
        <v>0</v>
      </c>
      <c r="W140" s="1">
        <v>0</v>
      </c>
      <c r="X140" s="1">
        <v>0</v>
      </c>
      <c r="Y140" s="1">
        <v>0</v>
      </c>
      <c r="Z140" s="1">
        <v>0</v>
      </c>
      <c r="AA140" s="1">
        <v>0</v>
      </c>
      <c r="AB140" s="1">
        <v>0</v>
      </c>
      <c r="AC140" s="1">
        <v>0</v>
      </c>
      <c r="AD140" s="1">
        <v>3.18</v>
      </c>
      <c r="AE140" s="1">
        <v>0</v>
      </c>
      <c r="AF140" s="1">
        <v>0</v>
      </c>
      <c r="AG140" s="1">
        <v>6233.72</v>
      </c>
      <c r="AH140" s="1">
        <v>0</v>
      </c>
      <c r="AI140" s="1">
        <v>0</v>
      </c>
      <c r="AJ140" s="1">
        <v>0</v>
      </c>
      <c r="AK140" s="1">
        <v>0</v>
      </c>
      <c r="AL140" s="1">
        <v>0</v>
      </c>
      <c r="AM140" s="1">
        <v>0</v>
      </c>
      <c r="AN140" s="1">
        <v>0</v>
      </c>
      <c r="AO140" s="1">
        <v>0</v>
      </c>
      <c r="AP140" s="1">
        <v>12192.37</v>
      </c>
      <c r="AQ140" s="1">
        <v>11384.74</v>
      </c>
      <c r="AR140" s="1">
        <v>4295.99</v>
      </c>
      <c r="AS140" s="1">
        <v>4246.8900000000003</v>
      </c>
      <c r="AT140" s="1">
        <v>11632.380000000001</v>
      </c>
      <c r="AU140" s="1">
        <v>559.99</v>
      </c>
      <c r="AV140" s="1">
        <v>0</v>
      </c>
      <c r="AW140" s="1">
        <v>0</v>
      </c>
      <c r="AX140" s="1">
        <v>10927.829999999998</v>
      </c>
      <c r="AY140" s="1">
        <v>456.91000000000167</v>
      </c>
      <c r="AZ140" s="1">
        <v>0</v>
      </c>
      <c r="BA140" s="1">
        <v>0</v>
      </c>
      <c r="BB140" s="1">
        <v>0</v>
      </c>
      <c r="BC140" s="1">
        <v>0</v>
      </c>
      <c r="BD140" s="1">
        <v>0</v>
      </c>
      <c r="BE140" s="1">
        <v>0</v>
      </c>
      <c r="BF140" s="1">
        <v>4246.8900000000003</v>
      </c>
      <c r="BG140" s="1">
        <v>0</v>
      </c>
      <c r="BH140" s="1">
        <v>0</v>
      </c>
      <c r="BI140" s="1">
        <v>0</v>
      </c>
      <c r="BJ140" s="1">
        <v>0</v>
      </c>
      <c r="BK140" s="1">
        <v>0</v>
      </c>
      <c r="BL140" s="1">
        <v>0</v>
      </c>
      <c r="BM140" s="1">
        <v>0</v>
      </c>
      <c r="BN140" s="1">
        <v>0</v>
      </c>
      <c r="BO140" s="1">
        <v>0</v>
      </c>
      <c r="BP140" s="1">
        <v>0</v>
      </c>
      <c r="BQ140" s="1">
        <v>0</v>
      </c>
      <c r="BR140" s="1">
        <v>0</v>
      </c>
      <c r="BS140" s="1">
        <v>0</v>
      </c>
      <c r="BT140" s="1">
        <v>0</v>
      </c>
      <c r="BU140" s="1">
        <v>7226.24</v>
      </c>
      <c r="BV140" s="1">
        <v>6692.857</v>
      </c>
      <c r="BW140" s="1">
        <v>7130.7150000000001</v>
      </c>
      <c r="BX140" s="1">
        <v>5696.5300000000007</v>
      </c>
      <c r="BY140" s="1">
        <v>7226.24</v>
      </c>
      <c r="BZ140" s="1">
        <v>6692.857</v>
      </c>
      <c r="CA140" s="1">
        <v>7130.7150000000001</v>
      </c>
      <c r="CB140" s="1">
        <v>5696.5300000000007</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5681.6959999999999</v>
      </c>
      <c r="CT140" s="1">
        <v>3853.8910000000001</v>
      </c>
      <c r="CU140" s="1">
        <v>3738.027</v>
      </c>
      <c r="CV140" s="1">
        <v>5182.8899999999994</v>
      </c>
      <c r="CW140" s="1">
        <v>5681.6959999999999</v>
      </c>
      <c r="CX140" s="1">
        <v>3853.8910000000001</v>
      </c>
      <c r="CY140" s="1">
        <v>3738.027</v>
      </c>
      <c r="CZ140" s="1">
        <v>5182.8899999999994</v>
      </c>
      <c r="DA140" s="1">
        <v>0</v>
      </c>
      <c r="DB140" s="1">
        <v>0</v>
      </c>
      <c r="DC140" s="1">
        <v>0</v>
      </c>
      <c r="DD140" s="1">
        <v>0</v>
      </c>
      <c r="DE140" s="1">
        <v>0</v>
      </c>
      <c r="DF140" s="1">
        <v>0</v>
      </c>
      <c r="DG140" s="1">
        <v>0</v>
      </c>
      <c r="DH140" s="1">
        <v>0</v>
      </c>
      <c r="DI140" s="1">
        <v>0</v>
      </c>
      <c r="DJ140" s="1">
        <v>0</v>
      </c>
      <c r="DK140" s="1">
        <v>0</v>
      </c>
      <c r="DL140" s="1">
        <v>0</v>
      </c>
      <c r="DM140" s="1">
        <v>4663.0140000000001</v>
      </c>
      <c r="DN140" s="1">
        <v>3789.46</v>
      </c>
      <c r="DO140" s="1">
        <v>2696.3670000000002</v>
      </c>
      <c r="DP140" s="1">
        <v>4021.81</v>
      </c>
      <c r="DQ140" s="1">
        <v>4663.0140000000001</v>
      </c>
      <c r="DR140" s="1">
        <v>3789.46</v>
      </c>
      <c r="DS140" s="1">
        <v>2696.3670000000002</v>
      </c>
      <c r="DT140" s="1">
        <v>4021.81</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4133.4139999999998</v>
      </c>
      <c r="EL140" s="1">
        <v>4165.8140000000003</v>
      </c>
      <c r="EM140" s="1">
        <v>3796.992999999999</v>
      </c>
      <c r="EN140" s="1">
        <v>4226.84</v>
      </c>
      <c r="EO140" s="1">
        <v>4133.4139999999998</v>
      </c>
      <c r="EP140" s="1">
        <v>4165.8140000000003</v>
      </c>
      <c r="EQ140" s="1">
        <v>3796.992999999999</v>
      </c>
      <c r="ER140" s="1">
        <v>4226.84</v>
      </c>
      <c r="ES140" s="1">
        <v>0</v>
      </c>
      <c r="ET140" s="1">
        <v>0</v>
      </c>
      <c r="EU140" s="1">
        <v>0</v>
      </c>
      <c r="EV140" s="1">
        <v>0</v>
      </c>
      <c r="EW140" s="1">
        <v>0</v>
      </c>
      <c r="EX140" s="1">
        <v>0</v>
      </c>
      <c r="EY140" s="1">
        <v>0</v>
      </c>
      <c r="EZ140" s="1">
        <v>0</v>
      </c>
      <c r="FA140" s="1">
        <v>0</v>
      </c>
      <c r="FB140" s="1">
        <v>0</v>
      </c>
      <c r="FC140" s="1">
        <v>0</v>
      </c>
      <c r="FD140" s="1">
        <v>0</v>
      </c>
      <c r="FE140" s="1">
        <v>54.855999999999987</v>
      </c>
      <c r="FF140" s="1">
        <v>93.557999999999993</v>
      </c>
      <c r="FG140" s="1">
        <v>191.13800000000001</v>
      </c>
      <c r="FH140" s="1">
        <v>330.66</v>
      </c>
      <c r="FI140" s="1">
        <v>0</v>
      </c>
      <c r="FJ140" s="1">
        <v>0</v>
      </c>
      <c r="FK140" s="1">
        <v>0</v>
      </c>
      <c r="FL140" s="1">
        <v>92.34</v>
      </c>
      <c r="FM140" s="1">
        <v>54.855999999999987</v>
      </c>
      <c r="FN140" s="1">
        <v>93.557999999999993</v>
      </c>
      <c r="FO140" s="1">
        <v>191.13800000000001</v>
      </c>
      <c r="FP140" s="1">
        <v>238.32</v>
      </c>
      <c r="FQ140" s="1">
        <v>0</v>
      </c>
      <c r="FR140" s="1">
        <v>0</v>
      </c>
      <c r="FS140" s="1">
        <v>0</v>
      </c>
      <c r="FT140" s="1">
        <v>0</v>
      </c>
      <c r="FU140" s="1">
        <v>0</v>
      </c>
      <c r="FV140" s="1">
        <v>0</v>
      </c>
      <c r="FW140" s="1">
        <v>0</v>
      </c>
      <c r="FX140" s="1">
        <v>0</v>
      </c>
      <c r="FY140" s="1">
        <v>0</v>
      </c>
      <c r="FZ140" s="1">
        <v>0</v>
      </c>
      <c r="GA140" s="1">
        <v>0</v>
      </c>
      <c r="GB140" s="1">
        <v>0</v>
      </c>
      <c r="GC140" s="1">
        <v>590.65800000000002</v>
      </c>
      <c r="GD140" s="1">
        <v>939.61199999999997</v>
      </c>
      <c r="GE140" s="1">
        <v>471.33199999999999</v>
      </c>
      <c r="GF140" s="1">
        <v>379.04</v>
      </c>
      <c r="GG140" s="1">
        <v>590.65800000000002</v>
      </c>
      <c r="GH140" s="1">
        <v>939.61199999999997</v>
      </c>
      <c r="GI140" s="1">
        <v>471.33199999999999</v>
      </c>
      <c r="GJ140" s="1">
        <v>379.04</v>
      </c>
      <c r="GK140" s="1">
        <v>0</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874.97</v>
      </c>
      <c r="HF140" s="1">
        <v>249.42</v>
      </c>
      <c r="HG140" s="1">
        <v>300.22000000000003</v>
      </c>
      <c r="HH140" s="1">
        <v>1460.37</v>
      </c>
      <c r="HI140" s="1">
        <v>874.97</v>
      </c>
      <c r="HJ140" s="1">
        <v>249.42</v>
      </c>
      <c r="HK140" s="1">
        <v>300.22000000000003</v>
      </c>
      <c r="HL140" s="1">
        <v>1460.37</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0</v>
      </c>
      <c r="JO140" s="1">
        <v>0</v>
      </c>
      <c r="JP140" s="1">
        <v>0</v>
      </c>
      <c r="JQ140" s="9"/>
      <c r="JR140" s="1">
        <f t="shared" si="38"/>
        <v>52585.519680000005</v>
      </c>
      <c r="JS140" s="1">
        <f t="shared" si="38"/>
        <v>52912.860929999995</v>
      </c>
      <c r="JT140" s="1">
        <f t="shared" si="38"/>
        <v>53262.213930000005</v>
      </c>
      <c r="JU140" s="1">
        <f t="shared" si="36"/>
        <v>50264.415000000001</v>
      </c>
      <c r="JV140" s="1">
        <f t="shared" si="39"/>
        <v>9738.0592000000015</v>
      </c>
      <c r="JW140" s="1">
        <f t="shared" si="39"/>
        <v>9798.6779499999993</v>
      </c>
      <c r="JX140" s="1">
        <f t="shared" si="39"/>
        <v>9863.3729500000009</v>
      </c>
      <c r="JY140" s="1">
        <f t="shared" si="37"/>
        <v>9308.2250000000004</v>
      </c>
    </row>
    <row r="141" spans="1:285" x14ac:dyDescent="0.35">
      <c r="A141" s="2" t="s">
        <v>148</v>
      </c>
      <c r="B141" s="1">
        <v>105008</v>
      </c>
      <c r="C141" s="1">
        <v>106883</v>
      </c>
      <c r="D141" s="1">
        <v>108305</v>
      </c>
      <c r="E141" s="1">
        <v>110192</v>
      </c>
      <c r="F141" s="1">
        <v>43013.71</v>
      </c>
      <c r="G141" s="1">
        <v>41573.279999999999</v>
      </c>
      <c r="H141" s="1">
        <v>46204.38</v>
      </c>
      <c r="I141" s="1">
        <v>27707.02</v>
      </c>
      <c r="J141" s="1">
        <f t="shared" si="40"/>
        <v>27236.459999999992</v>
      </c>
      <c r="K141" s="1">
        <f t="shared" si="41"/>
        <v>26821.479999999996</v>
      </c>
      <c r="L141" s="1">
        <f t="shared" si="42"/>
        <v>33300.030000000006</v>
      </c>
      <c r="M141" s="1">
        <f t="shared" si="43"/>
        <v>18170.23</v>
      </c>
      <c r="N141" s="1">
        <f t="shared" si="44"/>
        <v>15777.250000000007</v>
      </c>
      <c r="O141" s="1">
        <f t="shared" si="45"/>
        <v>14751.800000000003</v>
      </c>
      <c r="P141" s="1">
        <f t="shared" si="46"/>
        <v>12904.349999999991</v>
      </c>
      <c r="Q141" s="1">
        <f t="shared" si="47"/>
        <v>9536.7900000000009</v>
      </c>
      <c r="R141" s="1">
        <v>0</v>
      </c>
      <c r="S141" s="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1">
        <v>0</v>
      </c>
      <c r="AJ141" s="1">
        <v>0</v>
      </c>
      <c r="AK141" s="1">
        <v>0</v>
      </c>
      <c r="AL141" s="1">
        <v>0</v>
      </c>
      <c r="AM141" s="1">
        <v>0</v>
      </c>
      <c r="AN141" s="1">
        <v>0</v>
      </c>
      <c r="AO141" s="1">
        <v>0</v>
      </c>
      <c r="AP141" s="1">
        <v>9673.23</v>
      </c>
      <c r="AQ141" s="1">
        <v>9091.57</v>
      </c>
      <c r="AR141" s="1">
        <v>8132.3700000000008</v>
      </c>
      <c r="AS141" s="1">
        <v>8948.43</v>
      </c>
      <c r="AT141" s="1">
        <v>0</v>
      </c>
      <c r="AU141" s="1">
        <v>9673.23</v>
      </c>
      <c r="AV141" s="1">
        <v>0</v>
      </c>
      <c r="AW141" s="1">
        <v>0</v>
      </c>
      <c r="AX141" s="1">
        <v>0</v>
      </c>
      <c r="AY141" s="1">
        <v>9091.57</v>
      </c>
      <c r="AZ141" s="1">
        <v>0</v>
      </c>
      <c r="BA141" s="1">
        <v>0</v>
      </c>
      <c r="BB141" s="1">
        <v>0</v>
      </c>
      <c r="BC141" s="1">
        <v>8132.3700000000008</v>
      </c>
      <c r="BD141" s="1">
        <v>0</v>
      </c>
      <c r="BE141" s="1">
        <v>0</v>
      </c>
      <c r="BF141" s="1">
        <v>8948.43</v>
      </c>
      <c r="BG141" s="1">
        <v>0</v>
      </c>
      <c r="BH141" s="1">
        <v>0</v>
      </c>
      <c r="BI141" s="1">
        <v>0</v>
      </c>
      <c r="BJ141" s="1">
        <v>0</v>
      </c>
      <c r="BK141" s="1">
        <v>0</v>
      </c>
      <c r="BL141" s="1">
        <v>0</v>
      </c>
      <c r="BM141" s="1">
        <v>0</v>
      </c>
      <c r="BN141" s="1">
        <v>0</v>
      </c>
      <c r="BO141" s="1">
        <v>0</v>
      </c>
      <c r="BP141" s="1">
        <v>0</v>
      </c>
      <c r="BQ141" s="1">
        <v>0</v>
      </c>
      <c r="BR141" s="1">
        <v>0</v>
      </c>
      <c r="BS141" s="1">
        <v>0</v>
      </c>
      <c r="BT141" s="1">
        <v>0</v>
      </c>
      <c r="BU141" s="1">
        <v>8772.76</v>
      </c>
      <c r="BV141" s="1">
        <v>7743.8799999999992</v>
      </c>
      <c r="BW141" s="1">
        <v>8866.89</v>
      </c>
      <c r="BX141" s="1">
        <v>3583.01</v>
      </c>
      <c r="BY141" s="1">
        <v>8772.76</v>
      </c>
      <c r="BZ141" s="1">
        <v>7743.8799999999992</v>
      </c>
      <c r="CA141" s="1">
        <v>8866.89</v>
      </c>
      <c r="CB141" s="1">
        <v>3583.01</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2765.49</v>
      </c>
      <c r="CT141" s="1">
        <v>3327.14</v>
      </c>
      <c r="CU141" s="1">
        <v>7932.68</v>
      </c>
      <c r="CV141" s="1">
        <v>767.08</v>
      </c>
      <c r="CW141" s="1">
        <v>2765.49</v>
      </c>
      <c r="CX141" s="1">
        <v>3327.14</v>
      </c>
      <c r="CY141" s="1">
        <v>7932.68</v>
      </c>
      <c r="CZ141" s="1">
        <v>767.08</v>
      </c>
      <c r="DA141" s="1">
        <v>0</v>
      </c>
      <c r="DB141" s="1">
        <v>0</v>
      </c>
      <c r="DC141" s="1">
        <v>0</v>
      </c>
      <c r="DD141" s="1">
        <v>0</v>
      </c>
      <c r="DE141" s="1">
        <v>0</v>
      </c>
      <c r="DF141" s="1">
        <v>0</v>
      </c>
      <c r="DG141" s="1">
        <v>0</v>
      </c>
      <c r="DH141" s="1">
        <v>0</v>
      </c>
      <c r="DI141" s="1">
        <v>0</v>
      </c>
      <c r="DJ141" s="1">
        <v>0</v>
      </c>
      <c r="DK141" s="1">
        <v>0</v>
      </c>
      <c r="DL141" s="1">
        <v>0</v>
      </c>
      <c r="DM141" s="1">
        <v>5026.2299999999996</v>
      </c>
      <c r="DN141" s="1">
        <v>5591.62</v>
      </c>
      <c r="DO141" s="1">
        <v>5657.76</v>
      </c>
      <c r="DP141" s="1">
        <v>3833.34</v>
      </c>
      <c r="DQ141" s="1">
        <v>5026.2299999999996</v>
      </c>
      <c r="DR141" s="1">
        <v>5591.62</v>
      </c>
      <c r="DS141" s="1">
        <v>5657.76</v>
      </c>
      <c r="DT141" s="1">
        <v>3833.34</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584.82999999999993</v>
      </c>
      <c r="EL141" s="1">
        <v>463.94000000000011</v>
      </c>
      <c r="EM141" s="1">
        <v>1950.74</v>
      </c>
      <c r="EN141" s="1">
        <v>397.55</v>
      </c>
      <c r="EO141" s="1">
        <v>584.82999999999993</v>
      </c>
      <c r="EP141" s="1">
        <v>463.94000000000011</v>
      </c>
      <c r="EQ141" s="1">
        <v>1950.74</v>
      </c>
      <c r="ER141" s="1">
        <v>397.55</v>
      </c>
      <c r="ES141" s="1">
        <v>0</v>
      </c>
      <c r="ET141" s="1">
        <v>0</v>
      </c>
      <c r="EU141" s="1">
        <v>0</v>
      </c>
      <c r="EV141" s="1">
        <v>0</v>
      </c>
      <c r="EW141" s="1">
        <v>0</v>
      </c>
      <c r="EX141" s="1">
        <v>0</v>
      </c>
      <c r="EY141" s="1">
        <v>0</v>
      </c>
      <c r="EZ141" s="1">
        <v>0</v>
      </c>
      <c r="FA141" s="1">
        <v>0</v>
      </c>
      <c r="FB141" s="1">
        <v>0</v>
      </c>
      <c r="FC141" s="1">
        <v>0</v>
      </c>
      <c r="FD141" s="1">
        <v>0</v>
      </c>
      <c r="FE141" s="1">
        <v>81.62</v>
      </c>
      <c r="FF141" s="1">
        <v>76.02</v>
      </c>
      <c r="FG141" s="1">
        <v>79.569999999999993</v>
      </c>
      <c r="FH141" s="1">
        <v>87.009999999999991</v>
      </c>
      <c r="FI141" s="1">
        <v>81.62</v>
      </c>
      <c r="FJ141" s="1">
        <v>76.02</v>
      </c>
      <c r="FK141" s="1">
        <v>79.569999999999993</v>
      </c>
      <c r="FL141" s="1">
        <v>87.009999999999991</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0</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0</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332.3</v>
      </c>
      <c r="IP141" s="1">
        <v>527.30999999999995</v>
      </c>
      <c r="IQ141" s="1">
        <v>680.02</v>
      </c>
      <c r="IR141" s="1">
        <v>553.80999999999995</v>
      </c>
      <c r="IS141" s="1">
        <v>332.3</v>
      </c>
      <c r="IT141" s="1">
        <v>527.30999999999995</v>
      </c>
      <c r="IU141" s="1">
        <v>680.02</v>
      </c>
      <c r="IV141" s="1">
        <v>553.80999999999995</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0</v>
      </c>
      <c r="JO141" s="1">
        <v>0</v>
      </c>
      <c r="JP141" s="1">
        <v>0</v>
      </c>
      <c r="JQ141" s="9"/>
      <c r="JR141" s="1">
        <f t="shared" si="38"/>
        <v>4259.8575000000019</v>
      </c>
      <c r="JS141" s="1">
        <f t="shared" si="38"/>
        <v>3982.9860000000012</v>
      </c>
      <c r="JT141" s="1">
        <f t="shared" si="38"/>
        <v>3484.1744999999978</v>
      </c>
      <c r="JU141" s="1">
        <f t="shared" si="36"/>
        <v>2574.9333000000006</v>
      </c>
      <c r="JV141" s="1">
        <f t="shared" si="39"/>
        <v>788.86250000000041</v>
      </c>
      <c r="JW141" s="1">
        <f t="shared" si="39"/>
        <v>737.59000000000015</v>
      </c>
      <c r="JX141" s="1">
        <f t="shared" si="39"/>
        <v>645.21749999999963</v>
      </c>
      <c r="JY141" s="1">
        <f t="shared" si="37"/>
        <v>476.83950000000004</v>
      </c>
    </row>
    <row r="142" spans="1:285" x14ac:dyDescent="0.35">
      <c r="A142" s="2" t="s">
        <v>149</v>
      </c>
      <c r="B142" s="1">
        <v>103531</v>
      </c>
      <c r="C142" s="1">
        <v>102411</v>
      </c>
      <c r="D142" s="1">
        <v>103026</v>
      </c>
      <c r="E142" s="1">
        <v>104122</v>
      </c>
      <c r="F142" s="1">
        <v>30726.045999999998</v>
      </c>
      <c r="G142" s="1">
        <v>30436.062000000002</v>
      </c>
      <c r="H142" s="1">
        <v>24665.831999999999</v>
      </c>
      <c r="I142" s="1">
        <v>24139.763999999999</v>
      </c>
      <c r="J142" s="1">
        <f t="shared" si="40"/>
        <v>13308.655999999997</v>
      </c>
      <c r="K142" s="1">
        <f t="shared" si="41"/>
        <v>13497.692000000001</v>
      </c>
      <c r="L142" s="1">
        <f t="shared" si="42"/>
        <v>12160.362000000001</v>
      </c>
      <c r="M142" s="1">
        <f t="shared" si="43"/>
        <v>12023.493999999999</v>
      </c>
      <c r="N142" s="1">
        <f t="shared" si="44"/>
        <v>17417.39</v>
      </c>
      <c r="O142" s="1">
        <f t="shared" si="45"/>
        <v>16938.370000000003</v>
      </c>
      <c r="P142" s="1">
        <f t="shared" si="46"/>
        <v>12505.469999999998</v>
      </c>
      <c r="Q142" s="1">
        <f t="shared" si="47"/>
        <v>12116.27</v>
      </c>
      <c r="R142" s="1">
        <v>0</v>
      </c>
      <c r="S142" s="1">
        <v>0</v>
      </c>
      <c r="T142" s="1">
        <v>0</v>
      </c>
      <c r="U142" s="1">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6203.46</v>
      </c>
      <c r="AQ142" s="1">
        <v>5811.14</v>
      </c>
      <c r="AR142" s="1">
        <v>4846.88</v>
      </c>
      <c r="AS142" s="1">
        <v>5501.07</v>
      </c>
      <c r="AT142" s="1">
        <v>0</v>
      </c>
      <c r="AU142" s="1">
        <v>6203.46</v>
      </c>
      <c r="AV142" s="1">
        <v>0</v>
      </c>
      <c r="AW142" s="1">
        <v>0</v>
      </c>
      <c r="AX142" s="1">
        <v>0</v>
      </c>
      <c r="AY142" s="1">
        <v>5811.14</v>
      </c>
      <c r="AZ142" s="1">
        <v>0</v>
      </c>
      <c r="BA142" s="1">
        <v>0</v>
      </c>
      <c r="BB142" s="1">
        <v>0</v>
      </c>
      <c r="BC142" s="1">
        <v>4846.88</v>
      </c>
      <c r="BD142" s="1">
        <v>0</v>
      </c>
      <c r="BE142" s="1">
        <v>0</v>
      </c>
      <c r="BF142" s="1">
        <v>5501.07</v>
      </c>
      <c r="BG142" s="1">
        <v>0</v>
      </c>
      <c r="BH142" s="1">
        <v>0</v>
      </c>
      <c r="BI142" s="1">
        <v>0</v>
      </c>
      <c r="BJ142" s="1">
        <v>0</v>
      </c>
      <c r="BK142" s="1">
        <v>0</v>
      </c>
      <c r="BL142" s="1">
        <v>0</v>
      </c>
      <c r="BM142" s="1">
        <v>0</v>
      </c>
      <c r="BN142" s="1">
        <v>0</v>
      </c>
      <c r="BO142" s="1">
        <v>0</v>
      </c>
      <c r="BP142" s="1">
        <v>0</v>
      </c>
      <c r="BQ142" s="1">
        <v>0</v>
      </c>
      <c r="BR142" s="1">
        <v>0</v>
      </c>
      <c r="BS142" s="1">
        <v>0</v>
      </c>
      <c r="BT142" s="1">
        <v>0</v>
      </c>
      <c r="BU142" s="1">
        <v>2902.36</v>
      </c>
      <c r="BV142" s="1">
        <v>3556.85</v>
      </c>
      <c r="BW142" s="1">
        <v>3077.94</v>
      </c>
      <c r="BX142" s="1">
        <v>2886.32</v>
      </c>
      <c r="BY142" s="1">
        <v>2902.25</v>
      </c>
      <c r="BZ142" s="1">
        <v>3556.35</v>
      </c>
      <c r="CA142" s="1">
        <v>3077.26</v>
      </c>
      <c r="CB142" s="1">
        <v>2885.45</v>
      </c>
      <c r="CC142" s="1">
        <v>0.11</v>
      </c>
      <c r="CD142" s="1">
        <v>0.5</v>
      </c>
      <c r="CE142" s="1">
        <v>0.68</v>
      </c>
      <c r="CF142" s="1">
        <v>0.87</v>
      </c>
      <c r="CG142" s="1">
        <v>0</v>
      </c>
      <c r="CH142" s="1">
        <v>0</v>
      </c>
      <c r="CI142" s="1">
        <v>0</v>
      </c>
      <c r="CJ142" s="1">
        <v>0</v>
      </c>
      <c r="CK142" s="1">
        <v>0</v>
      </c>
      <c r="CL142" s="1">
        <v>0</v>
      </c>
      <c r="CM142" s="1">
        <v>0</v>
      </c>
      <c r="CN142" s="1">
        <v>0</v>
      </c>
      <c r="CO142" s="1">
        <v>0</v>
      </c>
      <c r="CP142" s="1">
        <v>0</v>
      </c>
      <c r="CQ142" s="1">
        <v>0</v>
      </c>
      <c r="CR142" s="1">
        <v>0</v>
      </c>
      <c r="CS142" s="1">
        <v>853.59</v>
      </c>
      <c r="CT142" s="1">
        <v>1291.3499999999999</v>
      </c>
      <c r="CU142" s="1">
        <v>1599.76</v>
      </c>
      <c r="CV142" s="1">
        <v>1412.43</v>
      </c>
      <c r="CW142" s="1">
        <v>853.59</v>
      </c>
      <c r="CX142" s="1">
        <v>1291.3499999999999</v>
      </c>
      <c r="CY142" s="1">
        <v>1599.76</v>
      </c>
      <c r="CZ142" s="1">
        <v>1412.43</v>
      </c>
      <c r="DA142" s="1">
        <v>0</v>
      </c>
      <c r="DB142" s="1">
        <v>0</v>
      </c>
      <c r="DC142" s="1">
        <v>0</v>
      </c>
      <c r="DD142" s="1">
        <v>0</v>
      </c>
      <c r="DE142" s="1">
        <v>0</v>
      </c>
      <c r="DF142" s="1">
        <v>0</v>
      </c>
      <c r="DG142" s="1">
        <v>0</v>
      </c>
      <c r="DH142" s="1">
        <v>0</v>
      </c>
      <c r="DI142" s="1">
        <v>0</v>
      </c>
      <c r="DJ142" s="1">
        <v>0</v>
      </c>
      <c r="DK142" s="1">
        <v>0</v>
      </c>
      <c r="DL142" s="1">
        <v>0</v>
      </c>
      <c r="DM142" s="1">
        <v>2033.16</v>
      </c>
      <c r="DN142" s="1">
        <v>1819.816</v>
      </c>
      <c r="DO142" s="1">
        <v>1447.877</v>
      </c>
      <c r="DP142" s="1">
        <v>1077.8150000000001</v>
      </c>
      <c r="DQ142" s="1">
        <v>2033.16</v>
      </c>
      <c r="DR142" s="1">
        <v>1819.816</v>
      </c>
      <c r="DS142" s="1">
        <v>1447.877</v>
      </c>
      <c r="DT142" s="1">
        <v>1077.8150000000001</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456.05</v>
      </c>
      <c r="EL142" s="1">
        <v>488.29</v>
      </c>
      <c r="EM142" s="1">
        <v>469.79</v>
      </c>
      <c r="EN142" s="1">
        <v>403.38</v>
      </c>
      <c r="EO142" s="1">
        <v>456.05</v>
      </c>
      <c r="EP142" s="1">
        <v>488.29</v>
      </c>
      <c r="EQ142" s="1">
        <v>469.79</v>
      </c>
      <c r="ER142" s="1">
        <v>403.38</v>
      </c>
      <c r="ES142" s="1">
        <v>0</v>
      </c>
      <c r="ET142" s="1">
        <v>0</v>
      </c>
      <c r="EU142" s="1">
        <v>0</v>
      </c>
      <c r="EV142" s="1">
        <v>0</v>
      </c>
      <c r="EW142" s="1">
        <v>0</v>
      </c>
      <c r="EX142" s="1">
        <v>0</v>
      </c>
      <c r="EY142" s="1">
        <v>0</v>
      </c>
      <c r="EZ142" s="1">
        <v>0</v>
      </c>
      <c r="FA142" s="1">
        <v>0</v>
      </c>
      <c r="FB142" s="1">
        <v>0</v>
      </c>
      <c r="FC142" s="1">
        <v>0</v>
      </c>
      <c r="FD142" s="1">
        <v>0</v>
      </c>
      <c r="FE142" s="1">
        <v>1.3360000000000001</v>
      </c>
      <c r="FF142" s="1">
        <v>4.4260000000000002</v>
      </c>
      <c r="FG142" s="1">
        <v>6.125</v>
      </c>
      <c r="FH142" s="1">
        <v>6.3390000000000004</v>
      </c>
      <c r="FI142" s="1">
        <v>1.3360000000000001</v>
      </c>
      <c r="FJ142" s="1">
        <v>4.4260000000000002</v>
      </c>
      <c r="FK142" s="1">
        <v>6.125</v>
      </c>
      <c r="FL142" s="1">
        <v>6.3390000000000004</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0</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13.9</v>
      </c>
      <c r="HF142" s="1">
        <v>7.5500000000000007</v>
      </c>
      <c r="HG142" s="1">
        <v>0</v>
      </c>
      <c r="HH142" s="1">
        <v>0</v>
      </c>
      <c r="HI142" s="1">
        <v>13.9</v>
      </c>
      <c r="HJ142" s="1">
        <v>7.5500000000000007</v>
      </c>
      <c r="HK142" s="1">
        <v>0</v>
      </c>
      <c r="HL142" s="1">
        <v>0</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844.8</v>
      </c>
      <c r="IP142" s="1">
        <v>518.27</v>
      </c>
      <c r="IQ142" s="1">
        <v>711.99</v>
      </c>
      <c r="IR142" s="1">
        <v>736.14</v>
      </c>
      <c r="IS142" s="1">
        <v>844.8</v>
      </c>
      <c r="IT142" s="1">
        <v>518.27</v>
      </c>
      <c r="IU142" s="1">
        <v>711.99</v>
      </c>
      <c r="IV142" s="1">
        <v>736.14</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0</v>
      </c>
      <c r="JO142" s="1">
        <v>0</v>
      </c>
      <c r="JP142" s="1">
        <v>0</v>
      </c>
      <c r="JQ142" s="9"/>
      <c r="JR142" s="1">
        <f t="shared" si="38"/>
        <v>4702.6953000000003</v>
      </c>
      <c r="JS142" s="1">
        <f t="shared" si="38"/>
        <v>4573.3599000000013</v>
      </c>
      <c r="JT142" s="1">
        <f t="shared" si="38"/>
        <v>3376.4768999999997</v>
      </c>
      <c r="JU142" s="1">
        <f t="shared" si="36"/>
        <v>3271.3929000000003</v>
      </c>
      <c r="JV142" s="1">
        <f t="shared" si="39"/>
        <v>870.86950000000002</v>
      </c>
      <c r="JW142" s="1">
        <f t="shared" si="39"/>
        <v>846.91850000000022</v>
      </c>
      <c r="JX142" s="1">
        <f t="shared" si="39"/>
        <v>625.2734999999999</v>
      </c>
      <c r="JY142" s="1">
        <f t="shared" si="37"/>
        <v>605.81350000000009</v>
      </c>
    </row>
    <row r="143" spans="1:285" x14ac:dyDescent="0.35">
      <c r="A143" s="2" t="s">
        <v>150</v>
      </c>
      <c r="B143" s="1">
        <v>483348</v>
      </c>
      <c r="C143" s="1">
        <v>485022</v>
      </c>
      <c r="D143" s="1">
        <v>493693</v>
      </c>
      <c r="E143" s="1">
        <v>503216</v>
      </c>
      <c r="F143" s="1">
        <v>120724.886</v>
      </c>
      <c r="G143" s="1">
        <v>118455.495</v>
      </c>
      <c r="H143" s="1">
        <v>97371.337</v>
      </c>
      <c r="I143" s="1">
        <v>93365.94</v>
      </c>
      <c r="J143" s="1">
        <f t="shared" si="40"/>
        <v>64799.023000000001</v>
      </c>
      <c r="K143" s="1">
        <f t="shared" si="41"/>
        <v>62666.843999999997</v>
      </c>
      <c r="L143" s="1">
        <f t="shared" si="42"/>
        <v>45011.99</v>
      </c>
      <c r="M143" s="1">
        <f t="shared" si="43"/>
        <v>42097.46</v>
      </c>
      <c r="N143" s="1">
        <f t="shared" si="44"/>
        <v>55925.862999999998</v>
      </c>
      <c r="O143" s="1">
        <f t="shared" si="45"/>
        <v>55788.650999999998</v>
      </c>
      <c r="P143" s="1">
        <f t="shared" si="46"/>
        <v>52359.347000000002</v>
      </c>
      <c r="Q143" s="1">
        <f t="shared" si="47"/>
        <v>51268.480000000003</v>
      </c>
      <c r="R143" s="1">
        <v>0</v>
      </c>
      <c r="S143" s="1">
        <v>0</v>
      </c>
      <c r="T143" s="1">
        <v>0</v>
      </c>
      <c r="U143" s="1">
        <v>0</v>
      </c>
      <c r="V143" s="1">
        <v>0</v>
      </c>
      <c r="W143" s="1">
        <v>0</v>
      </c>
      <c r="X143" s="1">
        <v>0</v>
      </c>
      <c r="Y143" s="1">
        <v>0</v>
      </c>
      <c r="Z143" s="1">
        <v>0</v>
      </c>
      <c r="AA143" s="1">
        <v>0</v>
      </c>
      <c r="AB143" s="1">
        <v>0</v>
      </c>
      <c r="AC143" s="1">
        <v>0</v>
      </c>
      <c r="AD143" s="1">
        <v>0</v>
      </c>
      <c r="AE143" s="1">
        <v>0</v>
      </c>
      <c r="AF143" s="1">
        <v>0</v>
      </c>
      <c r="AG143" s="1">
        <v>0</v>
      </c>
      <c r="AH143" s="1">
        <v>0</v>
      </c>
      <c r="AI143" s="1">
        <v>0</v>
      </c>
      <c r="AJ143" s="1">
        <v>0</v>
      </c>
      <c r="AK143" s="1">
        <v>0</v>
      </c>
      <c r="AL143" s="1">
        <v>0</v>
      </c>
      <c r="AM143" s="1">
        <v>0</v>
      </c>
      <c r="AN143" s="1">
        <v>0</v>
      </c>
      <c r="AO143" s="1">
        <v>0</v>
      </c>
      <c r="AP143" s="1">
        <v>19088.870000000003</v>
      </c>
      <c r="AQ143" s="1">
        <v>17172.5</v>
      </c>
      <c r="AR143" s="1">
        <v>10308</v>
      </c>
      <c r="AS143" s="1">
        <v>10763.099999999999</v>
      </c>
      <c r="AT143" s="1">
        <v>0</v>
      </c>
      <c r="AU143" s="1">
        <v>19088.870000000003</v>
      </c>
      <c r="AV143" s="1">
        <v>0</v>
      </c>
      <c r="AW143" s="1">
        <v>0</v>
      </c>
      <c r="AX143" s="1">
        <v>0</v>
      </c>
      <c r="AY143" s="1">
        <v>17172.5</v>
      </c>
      <c r="AZ143" s="1">
        <v>0</v>
      </c>
      <c r="BA143" s="1">
        <v>0</v>
      </c>
      <c r="BB143" s="1">
        <v>0</v>
      </c>
      <c r="BC143" s="1">
        <v>10308</v>
      </c>
      <c r="BD143" s="1">
        <v>0</v>
      </c>
      <c r="BE143" s="1">
        <v>0</v>
      </c>
      <c r="BF143" s="1">
        <v>10763.099999999999</v>
      </c>
      <c r="BG143" s="1">
        <v>0</v>
      </c>
      <c r="BH143" s="1">
        <v>0</v>
      </c>
      <c r="BI143" s="1">
        <v>0</v>
      </c>
      <c r="BJ143" s="1">
        <v>0</v>
      </c>
      <c r="BK143" s="1">
        <v>0</v>
      </c>
      <c r="BL143" s="1">
        <v>0</v>
      </c>
      <c r="BM143" s="1">
        <v>0</v>
      </c>
      <c r="BN143" s="1">
        <v>0</v>
      </c>
      <c r="BO143" s="1">
        <v>0</v>
      </c>
      <c r="BP143" s="1">
        <v>0</v>
      </c>
      <c r="BQ143" s="1">
        <v>0</v>
      </c>
      <c r="BR143" s="1">
        <v>0</v>
      </c>
      <c r="BS143" s="1">
        <v>0</v>
      </c>
      <c r="BT143" s="1">
        <v>0</v>
      </c>
      <c r="BU143" s="1">
        <v>17533.89</v>
      </c>
      <c r="BV143" s="1">
        <v>21688.35</v>
      </c>
      <c r="BW143" s="1">
        <v>18460.04</v>
      </c>
      <c r="BX143" s="1">
        <v>18063.240000000002</v>
      </c>
      <c r="BY143" s="1">
        <v>17533.89</v>
      </c>
      <c r="BZ143" s="1">
        <v>21688.35</v>
      </c>
      <c r="CA143" s="1">
        <v>18460.04</v>
      </c>
      <c r="CB143" s="1">
        <v>18063.240000000002</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7714.1</v>
      </c>
      <c r="CT143" s="1">
        <v>5592.58</v>
      </c>
      <c r="CU143" s="1">
        <v>2295.9899999999998</v>
      </c>
      <c r="CV143" s="1">
        <v>2426.35</v>
      </c>
      <c r="CW143" s="1">
        <v>7714.1</v>
      </c>
      <c r="CX143" s="1">
        <v>5592.58</v>
      </c>
      <c r="CY143" s="1">
        <v>2295.9899999999998</v>
      </c>
      <c r="CZ143" s="1">
        <v>2426.35</v>
      </c>
      <c r="DA143" s="1">
        <v>0</v>
      </c>
      <c r="DB143" s="1">
        <v>0</v>
      </c>
      <c r="DC143" s="1">
        <v>0</v>
      </c>
      <c r="DD143" s="1">
        <v>0</v>
      </c>
      <c r="DE143" s="1">
        <v>0</v>
      </c>
      <c r="DF143" s="1">
        <v>0</v>
      </c>
      <c r="DG143" s="1">
        <v>0</v>
      </c>
      <c r="DH143" s="1">
        <v>0</v>
      </c>
      <c r="DI143" s="1">
        <v>0</v>
      </c>
      <c r="DJ143" s="1">
        <v>0</v>
      </c>
      <c r="DK143" s="1">
        <v>0</v>
      </c>
      <c r="DL143" s="1">
        <v>0</v>
      </c>
      <c r="DM143" s="1">
        <v>13010.09</v>
      </c>
      <c r="DN143" s="1">
        <v>12186.48</v>
      </c>
      <c r="DO143" s="1">
        <v>9622.3700000000008</v>
      </c>
      <c r="DP143" s="1">
        <v>9600.4399999999987</v>
      </c>
      <c r="DQ143" s="1">
        <v>13010.09</v>
      </c>
      <c r="DR143" s="1">
        <v>12186.48</v>
      </c>
      <c r="DS143" s="1">
        <v>9622.3700000000008</v>
      </c>
      <c r="DT143" s="1">
        <v>9600.4399999999987</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2576.1390000000001</v>
      </c>
      <c r="EL143" s="1">
        <v>2502.5300000000002</v>
      </c>
      <c r="EM143" s="1">
        <v>2007.8889999999999</v>
      </c>
      <c r="EN143" s="1">
        <v>1232.92</v>
      </c>
      <c r="EO143" s="1">
        <v>2576.1390000000001</v>
      </c>
      <c r="EP143" s="1">
        <v>2502.5300000000002</v>
      </c>
      <c r="EQ143" s="1">
        <v>2007.8889999999999</v>
      </c>
      <c r="ER143" s="1">
        <v>1232.92</v>
      </c>
      <c r="ES143" s="1">
        <v>0</v>
      </c>
      <c r="ET143" s="1">
        <v>0</v>
      </c>
      <c r="EU143" s="1">
        <v>0</v>
      </c>
      <c r="EV143" s="1">
        <v>0</v>
      </c>
      <c r="EW143" s="1">
        <v>0</v>
      </c>
      <c r="EX143" s="1">
        <v>0</v>
      </c>
      <c r="EY143" s="1">
        <v>0</v>
      </c>
      <c r="EZ143" s="1">
        <v>0</v>
      </c>
      <c r="FA143" s="1">
        <v>0</v>
      </c>
      <c r="FB143" s="1">
        <v>0</v>
      </c>
      <c r="FC143" s="1">
        <v>0</v>
      </c>
      <c r="FD143" s="1">
        <v>0</v>
      </c>
      <c r="FE143" s="1">
        <v>855.47600000000011</v>
      </c>
      <c r="FF143" s="1">
        <v>754.51699999999994</v>
      </c>
      <c r="FG143" s="1">
        <v>422.82499999999999</v>
      </c>
      <c r="FH143" s="1">
        <v>0</v>
      </c>
      <c r="FI143" s="1">
        <v>855.47600000000011</v>
      </c>
      <c r="FJ143" s="1">
        <v>754.51699999999994</v>
      </c>
      <c r="FK143" s="1">
        <v>422.82499999999999</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3038.6289999999999</v>
      </c>
      <c r="GD143" s="1">
        <v>2476.0070000000001</v>
      </c>
      <c r="GE143" s="1">
        <v>1894.876</v>
      </c>
      <c r="GF143" s="1">
        <v>0</v>
      </c>
      <c r="GG143" s="1">
        <v>3038.6289999999999</v>
      </c>
      <c r="GH143" s="1">
        <v>2476.0070000000001</v>
      </c>
      <c r="GI143" s="1">
        <v>1894.876</v>
      </c>
      <c r="GJ143" s="1">
        <v>0</v>
      </c>
      <c r="GK143" s="1">
        <v>0</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981.82899999999995</v>
      </c>
      <c r="HF143" s="1">
        <v>293.88</v>
      </c>
      <c r="HG143" s="1">
        <v>0</v>
      </c>
      <c r="HH143" s="1">
        <v>0</v>
      </c>
      <c r="HI143" s="1">
        <v>981.82899999999995</v>
      </c>
      <c r="HJ143" s="1">
        <v>293.88</v>
      </c>
      <c r="HK143" s="1">
        <v>0</v>
      </c>
      <c r="HL143" s="1">
        <v>0</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11.41</v>
      </c>
      <c r="IS143" s="1">
        <v>0</v>
      </c>
      <c r="IT143" s="1">
        <v>0</v>
      </c>
      <c r="IU143" s="1">
        <v>0</v>
      </c>
      <c r="IV143" s="1">
        <v>11.41</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0</v>
      </c>
      <c r="JO143" s="1">
        <v>0</v>
      </c>
      <c r="JP143" s="1">
        <v>0</v>
      </c>
      <c r="JQ143" s="9"/>
      <c r="JR143" s="1">
        <f t="shared" si="38"/>
        <v>15099.98301</v>
      </c>
      <c r="JS143" s="1">
        <f t="shared" si="38"/>
        <v>15062.93577</v>
      </c>
      <c r="JT143" s="1">
        <f t="shared" si="38"/>
        <v>14137.023690000002</v>
      </c>
      <c r="JU143" s="1">
        <f t="shared" si="36"/>
        <v>13842.489600000003</v>
      </c>
      <c r="JV143" s="1">
        <f t="shared" si="39"/>
        <v>2796.29315</v>
      </c>
      <c r="JW143" s="1">
        <f t="shared" si="39"/>
        <v>2789.43255</v>
      </c>
      <c r="JX143" s="1">
        <f t="shared" si="39"/>
        <v>2617.9673500000004</v>
      </c>
      <c r="JY143" s="1">
        <f t="shared" si="37"/>
        <v>2563.4240000000004</v>
      </c>
    </row>
    <row r="144" spans="1:285" x14ac:dyDescent="0.35">
      <c r="A144" s="2" t="s">
        <v>151</v>
      </c>
      <c r="B144" s="1">
        <v>224132</v>
      </c>
      <c r="C144" s="1">
        <v>224958</v>
      </c>
      <c r="D144" s="1">
        <v>227546</v>
      </c>
      <c r="E144" s="1">
        <v>233640</v>
      </c>
      <c r="F144" s="1">
        <v>146277.84</v>
      </c>
      <c r="G144" s="1">
        <v>150337.04</v>
      </c>
      <c r="H144" s="1">
        <v>138882.82999999999</v>
      </c>
      <c r="I144" s="1">
        <v>145931.22</v>
      </c>
      <c r="J144" s="1">
        <f t="shared" si="40"/>
        <v>23627.690000000002</v>
      </c>
      <c r="K144" s="1">
        <f t="shared" si="41"/>
        <v>21716.21</v>
      </c>
      <c r="L144" s="1">
        <f t="shared" si="42"/>
        <v>19111.62</v>
      </c>
      <c r="M144" s="1">
        <f t="shared" si="43"/>
        <v>21811.58</v>
      </c>
      <c r="N144" s="1">
        <f t="shared" si="44"/>
        <v>122650.15</v>
      </c>
      <c r="O144" s="1">
        <f t="shared" si="45"/>
        <v>128620.83000000002</v>
      </c>
      <c r="P144" s="1">
        <f t="shared" si="46"/>
        <v>119771.20999999999</v>
      </c>
      <c r="Q144" s="1">
        <f t="shared" si="47"/>
        <v>124119.64</v>
      </c>
      <c r="R144" s="1">
        <v>113.52</v>
      </c>
      <c r="S144" s="1">
        <v>0</v>
      </c>
      <c r="T144" s="1">
        <v>0</v>
      </c>
      <c r="U144" s="1">
        <v>0</v>
      </c>
      <c r="V144" s="1">
        <v>0</v>
      </c>
      <c r="W144" s="1">
        <v>0</v>
      </c>
      <c r="X144" s="1">
        <v>113.52</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7349.6799999999994</v>
      </c>
      <c r="AQ144" s="1">
        <v>5112.24</v>
      </c>
      <c r="AR144" s="1">
        <v>4759.42</v>
      </c>
      <c r="AS144" s="1">
        <v>6239.58</v>
      </c>
      <c r="AT144" s="1">
        <v>0</v>
      </c>
      <c r="AU144" s="1">
        <v>7349.6799999999994</v>
      </c>
      <c r="AV144" s="1">
        <v>0</v>
      </c>
      <c r="AW144" s="1">
        <v>0</v>
      </c>
      <c r="AX144" s="1">
        <v>0</v>
      </c>
      <c r="AY144" s="1">
        <v>5112.24</v>
      </c>
      <c r="AZ144" s="1">
        <v>0</v>
      </c>
      <c r="BA144" s="1">
        <v>0</v>
      </c>
      <c r="BB144" s="1">
        <v>0</v>
      </c>
      <c r="BC144" s="1">
        <v>4759.42</v>
      </c>
      <c r="BD144" s="1">
        <v>0</v>
      </c>
      <c r="BE144" s="1">
        <v>0</v>
      </c>
      <c r="BF144" s="1">
        <v>6239.58</v>
      </c>
      <c r="BG144" s="1">
        <v>0</v>
      </c>
      <c r="BH144" s="1">
        <v>0</v>
      </c>
      <c r="BI144" s="1">
        <v>0</v>
      </c>
      <c r="BJ144" s="1">
        <v>0</v>
      </c>
      <c r="BK144" s="1">
        <v>0</v>
      </c>
      <c r="BL144" s="1">
        <v>0</v>
      </c>
      <c r="BM144" s="1">
        <v>0</v>
      </c>
      <c r="BN144" s="1">
        <v>0</v>
      </c>
      <c r="BO144" s="1">
        <v>0</v>
      </c>
      <c r="BP144" s="1">
        <v>0</v>
      </c>
      <c r="BQ144" s="1">
        <v>0</v>
      </c>
      <c r="BR144" s="1">
        <v>0</v>
      </c>
      <c r="BS144" s="1">
        <v>0</v>
      </c>
      <c r="BT144" s="1">
        <v>0</v>
      </c>
      <c r="BU144" s="1">
        <v>8158.02</v>
      </c>
      <c r="BV144" s="1">
        <v>7968.9</v>
      </c>
      <c r="BW144" s="1">
        <v>6535.8</v>
      </c>
      <c r="BX144" s="1">
        <v>7608.96</v>
      </c>
      <c r="BY144" s="1">
        <v>8158.02</v>
      </c>
      <c r="BZ144" s="1">
        <v>7968.9</v>
      </c>
      <c r="CA144" s="1">
        <v>6535.8</v>
      </c>
      <c r="CB144" s="1">
        <v>7443.32</v>
      </c>
      <c r="CC144" s="1">
        <v>0</v>
      </c>
      <c r="CD144" s="1">
        <v>0</v>
      </c>
      <c r="CE144" s="1">
        <v>0</v>
      </c>
      <c r="CF144" s="1">
        <v>0</v>
      </c>
      <c r="CG144" s="1">
        <v>0</v>
      </c>
      <c r="CH144" s="1">
        <v>0</v>
      </c>
      <c r="CI144" s="1">
        <v>0</v>
      </c>
      <c r="CJ144" s="1">
        <v>165.64</v>
      </c>
      <c r="CK144" s="1">
        <v>0</v>
      </c>
      <c r="CL144" s="1">
        <v>0</v>
      </c>
      <c r="CM144" s="1">
        <v>0</v>
      </c>
      <c r="CN144" s="1">
        <v>0</v>
      </c>
      <c r="CO144" s="1">
        <v>0</v>
      </c>
      <c r="CP144" s="1">
        <v>0</v>
      </c>
      <c r="CQ144" s="1">
        <v>0</v>
      </c>
      <c r="CR144" s="1">
        <v>0</v>
      </c>
      <c r="CS144" s="1">
        <v>1102.54</v>
      </c>
      <c r="CT144" s="1">
        <v>1405.24</v>
      </c>
      <c r="CU144" s="1">
        <v>1242.83</v>
      </c>
      <c r="CV144" s="1">
        <v>1409.93</v>
      </c>
      <c r="CW144" s="1">
        <v>1102.54</v>
      </c>
      <c r="CX144" s="1">
        <v>1405.24</v>
      </c>
      <c r="CY144" s="1">
        <v>1242.83</v>
      </c>
      <c r="CZ144" s="1">
        <v>1409.93</v>
      </c>
      <c r="DA144" s="1">
        <v>0</v>
      </c>
      <c r="DB144" s="1">
        <v>0</v>
      </c>
      <c r="DC144" s="1">
        <v>0</v>
      </c>
      <c r="DD144" s="1">
        <v>0</v>
      </c>
      <c r="DE144" s="1">
        <v>0</v>
      </c>
      <c r="DF144" s="1">
        <v>0</v>
      </c>
      <c r="DG144" s="1">
        <v>0</v>
      </c>
      <c r="DH144" s="1">
        <v>0</v>
      </c>
      <c r="DI144" s="1">
        <v>0</v>
      </c>
      <c r="DJ144" s="1">
        <v>0</v>
      </c>
      <c r="DK144" s="1">
        <v>0</v>
      </c>
      <c r="DL144" s="1">
        <v>0</v>
      </c>
      <c r="DM144" s="1">
        <v>2496.9</v>
      </c>
      <c r="DN144" s="1">
        <v>2571.59</v>
      </c>
      <c r="DO144" s="1">
        <v>2350.9899999999998</v>
      </c>
      <c r="DP144" s="1">
        <v>1575.52</v>
      </c>
      <c r="DQ144" s="1">
        <v>2496.9</v>
      </c>
      <c r="DR144" s="1">
        <v>2571.59</v>
      </c>
      <c r="DS144" s="1">
        <v>2350.9899999999998</v>
      </c>
      <c r="DT144" s="1">
        <v>1575.52</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1222.79</v>
      </c>
      <c r="EL144" s="1">
        <v>1383.35</v>
      </c>
      <c r="EM144" s="1">
        <v>1326.13</v>
      </c>
      <c r="EN144" s="1">
        <v>1352.57</v>
      </c>
      <c r="EO144" s="1">
        <v>1222.79</v>
      </c>
      <c r="EP144" s="1">
        <v>1383.35</v>
      </c>
      <c r="EQ144" s="1">
        <v>1326.13</v>
      </c>
      <c r="ER144" s="1">
        <v>1352.57</v>
      </c>
      <c r="ES144" s="1">
        <v>0</v>
      </c>
      <c r="ET144" s="1">
        <v>0</v>
      </c>
      <c r="EU144" s="1">
        <v>0</v>
      </c>
      <c r="EV144" s="1">
        <v>0</v>
      </c>
      <c r="EW144" s="1">
        <v>0</v>
      </c>
      <c r="EX144" s="1">
        <v>0</v>
      </c>
      <c r="EY144" s="1">
        <v>0</v>
      </c>
      <c r="EZ144" s="1">
        <v>0</v>
      </c>
      <c r="FA144" s="1">
        <v>0</v>
      </c>
      <c r="FB144" s="1">
        <v>0</v>
      </c>
      <c r="FC144" s="1">
        <v>0</v>
      </c>
      <c r="FD144" s="1">
        <v>0</v>
      </c>
      <c r="FE144" s="1">
        <v>287.23</v>
      </c>
      <c r="FF144" s="1">
        <v>298.27999999999997</v>
      </c>
      <c r="FG144" s="1">
        <v>228.1</v>
      </c>
      <c r="FH144" s="1">
        <v>297.56</v>
      </c>
      <c r="FI144" s="1">
        <v>287.23</v>
      </c>
      <c r="FJ144" s="1">
        <v>298.27999999999997</v>
      </c>
      <c r="FK144" s="1">
        <v>228.1</v>
      </c>
      <c r="FL144" s="1">
        <v>297.56</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411.25</v>
      </c>
      <c r="GD144" s="1">
        <v>371.36</v>
      </c>
      <c r="GE144" s="1">
        <v>405.48</v>
      </c>
      <c r="GF144" s="1">
        <v>284.27</v>
      </c>
      <c r="GG144" s="1">
        <v>411.25</v>
      </c>
      <c r="GH144" s="1">
        <v>371.36</v>
      </c>
      <c r="GI144" s="1">
        <v>405.48</v>
      </c>
      <c r="GJ144" s="1">
        <v>284.27</v>
      </c>
      <c r="GK144" s="1">
        <v>0</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2316.3000000000002</v>
      </c>
      <c r="HF144" s="1">
        <v>2492.63</v>
      </c>
      <c r="HG144" s="1">
        <v>2201.62</v>
      </c>
      <c r="HH144" s="1">
        <v>2935.26</v>
      </c>
      <c r="HI144" s="1">
        <v>2316.3000000000002</v>
      </c>
      <c r="HJ144" s="1">
        <v>2492.63</v>
      </c>
      <c r="HK144" s="1">
        <v>2201.62</v>
      </c>
      <c r="HL144" s="1">
        <v>2348.19</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587.06999999999994</v>
      </c>
      <c r="IC144" s="1">
        <v>0</v>
      </c>
      <c r="ID144" s="1">
        <v>0</v>
      </c>
      <c r="IE144" s="1">
        <v>0</v>
      </c>
      <c r="IF144" s="1">
        <v>0</v>
      </c>
      <c r="IG144" s="1">
        <v>0</v>
      </c>
      <c r="IH144" s="1">
        <v>0</v>
      </c>
      <c r="II144" s="1">
        <v>0</v>
      </c>
      <c r="IJ144" s="1">
        <v>0</v>
      </c>
      <c r="IK144" s="1">
        <v>0</v>
      </c>
      <c r="IL144" s="1">
        <v>0</v>
      </c>
      <c r="IM144" s="1">
        <v>0</v>
      </c>
      <c r="IN144" s="1">
        <v>0</v>
      </c>
      <c r="IO144" s="1">
        <v>169.46</v>
      </c>
      <c r="IP144" s="1">
        <v>112.62</v>
      </c>
      <c r="IQ144" s="1">
        <v>61.25</v>
      </c>
      <c r="IR144" s="1">
        <v>107.93</v>
      </c>
      <c r="IS144" s="1">
        <v>169.46</v>
      </c>
      <c r="IT144" s="1">
        <v>112.62</v>
      </c>
      <c r="IU144" s="1">
        <v>61.25</v>
      </c>
      <c r="IV144" s="1">
        <v>107.93</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0</v>
      </c>
      <c r="JO144" s="1">
        <v>0</v>
      </c>
      <c r="JP144" s="1">
        <v>0</v>
      </c>
      <c r="JQ144" s="9"/>
      <c r="JR144" s="1">
        <f t="shared" si="38"/>
        <v>33115.540500000003</v>
      </c>
      <c r="JS144" s="1">
        <f t="shared" si="38"/>
        <v>34727.624100000008</v>
      </c>
      <c r="JT144" s="1">
        <f t="shared" si="38"/>
        <v>32338.226699999999</v>
      </c>
      <c r="JU144" s="1">
        <f t="shared" si="36"/>
        <v>33512.302800000005</v>
      </c>
      <c r="JV144" s="1">
        <f t="shared" si="39"/>
        <v>6132.5074999999997</v>
      </c>
      <c r="JW144" s="1">
        <f t="shared" si="39"/>
        <v>6431.0415000000012</v>
      </c>
      <c r="JX144" s="1">
        <f t="shared" si="39"/>
        <v>5988.5604999999996</v>
      </c>
      <c r="JY144" s="1">
        <f t="shared" si="37"/>
        <v>6205.982</v>
      </c>
    </row>
    <row r="145" spans="1:285" x14ac:dyDescent="0.35">
      <c r="A145" s="2" t="s">
        <v>152</v>
      </c>
      <c r="B145" s="1">
        <v>173272</v>
      </c>
      <c r="C145" s="1">
        <v>176697</v>
      </c>
      <c r="D145" s="1">
        <v>180144</v>
      </c>
      <c r="E145" s="1">
        <v>184281</v>
      </c>
      <c r="F145" s="1">
        <v>51226.358999999997</v>
      </c>
      <c r="G145" s="1">
        <v>65925.789999999994</v>
      </c>
      <c r="H145" s="1">
        <v>92059.22</v>
      </c>
      <c r="I145" s="1">
        <v>86414.968999999997</v>
      </c>
      <c r="J145" s="1">
        <f t="shared" si="40"/>
        <v>31258.188999999991</v>
      </c>
      <c r="K145" s="1">
        <f t="shared" si="41"/>
        <v>45025.320000000007</v>
      </c>
      <c r="L145" s="1">
        <f t="shared" si="42"/>
        <v>72222.280000000013</v>
      </c>
      <c r="M145" s="1">
        <f t="shared" si="43"/>
        <v>65679.64899999999</v>
      </c>
      <c r="N145" s="1">
        <f t="shared" si="44"/>
        <v>19968.170000000006</v>
      </c>
      <c r="O145" s="1">
        <f t="shared" si="45"/>
        <v>20900.469999999987</v>
      </c>
      <c r="P145" s="1">
        <f t="shared" si="46"/>
        <v>19836.939999999988</v>
      </c>
      <c r="Q145" s="1">
        <f t="shared" si="47"/>
        <v>20735.320000000007</v>
      </c>
      <c r="R145" s="1">
        <v>5025.24</v>
      </c>
      <c r="S145" s="1">
        <v>4961.42</v>
      </c>
      <c r="T145" s="1">
        <v>4394.1000000000004</v>
      </c>
      <c r="U145" s="1">
        <v>4113.16</v>
      </c>
      <c r="V145" s="1">
        <v>5025.24</v>
      </c>
      <c r="W145" s="1">
        <v>0</v>
      </c>
      <c r="X145" s="1">
        <v>0</v>
      </c>
      <c r="Y145" s="1">
        <v>4961.42</v>
      </c>
      <c r="Z145" s="1">
        <v>0</v>
      </c>
      <c r="AA145" s="1">
        <v>0</v>
      </c>
      <c r="AB145" s="1">
        <v>1194.98</v>
      </c>
      <c r="AC145" s="1">
        <v>0</v>
      </c>
      <c r="AD145" s="1">
        <v>0.54</v>
      </c>
      <c r="AE145" s="1">
        <v>4113.16</v>
      </c>
      <c r="AF145" s="1">
        <v>0</v>
      </c>
      <c r="AG145" s="1">
        <v>0</v>
      </c>
      <c r="AH145" s="1">
        <v>0</v>
      </c>
      <c r="AI145" s="1">
        <v>0</v>
      </c>
      <c r="AJ145" s="1">
        <v>0</v>
      </c>
      <c r="AK145" s="1">
        <v>0</v>
      </c>
      <c r="AL145" s="1">
        <v>0</v>
      </c>
      <c r="AM145" s="1">
        <v>0</v>
      </c>
      <c r="AN145" s="1">
        <v>0</v>
      </c>
      <c r="AO145" s="1">
        <v>0</v>
      </c>
      <c r="AP145" s="1">
        <v>10517.519999999999</v>
      </c>
      <c r="AQ145" s="1">
        <v>11243.449999999999</v>
      </c>
      <c r="AR145" s="1">
        <v>9781.2000000000007</v>
      </c>
      <c r="AS145" s="1">
        <v>10950.93</v>
      </c>
      <c r="AT145" s="1">
        <v>10517.519999999999</v>
      </c>
      <c r="AU145" s="1">
        <v>0</v>
      </c>
      <c r="AV145" s="1">
        <v>0</v>
      </c>
      <c r="AW145" s="1">
        <v>0</v>
      </c>
      <c r="AX145" s="1">
        <v>11243.449999999999</v>
      </c>
      <c r="AY145" s="1">
        <v>0</v>
      </c>
      <c r="AZ145" s="1">
        <v>0</v>
      </c>
      <c r="BA145" s="1">
        <v>0</v>
      </c>
      <c r="BB145" s="1">
        <v>9781.2000000000007</v>
      </c>
      <c r="BC145" s="1">
        <v>0</v>
      </c>
      <c r="BD145" s="1">
        <v>0</v>
      </c>
      <c r="BE145" s="1">
        <v>10950.93</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8516.2899999999991</v>
      </c>
      <c r="BV145" s="1">
        <v>11924.921</v>
      </c>
      <c r="BW145" s="1">
        <v>14280.52</v>
      </c>
      <c r="BX145" s="1">
        <v>12521.62</v>
      </c>
      <c r="BY145" s="1">
        <v>8516.2899999999991</v>
      </c>
      <c r="BZ145" s="1">
        <v>11924.921</v>
      </c>
      <c r="CA145" s="1">
        <v>14280.52</v>
      </c>
      <c r="CB145" s="1">
        <v>12521.62</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1480.249</v>
      </c>
      <c r="CT145" s="1">
        <v>4945.1289999999999</v>
      </c>
      <c r="CU145" s="1">
        <v>14314.4</v>
      </c>
      <c r="CV145" s="1">
        <v>12549.32</v>
      </c>
      <c r="CW145" s="1">
        <v>1480.249</v>
      </c>
      <c r="CX145" s="1">
        <v>4945.1289999999999</v>
      </c>
      <c r="CY145" s="1">
        <v>14314.4</v>
      </c>
      <c r="CZ145" s="1">
        <v>12549.32</v>
      </c>
      <c r="DA145" s="1">
        <v>0</v>
      </c>
      <c r="DB145" s="1">
        <v>0</v>
      </c>
      <c r="DC145" s="1">
        <v>0</v>
      </c>
      <c r="DD145" s="1">
        <v>0</v>
      </c>
      <c r="DE145" s="1">
        <v>0</v>
      </c>
      <c r="DF145" s="1">
        <v>0</v>
      </c>
      <c r="DG145" s="1">
        <v>0</v>
      </c>
      <c r="DH145" s="1">
        <v>0</v>
      </c>
      <c r="DI145" s="1">
        <v>0</v>
      </c>
      <c r="DJ145" s="1">
        <v>0</v>
      </c>
      <c r="DK145" s="1">
        <v>0</v>
      </c>
      <c r="DL145" s="1">
        <v>0</v>
      </c>
      <c r="DM145" s="1">
        <v>4487.3099999999986</v>
      </c>
      <c r="DN145" s="1">
        <v>7231.4</v>
      </c>
      <c r="DO145" s="1">
        <v>14387.303</v>
      </c>
      <c r="DP145" s="1">
        <v>12600.843000000001</v>
      </c>
      <c r="DQ145" s="1">
        <v>4487.3099999999986</v>
      </c>
      <c r="DR145" s="1">
        <v>7231.4</v>
      </c>
      <c r="DS145" s="1">
        <v>14387.303</v>
      </c>
      <c r="DT145" s="1">
        <v>12600.843000000001</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734.41</v>
      </c>
      <c r="EL145" s="1">
        <v>4371.1399999999994</v>
      </c>
      <c r="EM145" s="1">
        <v>14284.02</v>
      </c>
      <c r="EN145" s="1">
        <v>12528.85</v>
      </c>
      <c r="EO145" s="1">
        <v>734.41</v>
      </c>
      <c r="EP145" s="1">
        <v>4371.1399999999994</v>
      </c>
      <c r="EQ145" s="1">
        <v>14284.02</v>
      </c>
      <c r="ER145" s="1">
        <v>12528.85</v>
      </c>
      <c r="ES145" s="1">
        <v>0</v>
      </c>
      <c r="ET145" s="1">
        <v>0</v>
      </c>
      <c r="EU145" s="1">
        <v>0</v>
      </c>
      <c r="EV145" s="1">
        <v>0</v>
      </c>
      <c r="EW145" s="1">
        <v>0</v>
      </c>
      <c r="EX145" s="1">
        <v>0</v>
      </c>
      <c r="EY145" s="1">
        <v>0</v>
      </c>
      <c r="EZ145" s="1">
        <v>0</v>
      </c>
      <c r="FA145" s="1">
        <v>0</v>
      </c>
      <c r="FB145" s="1">
        <v>0</v>
      </c>
      <c r="FC145" s="1">
        <v>0</v>
      </c>
      <c r="FD145" s="1">
        <v>0</v>
      </c>
      <c r="FE145" s="1">
        <v>7.9499999999999993</v>
      </c>
      <c r="FF145" s="1">
        <v>20.94</v>
      </c>
      <c r="FG145" s="1">
        <v>1.587</v>
      </c>
      <c r="FH145" s="1">
        <v>2.9660000000000002</v>
      </c>
      <c r="FI145" s="1">
        <v>7.9499999999999993</v>
      </c>
      <c r="FJ145" s="1">
        <v>20.94</v>
      </c>
      <c r="FK145" s="1">
        <v>1.587</v>
      </c>
      <c r="FL145" s="1">
        <v>2.9660000000000002</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63.600000000000009</v>
      </c>
      <c r="GD145" s="1">
        <v>81.16</v>
      </c>
      <c r="GE145" s="1">
        <v>71.66</v>
      </c>
      <c r="GF145" s="1">
        <v>65.239999999999995</v>
      </c>
      <c r="GG145" s="1">
        <v>63.600000000000009</v>
      </c>
      <c r="GH145" s="1">
        <v>81.16</v>
      </c>
      <c r="GI145" s="1">
        <v>71.66</v>
      </c>
      <c r="GJ145" s="1">
        <v>65.239999999999995</v>
      </c>
      <c r="GK145" s="1">
        <v>0</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0</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425.62</v>
      </c>
      <c r="IP145" s="1">
        <v>245.76</v>
      </c>
      <c r="IQ145" s="1">
        <v>707.49</v>
      </c>
      <c r="IR145" s="1">
        <v>346.72</v>
      </c>
      <c r="IS145" s="1">
        <v>425.62</v>
      </c>
      <c r="IT145" s="1">
        <v>245.76</v>
      </c>
      <c r="IU145" s="1">
        <v>707.49</v>
      </c>
      <c r="IV145" s="1">
        <v>346.72</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0</v>
      </c>
      <c r="JO145" s="1">
        <v>0</v>
      </c>
      <c r="JP145" s="1">
        <v>0</v>
      </c>
      <c r="JQ145" s="9"/>
      <c r="JR145" s="1">
        <f t="shared" si="38"/>
        <v>5391.4059000000016</v>
      </c>
      <c r="JS145" s="1">
        <f t="shared" si="38"/>
        <v>5643.1268999999966</v>
      </c>
      <c r="JT145" s="1">
        <f t="shared" si="38"/>
        <v>5355.973799999997</v>
      </c>
      <c r="JU145" s="1">
        <f t="shared" si="36"/>
        <v>5598.5364000000027</v>
      </c>
      <c r="JV145" s="1">
        <f t="shared" si="39"/>
        <v>998.40850000000034</v>
      </c>
      <c r="JW145" s="1">
        <f t="shared" si="39"/>
        <v>1045.0234999999993</v>
      </c>
      <c r="JX145" s="1">
        <f t="shared" si="39"/>
        <v>991.84699999999941</v>
      </c>
      <c r="JY145" s="1">
        <f t="shared" si="37"/>
        <v>1036.7660000000003</v>
      </c>
    </row>
    <row r="146" spans="1:285" x14ac:dyDescent="0.35">
      <c r="A146" s="2" t="s">
        <v>153</v>
      </c>
      <c r="B146" s="1">
        <v>65090</v>
      </c>
      <c r="C146" s="1">
        <v>66611</v>
      </c>
      <c r="D146" s="1">
        <v>67624</v>
      </c>
      <c r="E146" s="1">
        <v>68400</v>
      </c>
      <c r="F146" s="1">
        <v>25886.965</v>
      </c>
      <c r="G146" s="1">
        <v>27901.834999999999</v>
      </c>
      <c r="H146" s="1">
        <v>26937.468000000001</v>
      </c>
      <c r="I146" s="1">
        <v>25748.053</v>
      </c>
      <c r="J146" s="1">
        <f t="shared" si="40"/>
        <v>21074.228999999999</v>
      </c>
      <c r="K146" s="1">
        <f t="shared" si="41"/>
        <v>23086.208999999999</v>
      </c>
      <c r="L146" s="1">
        <f t="shared" si="42"/>
        <v>22536.323000000004</v>
      </c>
      <c r="M146" s="1">
        <f t="shared" si="43"/>
        <v>21389.236000000004</v>
      </c>
      <c r="N146" s="1">
        <f t="shared" si="44"/>
        <v>4812.7360000000008</v>
      </c>
      <c r="O146" s="1">
        <f t="shared" si="45"/>
        <v>4815.6260000000002</v>
      </c>
      <c r="P146" s="1">
        <f t="shared" si="46"/>
        <v>4401.1449999999968</v>
      </c>
      <c r="Q146" s="1">
        <f t="shared" si="47"/>
        <v>4358.8169999999955</v>
      </c>
      <c r="R146" s="1">
        <v>2532.7600000000002</v>
      </c>
      <c r="S146" s="1">
        <v>2495.7600000000002</v>
      </c>
      <c r="T146" s="1">
        <v>2314.42</v>
      </c>
      <c r="U146" s="1">
        <v>2192.29</v>
      </c>
      <c r="V146" s="1">
        <v>0</v>
      </c>
      <c r="W146" s="1">
        <v>0</v>
      </c>
      <c r="X146" s="1">
        <v>2532.7600000000002</v>
      </c>
      <c r="Y146" s="1">
        <v>0</v>
      </c>
      <c r="Z146" s="1">
        <v>0</v>
      </c>
      <c r="AA146" s="1">
        <v>2495.7600000000002</v>
      </c>
      <c r="AB146" s="1">
        <v>0</v>
      </c>
      <c r="AC146" s="1">
        <v>0</v>
      </c>
      <c r="AD146" s="1">
        <v>2314.42</v>
      </c>
      <c r="AE146" s="1">
        <v>0</v>
      </c>
      <c r="AF146" s="1">
        <v>0</v>
      </c>
      <c r="AG146" s="1">
        <v>2192.29</v>
      </c>
      <c r="AH146" s="1">
        <v>0</v>
      </c>
      <c r="AI146" s="1">
        <v>0</v>
      </c>
      <c r="AJ146" s="1">
        <v>0</v>
      </c>
      <c r="AK146" s="1">
        <v>0</v>
      </c>
      <c r="AL146" s="1">
        <v>0</v>
      </c>
      <c r="AM146" s="1">
        <v>0</v>
      </c>
      <c r="AN146" s="1">
        <v>0</v>
      </c>
      <c r="AO146" s="1">
        <v>0</v>
      </c>
      <c r="AP146" s="1">
        <v>5577.4199999999992</v>
      </c>
      <c r="AQ146" s="1">
        <v>5991.41</v>
      </c>
      <c r="AR146" s="1">
        <v>4988.6400000000003</v>
      </c>
      <c r="AS146" s="1">
        <v>5883.23</v>
      </c>
      <c r="AT146" s="1">
        <v>0</v>
      </c>
      <c r="AU146" s="1">
        <v>5577.4199999999992</v>
      </c>
      <c r="AV146" s="1">
        <v>0</v>
      </c>
      <c r="AW146" s="1">
        <v>0</v>
      </c>
      <c r="AX146" s="1">
        <v>0</v>
      </c>
      <c r="AY146" s="1">
        <v>5991.41</v>
      </c>
      <c r="AZ146" s="1">
        <v>0</v>
      </c>
      <c r="BA146" s="1">
        <v>0</v>
      </c>
      <c r="BB146" s="1">
        <v>0</v>
      </c>
      <c r="BC146" s="1">
        <v>4988.6400000000003</v>
      </c>
      <c r="BD146" s="1">
        <v>0</v>
      </c>
      <c r="BE146" s="1">
        <v>0</v>
      </c>
      <c r="BF146" s="1">
        <v>5883.23</v>
      </c>
      <c r="BG146" s="1">
        <v>0</v>
      </c>
      <c r="BH146" s="1">
        <v>0</v>
      </c>
      <c r="BI146" s="1">
        <v>0</v>
      </c>
      <c r="BJ146" s="1">
        <v>0</v>
      </c>
      <c r="BK146" s="1">
        <v>0</v>
      </c>
      <c r="BL146" s="1">
        <v>0</v>
      </c>
      <c r="BM146" s="1">
        <v>0</v>
      </c>
      <c r="BN146" s="1">
        <v>0</v>
      </c>
      <c r="BO146" s="1">
        <v>0</v>
      </c>
      <c r="BP146" s="1">
        <v>0</v>
      </c>
      <c r="BQ146" s="1">
        <v>0</v>
      </c>
      <c r="BR146" s="1">
        <v>0</v>
      </c>
      <c r="BS146" s="1">
        <v>0</v>
      </c>
      <c r="BT146" s="1">
        <v>0</v>
      </c>
      <c r="BU146" s="1">
        <v>8710.31</v>
      </c>
      <c r="BV146" s="1">
        <v>10329.235000000001</v>
      </c>
      <c r="BW146" s="1">
        <v>11348.682000000001</v>
      </c>
      <c r="BX146" s="1">
        <v>9522.6080000000002</v>
      </c>
      <c r="BY146" s="1">
        <v>8710.31</v>
      </c>
      <c r="BZ146" s="1">
        <v>10329.235000000001</v>
      </c>
      <c r="CA146" s="1">
        <v>11348.682000000001</v>
      </c>
      <c r="CB146" s="1">
        <v>9522.6080000000002</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1698.6</v>
      </c>
      <c r="CT146" s="1">
        <v>1699.6120000000001</v>
      </c>
      <c r="CU146" s="1">
        <v>1577.7660000000001</v>
      </c>
      <c r="CV146" s="1">
        <v>1465.4159999999999</v>
      </c>
      <c r="CW146" s="1">
        <v>1698.6</v>
      </c>
      <c r="CX146" s="1">
        <v>1699.6120000000001</v>
      </c>
      <c r="CY146" s="1">
        <v>1577.7660000000001</v>
      </c>
      <c r="CZ146" s="1">
        <v>1465.4159999999999</v>
      </c>
      <c r="DA146" s="1">
        <v>0</v>
      </c>
      <c r="DB146" s="1">
        <v>0</v>
      </c>
      <c r="DC146" s="1">
        <v>0</v>
      </c>
      <c r="DD146" s="1">
        <v>0</v>
      </c>
      <c r="DE146" s="1">
        <v>0</v>
      </c>
      <c r="DF146" s="1">
        <v>0</v>
      </c>
      <c r="DG146" s="1">
        <v>0</v>
      </c>
      <c r="DH146" s="1">
        <v>0</v>
      </c>
      <c r="DI146" s="1">
        <v>0</v>
      </c>
      <c r="DJ146" s="1">
        <v>0</v>
      </c>
      <c r="DK146" s="1">
        <v>0</v>
      </c>
      <c r="DL146" s="1">
        <v>0</v>
      </c>
      <c r="DM146" s="1">
        <v>2284.83</v>
      </c>
      <c r="DN146" s="1">
        <v>2296.17</v>
      </c>
      <c r="DO146" s="1">
        <v>2045.845</v>
      </c>
      <c r="DP146" s="1">
        <v>2038.0409999999999</v>
      </c>
      <c r="DQ146" s="1">
        <v>2284.83</v>
      </c>
      <c r="DR146" s="1">
        <v>2296.17</v>
      </c>
      <c r="DS146" s="1">
        <v>2045.845</v>
      </c>
      <c r="DT146" s="1">
        <v>2038.0409999999999</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123.319</v>
      </c>
      <c r="EL146" s="1">
        <v>123.389</v>
      </c>
      <c r="EM146" s="1">
        <v>128.09299999999999</v>
      </c>
      <c r="EN146" s="1">
        <v>156.9</v>
      </c>
      <c r="EO146" s="1">
        <v>123.319</v>
      </c>
      <c r="EP146" s="1">
        <v>123.389</v>
      </c>
      <c r="EQ146" s="1">
        <v>128.09299999999999</v>
      </c>
      <c r="ER146" s="1">
        <v>156.9</v>
      </c>
      <c r="ES146" s="1">
        <v>0</v>
      </c>
      <c r="ET146" s="1">
        <v>0</v>
      </c>
      <c r="EU146" s="1">
        <v>0</v>
      </c>
      <c r="EV146" s="1">
        <v>0</v>
      </c>
      <c r="EW146" s="1">
        <v>0</v>
      </c>
      <c r="EX146" s="1">
        <v>0</v>
      </c>
      <c r="EY146" s="1">
        <v>0</v>
      </c>
      <c r="EZ146" s="1">
        <v>0</v>
      </c>
      <c r="FA146" s="1">
        <v>0</v>
      </c>
      <c r="FB146" s="1">
        <v>0</v>
      </c>
      <c r="FC146" s="1">
        <v>0</v>
      </c>
      <c r="FD146" s="1">
        <v>0</v>
      </c>
      <c r="FE146" s="1">
        <v>146.99</v>
      </c>
      <c r="FF146" s="1">
        <v>150.63300000000001</v>
      </c>
      <c r="FG146" s="1">
        <v>132.87700000000001</v>
      </c>
      <c r="FH146" s="1">
        <v>130.751</v>
      </c>
      <c r="FI146" s="1">
        <v>146.99</v>
      </c>
      <c r="FJ146" s="1">
        <v>150.63300000000001</v>
      </c>
      <c r="FK146" s="1">
        <v>132.87700000000001</v>
      </c>
      <c r="FL146" s="1">
        <v>130.751</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0</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0</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0</v>
      </c>
      <c r="JO146" s="1">
        <v>0</v>
      </c>
      <c r="JP146" s="1">
        <v>0</v>
      </c>
      <c r="JQ146" s="9"/>
      <c r="JR146" s="1">
        <f t="shared" si="38"/>
        <v>1299.4387200000003</v>
      </c>
      <c r="JS146" s="1">
        <f t="shared" si="38"/>
        <v>1300.2190200000002</v>
      </c>
      <c r="JT146" s="1">
        <f t="shared" si="38"/>
        <v>1188.3091499999991</v>
      </c>
      <c r="JU146" s="1">
        <f t="shared" si="36"/>
        <v>1176.8805899999988</v>
      </c>
      <c r="JV146" s="1">
        <f t="shared" si="39"/>
        <v>240.63680000000005</v>
      </c>
      <c r="JW146" s="1">
        <f t="shared" si="39"/>
        <v>240.78130000000002</v>
      </c>
      <c r="JX146" s="1">
        <f t="shared" si="39"/>
        <v>220.05724999999984</v>
      </c>
      <c r="JY146" s="1">
        <f t="shared" si="37"/>
        <v>217.94084999999978</v>
      </c>
    </row>
    <row r="147" spans="1:285" x14ac:dyDescent="0.35">
      <c r="A147" s="2" t="s">
        <v>154</v>
      </c>
      <c r="B147" s="1">
        <v>78288</v>
      </c>
      <c r="C147" s="1">
        <v>79969</v>
      </c>
      <c r="D147" s="1">
        <v>81113</v>
      </c>
      <c r="E147" s="1">
        <v>81943</v>
      </c>
      <c r="F147" s="1">
        <v>30109.02</v>
      </c>
      <c r="G147" s="1">
        <v>28040.753000000001</v>
      </c>
      <c r="H147" s="1">
        <v>23835.628000000001</v>
      </c>
      <c r="I147" s="1">
        <v>26555.192999999999</v>
      </c>
      <c r="J147" s="1">
        <f t="shared" si="40"/>
        <v>18668.868999999999</v>
      </c>
      <c r="K147" s="1">
        <f t="shared" si="41"/>
        <v>16987.195</v>
      </c>
      <c r="L147" s="1">
        <f t="shared" si="42"/>
        <v>13143.720999999998</v>
      </c>
      <c r="M147" s="1">
        <f t="shared" si="43"/>
        <v>15419.556000000002</v>
      </c>
      <c r="N147" s="1">
        <f t="shared" si="44"/>
        <v>11440.151000000002</v>
      </c>
      <c r="O147" s="1">
        <f t="shared" si="45"/>
        <v>11053.558000000001</v>
      </c>
      <c r="P147" s="1">
        <f t="shared" si="46"/>
        <v>10691.907000000003</v>
      </c>
      <c r="Q147" s="1">
        <f t="shared" si="47"/>
        <v>11135.636999999997</v>
      </c>
      <c r="R147" s="1">
        <v>0</v>
      </c>
      <c r="S147" s="1">
        <v>0</v>
      </c>
      <c r="T147" s="1">
        <v>0</v>
      </c>
      <c r="U147" s="1">
        <v>0</v>
      </c>
      <c r="V147" s="1">
        <v>0</v>
      </c>
      <c r="W147" s="1">
        <v>0</v>
      </c>
      <c r="X147" s="1">
        <v>0</v>
      </c>
      <c r="Y147" s="1">
        <v>0</v>
      </c>
      <c r="Z147" s="1">
        <v>0</v>
      </c>
      <c r="AA147" s="1">
        <v>0</v>
      </c>
      <c r="AB147" s="1">
        <v>0</v>
      </c>
      <c r="AC147" s="1">
        <v>0</v>
      </c>
      <c r="AD147" s="1">
        <v>0</v>
      </c>
      <c r="AE147" s="1">
        <v>0</v>
      </c>
      <c r="AF147" s="1">
        <v>0</v>
      </c>
      <c r="AG147" s="1">
        <v>0</v>
      </c>
      <c r="AH147" s="1">
        <v>0</v>
      </c>
      <c r="AI147" s="1">
        <v>0</v>
      </c>
      <c r="AJ147" s="1">
        <v>0</v>
      </c>
      <c r="AK147" s="1">
        <v>0</v>
      </c>
      <c r="AL147" s="1">
        <v>0</v>
      </c>
      <c r="AM147" s="1">
        <v>0</v>
      </c>
      <c r="AN147" s="1">
        <v>0</v>
      </c>
      <c r="AO147" s="1">
        <v>0</v>
      </c>
      <c r="AP147" s="1">
        <v>3148.4799999999996</v>
      </c>
      <c r="AQ147" s="1">
        <v>3535.52</v>
      </c>
      <c r="AR147" s="1">
        <v>3315.88</v>
      </c>
      <c r="AS147" s="1">
        <v>3905.518</v>
      </c>
      <c r="AT147" s="1">
        <v>0</v>
      </c>
      <c r="AU147" s="1">
        <v>3148.4799999999996</v>
      </c>
      <c r="AV147" s="1">
        <v>0</v>
      </c>
      <c r="AW147" s="1">
        <v>0</v>
      </c>
      <c r="AX147" s="1">
        <v>0</v>
      </c>
      <c r="AY147" s="1">
        <v>3535.52</v>
      </c>
      <c r="AZ147" s="1">
        <v>0</v>
      </c>
      <c r="BA147" s="1">
        <v>0</v>
      </c>
      <c r="BB147" s="1">
        <v>0</v>
      </c>
      <c r="BC147" s="1">
        <v>3315.88</v>
      </c>
      <c r="BD147" s="1">
        <v>0</v>
      </c>
      <c r="BE147" s="1">
        <v>0</v>
      </c>
      <c r="BF147" s="1">
        <v>3905.518</v>
      </c>
      <c r="BG147" s="1">
        <v>0</v>
      </c>
      <c r="BH147" s="1">
        <v>0</v>
      </c>
      <c r="BI147" s="1">
        <v>0</v>
      </c>
      <c r="BJ147" s="1">
        <v>0</v>
      </c>
      <c r="BK147" s="1">
        <v>0</v>
      </c>
      <c r="BL147" s="1">
        <v>0</v>
      </c>
      <c r="BM147" s="1">
        <v>0</v>
      </c>
      <c r="BN147" s="1">
        <v>0</v>
      </c>
      <c r="BO147" s="1">
        <v>0</v>
      </c>
      <c r="BP147" s="1">
        <v>0</v>
      </c>
      <c r="BQ147" s="1">
        <v>0</v>
      </c>
      <c r="BR147" s="1">
        <v>0</v>
      </c>
      <c r="BS147" s="1">
        <v>0</v>
      </c>
      <c r="BT147" s="1">
        <v>0</v>
      </c>
      <c r="BU147" s="1">
        <v>7054.9299999999994</v>
      </c>
      <c r="BV147" s="1">
        <v>6239.380000000001</v>
      </c>
      <c r="BW147" s="1">
        <v>4611.63</v>
      </c>
      <c r="BX147" s="1">
        <v>5702.02</v>
      </c>
      <c r="BY147" s="1">
        <v>7054.9299999999994</v>
      </c>
      <c r="BZ147" s="1">
        <v>6239.380000000001</v>
      </c>
      <c r="CA147" s="1">
        <v>4611.63</v>
      </c>
      <c r="CB147" s="1">
        <v>5702.02</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2774.95</v>
      </c>
      <c r="CT147" s="1">
        <v>2565.62</v>
      </c>
      <c r="CU147" s="1">
        <v>1251.81</v>
      </c>
      <c r="CV147" s="1">
        <v>2188.41</v>
      </c>
      <c r="CW147" s="1">
        <v>2774.95</v>
      </c>
      <c r="CX147" s="1">
        <v>2565.62</v>
      </c>
      <c r="CY147" s="1">
        <v>1251.81</v>
      </c>
      <c r="CZ147" s="1">
        <v>2188.41</v>
      </c>
      <c r="DA147" s="1">
        <v>0</v>
      </c>
      <c r="DB147" s="1">
        <v>0</v>
      </c>
      <c r="DC147" s="1">
        <v>0</v>
      </c>
      <c r="DD147" s="1">
        <v>0</v>
      </c>
      <c r="DE147" s="1">
        <v>0</v>
      </c>
      <c r="DF147" s="1">
        <v>0</v>
      </c>
      <c r="DG147" s="1">
        <v>0</v>
      </c>
      <c r="DH147" s="1">
        <v>0</v>
      </c>
      <c r="DI147" s="1">
        <v>0</v>
      </c>
      <c r="DJ147" s="1">
        <v>0</v>
      </c>
      <c r="DK147" s="1">
        <v>0</v>
      </c>
      <c r="DL147" s="1">
        <v>0</v>
      </c>
      <c r="DM147" s="1">
        <v>3324.7</v>
      </c>
      <c r="DN147" s="1">
        <v>3487.73</v>
      </c>
      <c r="DO147" s="1">
        <v>2977.05</v>
      </c>
      <c r="DP147" s="1">
        <v>2836.63</v>
      </c>
      <c r="DQ147" s="1">
        <v>3324.7</v>
      </c>
      <c r="DR147" s="1">
        <v>3487.73</v>
      </c>
      <c r="DS147" s="1">
        <v>2977.05</v>
      </c>
      <c r="DT147" s="1">
        <v>2836.63</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2152.7809999999999</v>
      </c>
      <c r="EL147" s="1">
        <v>797.05</v>
      </c>
      <c r="EM147" s="1">
        <v>710.07999999999993</v>
      </c>
      <c r="EN147" s="1">
        <v>370.51</v>
      </c>
      <c r="EO147" s="1">
        <v>2152.6610000000001</v>
      </c>
      <c r="EP147" s="1">
        <v>796.94</v>
      </c>
      <c r="EQ147" s="1">
        <v>709.57</v>
      </c>
      <c r="ER147" s="1">
        <v>369.33</v>
      </c>
      <c r="ES147" s="1">
        <v>0.12</v>
      </c>
      <c r="ET147" s="1">
        <v>0.11</v>
      </c>
      <c r="EU147" s="1">
        <v>0.51</v>
      </c>
      <c r="EV147" s="1">
        <v>1.18</v>
      </c>
      <c r="EW147" s="1">
        <v>0</v>
      </c>
      <c r="EX147" s="1">
        <v>0</v>
      </c>
      <c r="EY147" s="1">
        <v>0</v>
      </c>
      <c r="EZ147" s="1">
        <v>0</v>
      </c>
      <c r="FA147" s="1">
        <v>0</v>
      </c>
      <c r="FB147" s="1">
        <v>0</v>
      </c>
      <c r="FC147" s="1">
        <v>0</v>
      </c>
      <c r="FD147" s="1">
        <v>0</v>
      </c>
      <c r="FE147" s="1">
        <v>26.1</v>
      </c>
      <c r="FF147" s="1">
        <v>45.055999999999997</v>
      </c>
      <c r="FG147" s="1">
        <v>59.399000000000001</v>
      </c>
      <c r="FH147" s="1">
        <v>59.86</v>
      </c>
      <c r="FI147" s="1">
        <v>26.1</v>
      </c>
      <c r="FJ147" s="1">
        <v>45.055999999999997</v>
      </c>
      <c r="FK147" s="1">
        <v>59.399000000000001</v>
      </c>
      <c r="FL147" s="1">
        <v>59.86</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18.167999999999999</v>
      </c>
      <c r="GD147" s="1">
        <v>17.088999999999999</v>
      </c>
      <c r="GE147" s="1">
        <v>11.462</v>
      </c>
      <c r="GF147" s="1">
        <v>9.4380000000000006</v>
      </c>
      <c r="GG147" s="1">
        <v>18.167999999999999</v>
      </c>
      <c r="GH147" s="1">
        <v>17.088999999999999</v>
      </c>
      <c r="GI147" s="1">
        <v>11.462</v>
      </c>
      <c r="GJ147" s="1">
        <v>9.4380000000000006</v>
      </c>
      <c r="GK147" s="1">
        <v>0</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0</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168.76</v>
      </c>
      <c r="IP147" s="1">
        <v>299.75</v>
      </c>
      <c r="IQ147" s="1">
        <v>206.41</v>
      </c>
      <c r="IR147" s="1">
        <v>347.17</v>
      </c>
      <c r="IS147" s="1">
        <v>168.76</v>
      </c>
      <c r="IT147" s="1">
        <v>299.75</v>
      </c>
      <c r="IU147" s="1">
        <v>206.41</v>
      </c>
      <c r="IV147" s="1">
        <v>347.17</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0</v>
      </c>
      <c r="JO147" s="1">
        <v>0</v>
      </c>
      <c r="JP147" s="1">
        <v>0</v>
      </c>
      <c r="JQ147" s="9"/>
      <c r="JR147" s="1">
        <f t="shared" si="38"/>
        <v>3088.8407700000007</v>
      </c>
      <c r="JS147" s="1">
        <f t="shared" si="38"/>
        <v>2984.4606600000006</v>
      </c>
      <c r="JT147" s="1">
        <f t="shared" si="38"/>
        <v>2886.814890000001</v>
      </c>
      <c r="JU147" s="1">
        <f t="shared" si="36"/>
        <v>3006.6219899999992</v>
      </c>
      <c r="JV147" s="1">
        <f t="shared" si="39"/>
        <v>572.00755000000015</v>
      </c>
      <c r="JW147" s="1">
        <f t="shared" si="39"/>
        <v>552.67790000000002</v>
      </c>
      <c r="JX147" s="1">
        <f t="shared" si="39"/>
        <v>534.59535000000017</v>
      </c>
      <c r="JY147" s="1">
        <f t="shared" si="37"/>
        <v>556.78184999999985</v>
      </c>
    </row>
    <row r="148" spans="1:285" x14ac:dyDescent="0.35">
      <c r="A148" s="2" t="s">
        <v>155</v>
      </c>
      <c r="B148" s="1">
        <v>547340</v>
      </c>
      <c r="C148" s="1">
        <v>550630</v>
      </c>
      <c r="D148" s="1">
        <v>569103</v>
      </c>
      <c r="E148" s="1">
        <v>581302</v>
      </c>
      <c r="F148" s="1">
        <v>103130.38</v>
      </c>
      <c r="G148" s="1">
        <v>100430.46</v>
      </c>
      <c r="H148" s="1">
        <v>95706.6</v>
      </c>
      <c r="I148" s="1">
        <v>97482.075000000012</v>
      </c>
      <c r="J148" s="1">
        <f t="shared" si="40"/>
        <v>66067.02</v>
      </c>
      <c r="K148" s="1">
        <f t="shared" si="41"/>
        <v>65370.210000000006</v>
      </c>
      <c r="L148" s="1">
        <f t="shared" si="42"/>
        <v>60092.5</v>
      </c>
      <c r="M148" s="1">
        <f t="shared" si="43"/>
        <v>60375.954999999994</v>
      </c>
      <c r="N148" s="1">
        <f t="shared" si="44"/>
        <v>37063.360000000001</v>
      </c>
      <c r="O148" s="1">
        <f t="shared" si="45"/>
        <v>35060.25</v>
      </c>
      <c r="P148" s="1">
        <f t="shared" si="46"/>
        <v>35614.100000000006</v>
      </c>
      <c r="Q148" s="1">
        <f t="shared" si="47"/>
        <v>37106.120000000017</v>
      </c>
      <c r="R148" s="1">
        <v>0</v>
      </c>
      <c r="S148" s="1">
        <v>0</v>
      </c>
      <c r="T148" s="1">
        <v>0</v>
      </c>
      <c r="U148" s="1">
        <v>0</v>
      </c>
      <c r="V148" s="1">
        <v>0</v>
      </c>
      <c r="W148" s="1">
        <v>0</v>
      </c>
      <c r="X148" s="1">
        <v>0</v>
      </c>
      <c r="Y148" s="1">
        <v>0</v>
      </c>
      <c r="Z148" s="1">
        <v>0</v>
      </c>
      <c r="AA148" s="1">
        <v>0</v>
      </c>
      <c r="AB148" s="1">
        <v>0</v>
      </c>
      <c r="AC148" s="1">
        <v>0</v>
      </c>
      <c r="AD148" s="1">
        <v>0</v>
      </c>
      <c r="AE148" s="1">
        <v>0</v>
      </c>
      <c r="AF148" s="1">
        <v>0</v>
      </c>
      <c r="AG148" s="1">
        <v>0</v>
      </c>
      <c r="AH148" s="1">
        <v>0</v>
      </c>
      <c r="AI148" s="1">
        <v>0</v>
      </c>
      <c r="AJ148" s="1">
        <v>0</v>
      </c>
      <c r="AK148" s="1">
        <v>0</v>
      </c>
      <c r="AL148" s="1">
        <v>0</v>
      </c>
      <c r="AM148" s="1">
        <v>0</v>
      </c>
      <c r="AN148" s="1">
        <v>0</v>
      </c>
      <c r="AO148" s="1">
        <v>0</v>
      </c>
      <c r="AP148" s="1">
        <v>29833.1</v>
      </c>
      <c r="AQ148" s="1">
        <v>30697.309999999998</v>
      </c>
      <c r="AR148" s="1">
        <v>28310.51</v>
      </c>
      <c r="AS148" s="1">
        <v>28744.440000000002</v>
      </c>
      <c r="AT148" s="1">
        <v>29833.1</v>
      </c>
      <c r="AU148" s="1">
        <v>0</v>
      </c>
      <c r="AV148" s="1">
        <v>0</v>
      </c>
      <c r="AW148" s="1">
        <v>0</v>
      </c>
      <c r="AX148" s="1">
        <v>30697.309999999998</v>
      </c>
      <c r="AY148" s="1">
        <v>0</v>
      </c>
      <c r="AZ148" s="1">
        <v>0</v>
      </c>
      <c r="BA148" s="1">
        <v>0</v>
      </c>
      <c r="BB148" s="1">
        <v>28310.51</v>
      </c>
      <c r="BC148" s="1">
        <v>0</v>
      </c>
      <c r="BD148" s="1">
        <v>0</v>
      </c>
      <c r="BE148" s="1">
        <v>28744.440000000002</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13352.39</v>
      </c>
      <c r="BV148" s="1">
        <v>12925.83</v>
      </c>
      <c r="BW148" s="1">
        <v>12581.95</v>
      </c>
      <c r="BX148" s="1">
        <v>12706.06</v>
      </c>
      <c r="BY148" s="1">
        <v>13352.39</v>
      </c>
      <c r="BZ148" s="1">
        <v>12925.83</v>
      </c>
      <c r="CA148" s="1">
        <v>12581.95</v>
      </c>
      <c r="CB148" s="1">
        <v>12706.06</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3475.59</v>
      </c>
      <c r="CT148" s="1">
        <v>2896.51</v>
      </c>
      <c r="CU148" s="1">
        <v>2798.18</v>
      </c>
      <c r="CV148" s="1">
        <v>2884.38</v>
      </c>
      <c r="CW148" s="1">
        <v>3475.59</v>
      </c>
      <c r="CX148" s="1">
        <v>2896.51</v>
      </c>
      <c r="CY148" s="1">
        <v>2798.18</v>
      </c>
      <c r="CZ148" s="1">
        <v>2884.38</v>
      </c>
      <c r="DA148" s="1">
        <v>0</v>
      </c>
      <c r="DB148" s="1">
        <v>0</v>
      </c>
      <c r="DC148" s="1">
        <v>0</v>
      </c>
      <c r="DD148" s="1">
        <v>0</v>
      </c>
      <c r="DE148" s="1">
        <v>0</v>
      </c>
      <c r="DF148" s="1">
        <v>0</v>
      </c>
      <c r="DG148" s="1">
        <v>0</v>
      </c>
      <c r="DH148" s="1">
        <v>0</v>
      </c>
      <c r="DI148" s="1">
        <v>0</v>
      </c>
      <c r="DJ148" s="1">
        <v>0</v>
      </c>
      <c r="DK148" s="1">
        <v>0</v>
      </c>
      <c r="DL148" s="1">
        <v>0</v>
      </c>
      <c r="DM148" s="1">
        <v>14043.31</v>
      </c>
      <c r="DN148" s="1">
        <v>14015.76</v>
      </c>
      <c r="DO148" s="1">
        <v>12822.88</v>
      </c>
      <c r="DP148" s="1">
        <v>12226.1</v>
      </c>
      <c r="DQ148" s="1">
        <v>14043.31</v>
      </c>
      <c r="DR148" s="1">
        <v>14015.76</v>
      </c>
      <c r="DS148" s="1">
        <v>12822.88</v>
      </c>
      <c r="DT148" s="1">
        <v>12226.1</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3939.05</v>
      </c>
      <c r="EL148" s="1">
        <v>3499.57</v>
      </c>
      <c r="EM148" s="1">
        <v>2853.45</v>
      </c>
      <c r="EN148" s="1">
        <v>3063.05</v>
      </c>
      <c r="EO148" s="1">
        <v>3939.05</v>
      </c>
      <c r="EP148" s="1">
        <v>3499.57</v>
      </c>
      <c r="EQ148" s="1">
        <v>2853.45</v>
      </c>
      <c r="ER148" s="1">
        <v>3063.05</v>
      </c>
      <c r="ES148" s="1">
        <v>0</v>
      </c>
      <c r="ET148" s="1">
        <v>0</v>
      </c>
      <c r="EU148" s="1">
        <v>0</v>
      </c>
      <c r="EV148" s="1">
        <v>0</v>
      </c>
      <c r="EW148" s="1">
        <v>0</v>
      </c>
      <c r="EX148" s="1">
        <v>0</v>
      </c>
      <c r="EY148" s="1">
        <v>0</v>
      </c>
      <c r="EZ148" s="1">
        <v>0</v>
      </c>
      <c r="FA148" s="1">
        <v>0</v>
      </c>
      <c r="FB148" s="1">
        <v>0</v>
      </c>
      <c r="FC148" s="1">
        <v>0</v>
      </c>
      <c r="FD148" s="1">
        <v>0</v>
      </c>
      <c r="FE148" s="1">
        <v>518.42000000000007</v>
      </c>
      <c r="FF148" s="1">
        <v>463.56</v>
      </c>
      <c r="FG148" s="1">
        <v>69.8</v>
      </c>
      <c r="FH148" s="1">
        <v>79.964999999999989</v>
      </c>
      <c r="FI148" s="1">
        <v>0</v>
      </c>
      <c r="FJ148" s="1">
        <v>0</v>
      </c>
      <c r="FK148" s="1">
        <v>0</v>
      </c>
      <c r="FL148" s="1">
        <v>0</v>
      </c>
      <c r="FM148" s="1">
        <v>518.42000000000007</v>
      </c>
      <c r="FN148" s="1">
        <v>463.56</v>
      </c>
      <c r="FO148" s="1">
        <v>69.8</v>
      </c>
      <c r="FP148" s="1">
        <v>79.964999999999989</v>
      </c>
      <c r="FQ148" s="1">
        <v>0</v>
      </c>
      <c r="FR148" s="1">
        <v>0</v>
      </c>
      <c r="FS148" s="1">
        <v>0</v>
      </c>
      <c r="FT148" s="1">
        <v>0</v>
      </c>
      <c r="FU148" s="1">
        <v>0</v>
      </c>
      <c r="FV148" s="1">
        <v>0</v>
      </c>
      <c r="FW148" s="1">
        <v>0</v>
      </c>
      <c r="FX148" s="1">
        <v>0</v>
      </c>
      <c r="FY148" s="1">
        <v>0</v>
      </c>
      <c r="FZ148" s="1">
        <v>0</v>
      </c>
      <c r="GA148" s="1">
        <v>0</v>
      </c>
      <c r="GB148" s="1">
        <v>0</v>
      </c>
      <c r="GC148" s="1">
        <v>209.32</v>
      </c>
      <c r="GD148" s="1">
        <v>229.29</v>
      </c>
      <c r="GE148" s="1">
        <v>286.24</v>
      </c>
      <c r="GF148" s="1">
        <v>264.02</v>
      </c>
      <c r="GG148" s="1">
        <v>209.32</v>
      </c>
      <c r="GH148" s="1">
        <v>229.29</v>
      </c>
      <c r="GI148" s="1">
        <v>286.24</v>
      </c>
      <c r="GJ148" s="1">
        <v>264.02</v>
      </c>
      <c r="GK148" s="1">
        <v>0</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491.81999999999988</v>
      </c>
      <c r="HF148" s="1">
        <v>421.98</v>
      </c>
      <c r="HG148" s="1">
        <v>224.01</v>
      </c>
      <c r="HH148" s="1">
        <v>215.93</v>
      </c>
      <c r="HI148" s="1">
        <v>491.81999999999988</v>
      </c>
      <c r="HJ148" s="1">
        <v>421.98</v>
      </c>
      <c r="HK148" s="1">
        <v>224.01</v>
      </c>
      <c r="HL148" s="1">
        <v>215.93</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204.02</v>
      </c>
      <c r="IP148" s="1">
        <v>220.4</v>
      </c>
      <c r="IQ148" s="1">
        <v>145.47999999999999</v>
      </c>
      <c r="IR148" s="1">
        <v>192.01</v>
      </c>
      <c r="IS148" s="1">
        <v>204.02</v>
      </c>
      <c r="IT148" s="1">
        <v>220.4</v>
      </c>
      <c r="IU148" s="1">
        <v>145.47999999999999</v>
      </c>
      <c r="IV148" s="1">
        <v>192.01</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0</v>
      </c>
      <c r="JO148" s="1">
        <v>0</v>
      </c>
      <c r="JP148" s="1">
        <v>0</v>
      </c>
      <c r="JQ148" s="9"/>
      <c r="JR148" s="1">
        <f t="shared" si="38"/>
        <v>10007.1072</v>
      </c>
      <c r="JS148" s="1">
        <f t="shared" si="38"/>
        <v>9466.2674999999999</v>
      </c>
      <c r="JT148" s="1">
        <f t="shared" si="38"/>
        <v>9615.8070000000025</v>
      </c>
      <c r="JU148" s="1">
        <f t="shared" si="36"/>
        <v>10018.652400000004</v>
      </c>
      <c r="JV148" s="1">
        <f t="shared" si="39"/>
        <v>1853.1680000000001</v>
      </c>
      <c r="JW148" s="1">
        <f t="shared" si="39"/>
        <v>1753.0125</v>
      </c>
      <c r="JX148" s="1">
        <f t="shared" si="39"/>
        <v>1780.7050000000004</v>
      </c>
      <c r="JY148" s="1">
        <f t="shared" si="37"/>
        <v>1855.3060000000009</v>
      </c>
    </row>
    <row r="149" spans="1:285" x14ac:dyDescent="0.35">
      <c r="A149" s="2" t="s">
        <v>156</v>
      </c>
      <c r="B149" s="1">
        <v>109964</v>
      </c>
      <c r="C149" s="1">
        <v>110592</v>
      </c>
      <c r="D149" s="1">
        <v>111084</v>
      </c>
      <c r="E149" s="1">
        <v>112277</v>
      </c>
      <c r="F149" s="1">
        <v>43617.096999999987</v>
      </c>
      <c r="G149" s="1">
        <v>43779.876999999993</v>
      </c>
      <c r="H149" s="1">
        <v>30530.946</v>
      </c>
      <c r="I149" s="1">
        <v>23951.218000000001</v>
      </c>
      <c r="J149" s="1">
        <f t="shared" si="40"/>
        <v>32434.008000000002</v>
      </c>
      <c r="K149" s="1">
        <f t="shared" si="41"/>
        <v>33791.671999999999</v>
      </c>
      <c r="L149" s="1">
        <f t="shared" si="42"/>
        <v>21210.633999999998</v>
      </c>
      <c r="M149" s="1">
        <f t="shared" si="43"/>
        <v>16286.911000000002</v>
      </c>
      <c r="N149" s="1">
        <f t="shared" si="44"/>
        <v>11183.088999999985</v>
      </c>
      <c r="O149" s="1">
        <f t="shared" si="45"/>
        <v>9988.2049999999945</v>
      </c>
      <c r="P149" s="1">
        <f t="shared" si="46"/>
        <v>9320.3120000000017</v>
      </c>
      <c r="Q149" s="1">
        <f t="shared" si="47"/>
        <v>7664.3069999999989</v>
      </c>
      <c r="R149" s="1">
        <v>0</v>
      </c>
      <c r="S149" s="1">
        <v>0</v>
      </c>
      <c r="T149" s="1">
        <v>0</v>
      </c>
      <c r="U149" s="1">
        <v>0</v>
      </c>
      <c r="V149" s="1">
        <v>0</v>
      </c>
      <c r="W149" s="1">
        <v>0</v>
      </c>
      <c r="X149" s="1">
        <v>0</v>
      </c>
      <c r="Y149" s="1">
        <v>0</v>
      </c>
      <c r="Z149" s="1">
        <v>0</v>
      </c>
      <c r="AA149" s="1">
        <v>0</v>
      </c>
      <c r="AB149" s="1">
        <v>0</v>
      </c>
      <c r="AC149" s="1">
        <v>0</v>
      </c>
      <c r="AD149" s="1">
        <v>0</v>
      </c>
      <c r="AE149" s="1">
        <v>0</v>
      </c>
      <c r="AF149" s="1">
        <v>0</v>
      </c>
      <c r="AG149" s="1">
        <v>0</v>
      </c>
      <c r="AH149" s="1">
        <v>0</v>
      </c>
      <c r="AI149" s="1">
        <v>0</v>
      </c>
      <c r="AJ149" s="1">
        <v>0</v>
      </c>
      <c r="AK149" s="1">
        <v>0</v>
      </c>
      <c r="AL149" s="1">
        <v>0</v>
      </c>
      <c r="AM149" s="1">
        <v>0</v>
      </c>
      <c r="AN149" s="1">
        <v>0</v>
      </c>
      <c r="AO149" s="1">
        <v>0</v>
      </c>
      <c r="AP149" s="1">
        <v>5756.4900000000007</v>
      </c>
      <c r="AQ149" s="1">
        <v>5594.7100000000009</v>
      </c>
      <c r="AR149" s="1">
        <v>4585.42</v>
      </c>
      <c r="AS149" s="1">
        <v>5362.43</v>
      </c>
      <c r="AT149" s="1">
        <v>0</v>
      </c>
      <c r="AU149" s="1">
        <v>0</v>
      </c>
      <c r="AV149" s="1">
        <v>0</v>
      </c>
      <c r="AW149" s="1">
        <v>0</v>
      </c>
      <c r="AX149" s="1">
        <v>0</v>
      </c>
      <c r="AY149" s="1">
        <v>5594.7100000000009</v>
      </c>
      <c r="AZ149" s="1">
        <v>0</v>
      </c>
      <c r="BA149" s="1">
        <v>0</v>
      </c>
      <c r="BB149" s="1">
        <v>0</v>
      </c>
      <c r="BC149" s="1">
        <v>4585.42</v>
      </c>
      <c r="BD149" s="1">
        <v>0</v>
      </c>
      <c r="BE149" s="1">
        <v>0</v>
      </c>
      <c r="BF149" s="1">
        <v>5362.43</v>
      </c>
      <c r="BG149" s="1">
        <v>0</v>
      </c>
      <c r="BH149" s="1">
        <v>0</v>
      </c>
      <c r="BI149" s="1">
        <v>0</v>
      </c>
      <c r="BJ149" s="1">
        <v>0</v>
      </c>
      <c r="BK149" s="1">
        <v>0</v>
      </c>
      <c r="BL149" s="1">
        <v>0</v>
      </c>
      <c r="BM149" s="1">
        <v>0</v>
      </c>
      <c r="BN149" s="1">
        <v>0</v>
      </c>
      <c r="BO149" s="1">
        <v>0</v>
      </c>
      <c r="BP149" s="1">
        <v>0</v>
      </c>
      <c r="BQ149" s="1">
        <v>0</v>
      </c>
      <c r="BR149" s="1">
        <v>0</v>
      </c>
      <c r="BS149" s="1">
        <v>0</v>
      </c>
      <c r="BT149" s="1">
        <v>0</v>
      </c>
      <c r="BU149" s="1">
        <v>10213.120000000001</v>
      </c>
      <c r="BV149" s="1">
        <v>10334.51</v>
      </c>
      <c r="BW149" s="1">
        <v>7834.4400000000014</v>
      </c>
      <c r="BX149" s="1">
        <v>5999.93</v>
      </c>
      <c r="BY149" s="1">
        <v>10213.120000000001</v>
      </c>
      <c r="BZ149" s="1">
        <v>10334.51</v>
      </c>
      <c r="CA149" s="1">
        <v>7834.4400000000014</v>
      </c>
      <c r="CB149" s="1">
        <v>5999.93</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3961.6799999999989</v>
      </c>
      <c r="CT149" s="1">
        <v>4839.88</v>
      </c>
      <c r="CU149" s="1">
        <v>2105.3200000000002</v>
      </c>
      <c r="CV149" s="1">
        <v>625.39</v>
      </c>
      <c r="CW149" s="1">
        <v>3961.6799999999989</v>
      </c>
      <c r="CX149" s="1">
        <v>4839.88</v>
      </c>
      <c r="CY149" s="1">
        <v>2105.3200000000002</v>
      </c>
      <c r="CZ149" s="1">
        <v>625.39</v>
      </c>
      <c r="DA149" s="1">
        <v>0</v>
      </c>
      <c r="DB149" s="1">
        <v>0</v>
      </c>
      <c r="DC149" s="1">
        <v>0</v>
      </c>
      <c r="DD149" s="1">
        <v>0</v>
      </c>
      <c r="DE149" s="1">
        <v>0</v>
      </c>
      <c r="DF149" s="1">
        <v>0</v>
      </c>
      <c r="DG149" s="1">
        <v>0</v>
      </c>
      <c r="DH149" s="1">
        <v>0</v>
      </c>
      <c r="DI149" s="1">
        <v>0</v>
      </c>
      <c r="DJ149" s="1">
        <v>0</v>
      </c>
      <c r="DK149" s="1">
        <v>0</v>
      </c>
      <c r="DL149" s="1">
        <v>0</v>
      </c>
      <c r="DM149" s="1">
        <v>1380.1089999999999</v>
      </c>
      <c r="DN149" s="1">
        <v>2360.636</v>
      </c>
      <c r="DO149" s="1">
        <v>2461.1750000000002</v>
      </c>
      <c r="DP149" s="1">
        <v>2288.7800000000002</v>
      </c>
      <c r="DQ149" s="1">
        <v>1380.1089999999999</v>
      </c>
      <c r="DR149" s="1">
        <v>2360.636</v>
      </c>
      <c r="DS149" s="1">
        <v>2461.1750000000002</v>
      </c>
      <c r="DT149" s="1">
        <v>2288.7800000000002</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9723.82</v>
      </c>
      <c r="EL149" s="1">
        <v>9955.83</v>
      </c>
      <c r="EM149" s="1">
        <v>4048.5</v>
      </c>
      <c r="EN149" s="1">
        <v>1844.44</v>
      </c>
      <c r="EO149" s="1">
        <v>9723.82</v>
      </c>
      <c r="EP149" s="1">
        <v>9955.83</v>
      </c>
      <c r="EQ149" s="1">
        <v>4048.5</v>
      </c>
      <c r="ER149" s="1">
        <v>1844.44</v>
      </c>
      <c r="ES149" s="1">
        <v>0</v>
      </c>
      <c r="ET149" s="1">
        <v>0</v>
      </c>
      <c r="EU149" s="1">
        <v>0</v>
      </c>
      <c r="EV149" s="1">
        <v>0</v>
      </c>
      <c r="EW149" s="1">
        <v>0</v>
      </c>
      <c r="EX149" s="1">
        <v>0</v>
      </c>
      <c r="EY149" s="1">
        <v>0</v>
      </c>
      <c r="EZ149" s="1">
        <v>0</v>
      </c>
      <c r="FA149" s="1">
        <v>0</v>
      </c>
      <c r="FB149" s="1">
        <v>0</v>
      </c>
      <c r="FC149" s="1">
        <v>0</v>
      </c>
      <c r="FD149" s="1">
        <v>0</v>
      </c>
      <c r="FE149" s="1">
        <v>1380.1089999999999</v>
      </c>
      <c r="FF149" s="1">
        <v>699.46599999999989</v>
      </c>
      <c r="FG149" s="1">
        <v>175.779</v>
      </c>
      <c r="FH149" s="1">
        <v>165.941</v>
      </c>
      <c r="FI149" s="1">
        <v>1380.1089999999999</v>
      </c>
      <c r="FJ149" s="1">
        <v>699.46599999999989</v>
      </c>
      <c r="FK149" s="1">
        <v>175.779</v>
      </c>
      <c r="FL149" s="1">
        <v>165.941</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0</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18.68</v>
      </c>
      <c r="HF149" s="1">
        <v>6.6400000000000006</v>
      </c>
      <c r="HG149" s="1">
        <v>0</v>
      </c>
      <c r="HH149" s="1">
        <v>0</v>
      </c>
      <c r="HI149" s="1">
        <v>18.68</v>
      </c>
      <c r="HJ149" s="1">
        <v>6.6400000000000006</v>
      </c>
      <c r="HK149" s="1">
        <v>0</v>
      </c>
      <c r="HL149" s="1">
        <v>0</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0</v>
      </c>
      <c r="JO149" s="1">
        <v>0</v>
      </c>
      <c r="JP149" s="1">
        <v>0</v>
      </c>
      <c r="JQ149" s="9"/>
      <c r="JR149" s="1">
        <f t="shared" si="38"/>
        <v>3019.4340299999963</v>
      </c>
      <c r="JS149" s="1">
        <f t="shared" si="38"/>
        <v>2696.8153499999985</v>
      </c>
      <c r="JT149" s="1">
        <f t="shared" si="38"/>
        <v>2516.4842400000007</v>
      </c>
      <c r="JU149" s="1">
        <f t="shared" si="36"/>
        <v>2069.3628899999999</v>
      </c>
      <c r="JV149" s="1">
        <f t="shared" si="39"/>
        <v>559.15444999999931</v>
      </c>
      <c r="JW149" s="1">
        <f t="shared" si="39"/>
        <v>499.41024999999973</v>
      </c>
      <c r="JX149" s="1">
        <f t="shared" si="39"/>
        <v>466.01560000000012</v>
      </c>
      <c r="JY149" s="1">
        <f t="shared" si="37"/>
        <v>383.21534999999994</v>
      </c>
    </row>
    <row r="150" spans="1:285" x14ac:dyDescent="0.35">
      <c r="A150" s="2" t="s">
        <v>157</v>
      </c>
      <c r="B150" s="1">
        <v>280364</v>
      </c>
      <c r="C150" s="1">
        <v>279903</v>
      </c>
      <c r="D150" s="1">
        <v>282750</v>
      </c>
      <c r="E150" s="1">
        <v>288003</v>
      </c>
      <c r="F150" s="1">
        <v>239482.139</v>
      </c>
      <c r="G150" s="1">
        <v>243699.29</v>
      </c>
      <c r="H150" s="1">
        <v>227095.77</v>
      </c>
      <c r="I150" s="1">
        <v>227835.69</v>
      </c>
      <c r="J150" s="1">
        <f t="shared" si="40"/>
        <v>66122.835000000006</v>
      </c>
      <c r="K150" s="1">
        <f t="shared" si="41"/>
        <v>63702.070000000014</v>
      </c>
      <c r="L150" s="1">
        <f t="shared" si="42"/>
        <v>49691.23</v>
      </c>
      <c r="M150" s="1">
        <f t="shared" si="43"/>
        <v>51862.430000000015</v>
      </c>
      <c r="N150" s="1">
        <f t="shared" si="44"/>
        <v>173359.304</v>
      </c>
      <c r="O150" s="1">
        <f t="shared" si="45"/>
        <v>179997.22</v>
      </c>
      <c r="P150" s="1">
        <f t="shared" si="46"/>
        <v>177404.53999999998</v>
      </c>
      <c r="Q150" s="1">
        <f t="shared" si="47"/>
        <v>175973.25999999998</v>
      </c>
      <c r="R150" s="1">
        <v>0</v>
      </c>
      <c r="S150" s="1">
        <v>0</v>
      </c>
      <c r="T150" s="1">
        <v>0</v>
      </c>
      <c r="U150" s="1">
        <v>0</v>
      </c>
      <c r="V150" s="1">
        <v>0</v>
      </c>
      <c r="W150" s="1">
        <v>0</v>
      </c>
      <c r="X150" s="1">
        <v>0</v>
      </c>
      <c r="Y150" s="1">
        <v>0</v>
      </c>
      <c r="Z150" s="1">
        <v>0</v>
      </c>
      <c r="AA150" s="1">
        <v>0</v>
      </c>
      <c r="AB150" s="1">
        <v>0</v>
      </c>
      <c r="AC150" s="1">
        <v>0</v>
      </c>
      <c r="AD150" s="1">
        <v>0</v>
      </c>
      <c r="AE150" s="1">
        <v>0</v>
      </c>
      <c r="AF150" s="1">
        <v>0</v>
      </c>
      <c r="AG150" s="1">
        <v>0</v>
      </c>
      <c r="AH150" s="1">
        <v>0</v>
      </c>
      <c r="AI150" s="1">
        <v>0</v>
      </c>
      <c r="AJ150" s="1">
        <v>0</v>
      </c>
      <c r="AK150" s="1">
        <v>0</v>
      </c>
      <c r="AL150" s="1">
        <v>0</v>
      </c>
      <c r="AM150" s="1">
        <v>0</v>
      </c>
      <c r="AN150" s="1">
        <v>0</v>
      </c>
      <c r="AO150" s="1">
        <v>0</v>
      </c>
      <c r="AP150" s="1">
        <v>24540.520000000004</v>
      </c>
      <c r="AQ150" s="1">
        <v>25278.050000000007</v>
      </c>
      <c r="AR150" s="1">
        <v>21115.020000000004</v>
      </c>
      <c r="AS150" s="1">
        <v>21761.300000000003</v>
      </c>
      <c r="AT150" s="1">
        <v>24047.760000000002</v>
      </c>
      <c r="AU150" s="1">
        <v>232.64</v>
      </c>
      <c r="AV150" s="1">
        <v>0</v>
      </c>
      <c r="AW150" s="1">
        <v>260.12</v>
      </c>
      <c r="AX150" s="1">
        <v>24279.83</v>
      </c>
      <c r="AY150" s="1">
        <v>220.93000000000484</v>
      </c>
      <c r="AZ150" s="1">
        <v>0</v>
      </c>
      <c r="BA150" s="1">
        <v>777.29</v>
      </c>
      <c r="BB150" s="1">
        <v>20329.340000000004</v>
      </c>
      <c r="BC150" s="1">
        <v>785.68</v>
      </c>
      <c r="BD150" s="1">
        <v>0</v>
      </c>
      <c r="BE150" s="1">
        <v>21172.520000000004</v>
      </c>
      <c r="BF150" s="1">
        <v>588.78</v>
      </c>
      <c r="BG150" s="1">
        <v>0</v>
      </c>
      <c r="BH150" s="1">
        <v>0</v>
      </c>
      <c r="BI150" s="1">
        <v>0</v>
      </c>
      <c r="BJ150" s="1">
        <v>0</v>
      </c>
      <c r="BK150" s="1">
        <v>0</v>
      </c>
      <c r="BL150" s="1">
        <v>0</v>
      </c>
      <c r="BM150" s="1">
        <v>0</v>
      </c>
      <c r="BN150" s="1">
        <v>0</v>
      </c>
      <c r="BO150" s="1">
        <v>0</v>
      </c>
      <c r="BP150" s="1">
        <v>0</v>
      </c>
      <c r="BQ150" s="1">
        <v>0</v>
      </c>
      <c r="BR150" s="1">
        <v>0</v>
      </c>
      <c r="BS150" s="1">
        <v>0</v>
      </c>
      <c r="BT150" s="1">
        <v>0</v>
      </c>
      <c r="BU150" s="1">
        <v>17826.82</v>
      </c>
      <c r="BV150" s="1">
        <v>16801.95</v>
      </c>
      <c r="BW150" s="1">
        <v>15162.33</v>
      </c>
      <c r="BX150" s="1">
        <v>15869.66</v>
      </c>
      <c r="BY150" s="1">
        <v>17822.55</v>
      </c>
      <c r="BZ150" s="1">
        <v>16801.95</v>
      </c>
      <c r="CA150" s="1">
        <v>15162.33</v>
      </c>
      <c r="CB150" s="1">
        <v>15860.45</v>
      </c>
      <c r="CC150" s="1">
        <v>4.2699999999999996</v>
      </c>
      <c r="CD150" s="1">
        <v>0</v>
      </c>
      <c r="CE150" s="1">
        <v>0</v>
      </c>
      <c r="CF150" s="1">
        <v>9.2100000000000009</v>
      </c>
      <c r="CG150" s="1">
        <v>0</v>
      </c>
      <c r="CH150" s="1">
        <v>0</v>
      </c>
      <c r="CI150" s="1">
        <v>0</v>
      </c>
      <c r="CJ150" s="1">
        <v>0</v>
      </c>
      <c r="CK150" s="1">
        <v>0</v>
      </c>
      <c r="CL150" s="1">
        <v>0</v>
      </c>
      <c r="CM150" s="1">
        <v>0</v>
      </c>
      <c r="CN150" s="1">
        <v>0</v>
      </c>
      <c r="CO150" s="1">
        <v>0</v>
      </c>
      <c r="CP150" s="1">
        <v>0</v>
      </c>
      <c r="CQ150" s="1">
        <v>0</v>
      </c>
      <c r="CR150" s="1">
        <v>0</v>
      </c>
      <c r="CS150" s="1">
        <v>3416.55</v>
      </c>
      <c r="CT150" s="1">
        <v>2240.59</v>
      </c>
      <c r="CU150" s="1">
        <v>2025.26</v>
      </c>
      <c r="CV150" s="1">
        <v>2266.46</v>
      </c>
      <c r="CW150" s="1">
        <v>3416.55</v>
      </c>
      <c r="CX150" s="1">
        <v>2240.59</v>
      </c>
      <c r="CY150" s="1">
        <v>2025.26</v>
      </c>
      <c r="CZ150" s="1">
        <v>2266.46</v>
      </c>
      <c r="DA150" s="1">
        <v>0</v>
      </c>
      <c r="DB150" s="1">
        <v>0</v>
      </c>
      <c r="DC150" s="1">
        <v>0</v>
      </c>
      <c r="DD150" s="1">
        <v>0</v>
      </c>
      <c r="DE150" s="1">
        <v>0</v>
      </c>
      <c r="DF150" s="1">
        <v>0</v>
      </c>
      <c r="DG150" s="1">
        <v>0</v>
      </c>
      <c r="DH150" s="1">
        <v>0</v>
      </c>
      <c r="DI150" s="1">
        <v>0</v>
      </c>
      <c r="DJ150" s="1">
        <v>0</v>
      </c>
      <c r="DK150" s="1">
        <v>0</v>
      </c>
      <c r="DL150" s="1">
        <v>0</v>
      </c>
      <c r="DM150" s="1">
        <v>3344.9250000000002</v>
      </c>
      <c r="DN150" s="1">
        <v>3299.06</v>
      </c>
      <c r="DO150" s="1">
        <v>2760.2</v>
      </c>
      <c r="DP150" s="1">
        <v>2498.75</v>
      </c>
      <c r="DQ150" s="1">
        <v>3344.9250000000002</v>
      </c>
      <c r="DR150" s="1">
        <v>3299.06</v>
      </c>
      <c r="DS150" s="1">
        <v>2760.2</v>
      </c>
      <c r="DT150" s="1">
        <v>2498.75</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4507.1099999999997</v>
      </c>
      <c r="EL150" s="1">
        <v>4907.75</v>
      </c>
      <c r="EM150" s="1">
        <v>4835.99</v>
      </c>
      <c r="EN150" s="1">
        <v>5592.9400000000014</v>
      </c>
      <c r="EO150" s="1">
        <v>4507.1099999999997</v>
      </c>
      <c r="EP150" s="1">
        <v>4907.75</v>
      </c>
      <c r="EQ150" s="1">
        <v>4835.99</v>
      </c>
      <c r="ER150" s="1">
        <v>5592.9400000000014</v>
      </c>
      <c r="ES150" s="1">
        <v>0</v>
      </c>
      <c r="ET150" s="1">
        <v>0</v>
      </c>
      <c r="EU150" s="1">
        <v>0</v>
      </c>
      <c r="EV150" s="1">
        <v>0</v>
      </c>
      <c r="EW150" s="1">
        <v>0</v>
      </c>
      <c r="EX150" s="1">
        <v>0</v>
      </c>
      <c r="EY150" s="1">
        <v>0</v>
      </c>
      <c r="EZ150" s="1">
        <v>0</v>
      </c>
      <c r="FA150" s="1">
        <v>0</v>
      </c>
      <c r="FB150" s="1">
        <v>0</v>
      </c>
      <c r="FC150" s="1">
        <v>0</v>
      </c>
      <c r="FD150" s="1">
        <v>0</v>
      </c>
      <c r="FE150" s="1">
        <v>290.17</v>
      </c>
      <c r="FF150" s="1">
        <v>377.64</v>
      </c>
      <c r="FG150" s="1">
        <v>415.15</v>
      </c>
      <c r="FH150" s="1">
        <v>464.7</v>
      </c>
      <c r="FI150" s="1">
        <v>290.17</v>
      </c>
      <c r="FJ150" s="1">
        <v>377.64</v>
      </c>
      <c r="FK150" s="1">
        <v>413.49</v>
      </c>
      <c r="FL150" s="1">
        <v>464.7</v>
      </c>
      <c r="FM150" s="1">
        <v>0</v>
      </c>
      <c r="FN150" s="1">
        <v>0</v>
      </c>
      <c r="FO150" s="1">
        <v>1.66</v>
      </c>
      <c r="FP150" s="1">
        <v>0</v>
      </c>
      <c r="FQ150" s="1">
        <v>0</v>
      </c>
      <c r="FR150" s="1">
        <v>0</v>
      </c>
      <c r="FS150" s="1">
        <v>0</v>
      </c>
      <c r="FT150" s="1">
        <v>0</v>
      </c>
      <c r="FU150" s="1">
        <v>0</v>
      </c>
      <c r="FV150" s="1">
        <v>0</v>
      </c>
      <c r="FW150" s="1">
        <v>0</v>
      </c>
      <c r="FX150" s="1">
        <v>0</v>
      </c>
      <c r="FY150" s="1">
        <v>0</v>
      </c>
      <c r="FZ150" s="1">
        <v>0</v>
      </c>
      <c r="GA150" s="1">
        <v>0</v>
      </c>
      <c r="GB150" s="1">
        <v>0</v>
      </c>
      <c r="GC150" s="1">
        <v>2470.41</v>
      </c>
      <c r="GD150" s="1">
        <v>2661.48</v>
      </c>
      <c r="GE150" s="1">
        <v>2525.5300000000002</v>
      </c>
      <c r="GF150" s="1">
        <v>2319.8000000000002</v>
      </c>
      <c r="GG150" s="1">
        <v>2470.41</v>
      </c>
      <c r="GH150" s="1">
        <v>2661.48</v>
      </c>
      <c r="GI150" s="1">
        <v>2525.5300000000002</v>
      </c>
      <c r="GJ150" s="1">
        <v>2319.8000000000002</v>
      </c>
      <c r="GK150" s="1">
        <v>0</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8023.1200000000008</v>
      </c>
      <c r="HF150" s="1">
        <v>7076.7599999999993</v>
      </c>
      <c r="HG150" s="1">
        <v>0</v>
      </c>
      <c r="HH150" s="1">
        <v>12.16</v>
      </c>
      <c r="HI150" s="1">
        <v>8015.02</v>
      </c>
      <c r="HJ150" s="1">
        <v>5127.2700000000004</v>
      </c>
      <c r="HK150" s="1">
        <v>0</v>
      </c>
      <c r="HL150" s="1">
        <v>12.16</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8.1</v>
      </c>
      <c r="ID150" s="1">
        <v>1949.49</v>
      </c>
      <c r="IE150" s="1">
        <v>0</v>
      </c>
      <c r="IF150" s="1">
        <v>0</v>
      </c>
      <c r="IG150" s="1">
        <v>0</v>
      </c>
      <c r="IH150" s="1">
        <v>0</v>
      </c>
      <c r="II150" s="1">
        <v>0</v>
      </c>
      <c r="IJ150" s="1">
        <v>0</v>
      </c>
      <c r="IK150" s="1">
        <v>0</v>
      </c>
      <c r="IL150" s="1">
        <v>0</v>
      </c>
      <c r="IM150" s="1">
        <v>0</v>
      </c>
      <c r="IN150" s="1">
        <v>0</v>
      </c>
      <c r="IO150" s="1">
        <v>1703.21</v>
      </c>
      <c r="IP150" s="1">
        <v>1058.79</v>
      </c>
      <c r="IQ150" s="1">
        <v>851.75</v>
      </c>
      <c r="IR150" s="1">
        <v>1076.6600000000001</v>
      </c>
      <c r="IS150" s="1">
        <v>1703.21</v>
      </c>
      <c r="IT150" s="1">
        <v>1058.79</v>
      </c>
      <c r="IU150" s="1">
        <v>847.38</v>
      </c>
      <c r="IV150" s="1">
        <v>1011.69</v>
      </c>
      <c r="IW150" s="1">
        <v>0</v>
      </c>
      <c r="IX150" s="1">
        <v>0</v>
      </c>
      <c r="IY150" s="1">
        <v>4.37</v>
      </c>
      <c r="IZ150" s="1">
        <v>64.97</v>
      </c>
      <c r="JA150" s="1">
        <v>0</v>
      </c>
      <c r="JB150" s="1">
        <v>0</v>
      </c>
      <c r="JC150" s="1">
        <v>0</v>
      </c>
      <c r="JD150" s="1">
        <v>0</v>
      </c>
      <c r="JE150" s="1">
        <v>0</v>
      </c>
      <c r="JF150" s="1">
        <v>0</v>
      </c>
      <c r="JG150" s="1">
        <v>0</v>
      </c>
      <c r="JH150" s="1">
        <v>0</v>
      </c>
      <c r="JI150" s="1">
        <v>0</v>
      </c>
      <c r="JJ150" s="1">
        <v>0</v>
      </c>
      <c r="JK150" s="1">
        <v>0</v>
      </c>
      <c r="JL150" s="1">
        <v>0</v>
      </c>
      <c r="JM150" s="1">
        <v>0</v>
      </c>
      <c r="JN150" s="1">
        <v>0</v>
      </c>
      <c r="JO150" s="1">
        <v>0</v>
      </c>
      <c r="JP150" s="1">
        <v>0</v>
      </c>
      <c r="JQ150" s="9"/>
      <c r="JR150" s="1">
        <f t="shared" si="38"/>
        <v>46807.012080000008</v>
      </c>
      <c r="JS150" s="1">
        <f t="shared" si="38"/>
        <v>48599.249400000001</v>
      </c>
      <c r="JT150" s="1">
        <f t="shared" si="38"/>
        <v>47899.2258</v>
      </c>
      <c r="JU150" s="1">
        <f t="shared" si="36"/>
        <v>47512.780200000001</v>
      </c>
      <c r="JV150" s="1">
        <f t="shared" si="39"/>
        <v>8667.9652000000006</v>
      </c>
      <c r="JW150" s="1">
        <f t="shared" si="39"/>
        <v>8999.8610000000008</v>
      </c>
      <c r="JX150" s="1">
        <f t="shared" si="39"/>
        <v>8870.226999999999</v>
      </c>
      <c r="JY150" s="1">
        <f t="shared" si="37"/>
        <v>8798.6629999999986</v>
      </c>
    </row>
    <row r="151" spans="1:285" x14ac:dyDescent="0.35">
      <c r="A151" s="2" t="s">
        <v>158</v>
      </c>
      <c r="B151" s="1">
        <v>51583</v>
      </c>
      <c r="C151" s="1">
        <v>51756</v>
      </c>
      <c r="D151" s="1">
        <v>52451</v>
      </c>
      <c r="E151" s="1">
        <v>53291</v>
      </c>
      <c r="F151" s="1">
        <v>18319.499</v>
      </c>
      <c r="G151" s="1">
        <v>17491.422999999999</v>
      </c>
      <c r="H151" s="1">
        <v>16320.349</v>
      </c>
      <c r="I151" s="1">
        <v>16677.924999999999</v>
      </c>
      <c r="J151" s="1">
        <f t="shared" si="40"/>
        <v>9526.773000000001</v>
      </c>
      <c r="K151" s="1">
        <f t="shared" si="41"/>
        <v>9425.1649999999991</v>
      </c>
      <c r="L151" s="1">
        <f t="shared" si="42"/>
        <v>8697.4369999999981</v>
      </c>
      <c r="M151" s="1">
        <f t="shared" si="43"/>
        <v>8881.6830000000009</v>
      </c>
      <c r="N151" s="1">
        <f t="shared" si="44"/>
        <v>8792.7259999999987</v>
      </c>
      <c r="O151" s="1">
        <f t="shared" si="45"/>
        <v>8066.2579999999998</v>
      </c>
      <c r="P151" s="1">
        <f t="shared" si="46"/>
        <v>7622.9120000000021</v>
      </c>
      <c r="Q151" s="1">
        <f t="shared" si="47"/>
        <v>7796.2419999999984</v>
      </c>
      <c r="R151" s="1">
        <v>0</v>
      </c>
      <c r="S151" s="1">
        <v>0</v>
      </c>
      <c r="T151" s="1">
        <v>0</v>
      </c>
      <c r="U151" s="1">
        <v>0</v>
      </c>
      <c r="V151" s="1">
        <v>0</v>
      </c>
      <c r="W151" s="1">
        <v>0</v>
      </c>
      <c r="X151" s="1">
        <v>0</v>
      </c>
      <c r="Y151" s="1">
        <v>0</v>
      </c>
      <c r="Z151" s="1">
        <v>0</v>
      </c>
      <c r="AA151" s="1">
        <v>0</v>
      </c>
      <c r="AB151" s="1">
        <v>0</v>
      </c>
      <c r="AC151" s="1">
        <v>0</v>
      </c>
      <c r="AD151" s="1">
        <v>0</v>
      </c>
      <c r="AE151" s="1">
        <v>0</v>
      </c>
      <c r="AF151" s="1">
        <v>0</v>
      </c>
      <c r="AG151" s="1">
        <v>0</v>
      </c>
      <c r="AH151" s="1">
        <v>0</v>
      </c>
      <c r="AI151" s="1">
        <v>0</v>
      </c>
      <c r="AJ151" s="1">
        <v>0</v>
      </c>
      <c r="AK151" s="1">
        <v>0</v>
      </c>
      <c r="AL151" s="1">
        <v>0</v>
      </c>
      <c r="AM151" s="1">
        <v>0</v>
      </c>
      <c r="AN151" s="1">
        <v>0</v>
      </c>
      <c r="AO151" s="1">
        <v>0</v>
      </c>
      <c r="AP151" s="1">
        <v>3961.1100000000006</v>
      </c>
      <c r="AQ151" s="1">
        <v>3870.99</v>
      </c>
      <c r="AR151" s="1">
        <v>3540.28</v>
      </c>
      <c r="AS151" s="1">
        <v>3888.28</v>
      </c>
      <c r="AT151" s="1">
        <v>0</v>
      </c>
      <c r="AU151" s="1">
        <v>3961.1100000000006</v>
      </c>
      <c r="AV151" s="1">
        <v>0</v>
      </c>
      <c r="AW151" s="1">
        <v>0</v>
      </c>
      <c r="AX151" s="1">
        <v>0</v>
      </c>
      <c r="AY151" s="1">
        <v>3870.99</v>
      </c>
      <c r="AZ151" s="1">
        <v>0</v>
      </c>
      <c r="BA151" s="1">
        <v>0</v>
      </c>
      <c r="BB151" s="1">
        <v>0</v>
      </c>
      <c r="BC151" s="1">
        <v>3540.28</v>
      </c>
      <c r="BD151" s="1">
        <v>0</v>
      </c>
      <c r="BE151" s="1">
        <v>0</v>
      </c>
      <c r="BF151" s="1">
        <v>3888.28</v>
      </c>
      <c r="BG151" s="1">
        <v>0</v>
      </c>
      <c r="BH151" s="1">
        <v>0</v>
      </c>
      <c r="BI151" s="1">
        <v>0</v>
      </c>
      <c r="BJ151" s="1">
        <v>0</v>
      </c>
      <c r="BK151" s="1">
        <v>0</v>
      </c>
      <c r="BL151" s="1">
        <v>0</v>
      </c>
      <c r="BM151" s="1">
        <v>0</v>
      </c>
      <c r="BN151" s="1">
        <v>0</v>
      </c>
      <c r="BO151" s="1">
        <v>0</v>
      </c>
      <c r="BP151" s="1">
        <v>0</v>
      </c>
      <c r="BQ151" s="1">
        <v>0</v>
      </c>
      <c r="BR151" s="1">
        <v>0</v>
      </c>
      <c r="BS151" s="1">
        <v>0</v>
      </c>
      <c r="BT151" s="1">
        <v>0</v>
      </c>
      <c r="BU151" s="1">
        <v>2822.1480000000001</v>
      </c>
      <c r="BV151" s="1">
        <v>2604.7489999999998</v>
      </c>
      <c r="BW151" s="1">
        <v>2352.7289999999998</v>
      </c>
      <c r="BX151" s="1">
        <v>2224.248</v>
      </c>
      <c r="BY151" s="1">
        <v>2820.058</v>
      </c>
      <c r="BZ151" s="1">
        <v>2604.4490000000001</v>
      </c>
      <c r="CA151" s="1">
        <v>2352.569</v>
      </c>
      <c r="CB151" s="1">
        <v>2224.248</v>
      </c>
      <c r="CC151" s="1">
        <v>2.09</v>
      </c>
      <c r="CD151" s="1">
        <v>0.3</v>
      </c>
      <c r="CE151" s="1">
        <v>0.16</v>
      </c>
      <c r="CF151" s="1">
        <v>0</v>
      </c>
      <c r="CG151" s="1">
        <v>0</v>
      </c>
      <c r="CH151" s="1">
        <v>0</v>
      </c>
      <c r="CI151" s="1">
        <v>0</v>
      </c>
      <c r="CJ151" s="1">
        <v>0</v>
      </c>
      <c r="CK151" s="1">
        <v>0</v>
      </c>
      <c r="CL151" s="1">
        <v>0</v>
      </c>
      <c r="CM151" s="1">
        <v>0</v>
      </c>
      <c r="CN151" s="1">
        <v>0</v>
      </c>
      <c r="CO151" s="1">
        <v>0</v>
      </c>
      <c r="CP151" s="1">
        <v>0</v>
      </c>
      <c r="CQ151" s="1">
        <v>0</v>
      </c>
      <c r="CR151" s="1">
        <v>0</v>
      </c>
      <c r="CS151" s="1">
        <v>610.04100000000005</v>
      </c>
      <c r="CT151" s="1">
        <v>585.09400000000005</v>
      </c>
      <c r="CU151" s="1">
        <v>540.43399999999997</v>
      </c>
      <c r="CV151" s="1">
        <v>521.01</v>
      </c>
      <c r="CW151" s="1">
        <v>610.04100000000005</v>
      </c>
      <c r="CX151" s="1">
        <v>585.09400000000005</v>
      </c>
      <c r="CY151" s="1">
        <v>540.43399999999997</v>
      </c>
      <c r="CZ151" s="1">
        <v>521.01</v>
      </c>
      <c r="DA151" s="1">
        <v>0</v>
      </c>
      <c r="DB151" s="1">
        <v>0</v>
      </c>
      <c r="DC151" s="1">
        <v>0</v>
      </c>
      <c r="DD151" s="1">
        <v>0</v>
      </c>
      <c r="DE151" s="1">
        <v>0</v>
      </c>
      <c r="DF151" s="1">
        <v>0</v>
      </c>
      <c r="DG151" s="1">
        <v>0</v>
      </c>
      <c r="DH151" s="1">
        <v>0</v>
      </c>
      <c r="DI151" s="1">
        <v>0</v>
      </c>
      <c r="DJ151" s="1">
        <v>0</v>
      </c>
      <c r="DK151" s="1">
        <v>0</v>
      </c>
      <c r="DL151" s="1">
        <v>0</v>
      </c>
      <c r="DM151" s="1">
        <v>1360.2660000000001</v>
      </c>
      <c r="DN151" s="1">
        <v>1705.5840000000001</v>
      </c>
      <c r="DO151" s="1">
        <v>1682.0039999999999</v>
      </c>
      <c r="DP151" s="1">
        <v>1626.2190000000001</v>
      </c>
      <c r="DQ151" s="1">
        <v>1360.2660000000001</v>
      </c>
      <c r="DR151" s="1">
        <v>1705.5840000000001</v>
      </c>
      <c r="DS151" s="1">
        <v>1682.0039999999999</v>
      </c>
      <c r="DT151" s="1">
        <v>1626.2190000000001</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310.75200000000001</v>
      </c>
      <c r="EL151" s="1">
        <v>291.33800000000002</v>
      </c>
      <c r="EM151" s="1">
        <v>266.35399999999998</v>
      </c>
      <c r="EN151" s="1">
        <v>252.99799999999999</v>
      </c>
      <c r="EO151" s="1">
        <v>310.75200000000001</v>
      </c>
      <c r="EP151" s="1">
        <v>291.33800000000002</v>
      </c>
      <c r="EQ151" s="1">
        <v>266.35399999999998</v>
      </c>
      <c r="ER151" s="1">
        <v>252.99799999999999</v>
      </c>
      <c r="ES151" s="1">
        <v>0</v>
      </c>
      <c r="ET151" s="1">
        <v>0</v>
      </c>
      <c r="EU151" s="1">
        <v>0</v>
      </c>
      <c r="EV151" s="1">
        <v>0</v>
      </c>
      <c r="EW151" s="1">
        <v>0</v>
      </c>
      <c r="EX151" s="1">
        <v>0</v>
      </c>
      <c r="EY151" s="1">
        <v>0</v>
      </c>
      <c r="EZ151" s="1">
        <v>0</v>
      </c>
      <c r="FA151" s="1">
        <v>0</v>
      </c>
      <c r="FB151" s="1">
        <v>0</v>
      </c>
      <c r="FC151" s="1">
        <v>0</v>
      </c>
      <c r="FD151" s="1">
        <v>0</v>
      </c>
      <c r="FE151" s="1">
        <v>10.228999999999999</v>
      </c>
      <c r="FF151" s="1">
        <v>4.516</v>
      </c>
      <c r="FG151" s="1">
        <v>28.167000000000002</v>
      </c>
      <c r="FH151" s="1">
        <v>53.704999999999998</v>
      </c>
      <c r="FI151" s="1">
        <v>3.1749999999999998</v>
      </c>
      <c r="FJ151" s="1">
        <v>4.516</v>
      </c>
      <c r="FK151" s="1">
        <v>6.4980000000000002</v>
      </c>
      <c r="FL151" s="1">
        <v>2.8809999999999998</v>
      </c>
      <c r="FM151" s="1">
        <v>7.0540000000000003</v>
      </c>
      <c r="FN151" s="1">
        <v>0</v>
      </c>
      <c r="FO151" s="1">
        <v>21.669</v>
      </c>
      <c r="FP151" s="1">
        <v>50.823999999999998</v>
      </c>
      <c r="FQ151" s="1">
        <v>0</v>
      </c>
      <c r="FR151" s="1">
        <v>0</v>
      </c>
      <c r="FS151" s="1">
        <v>0</v>
      </c>
      <c r="FT151" s="1">
        <v>0</v>
      </c>
      <c r="FU151" s="1">
        <v>0</v>
      </c>
      <c r="FV151" s="1">
        <v>0</v>
      </c>
      <c r="FW151" s="1">
        <v>0</v>
      </c>
      <c r="FX151" s="1">
        <v>0</v>
      </c>
      <c r="FY151" s="1">
        <v>0</v>
      </c>
      <c r="FZ151" s="1">
        <v>0</v>
      </c>
      <c r="GA151" s="1">
        <v>0</v>
      </c>
      <c r="GB151" s="1">
        <v>0</v>
      </c>
      <c r="GC151" s="1">
        <v>18.843</v>
      </c>
      <c r="GD151" s="1">
        <v>28.108000000000001</v>
      </c>
      <c r="GE151" s="1">
        <v>23.071000000000002</v>
      </c>
      <c r="GF151" s="1">
        <v>25.803000000000001</v>
      </c>
      <c r="GG151" s="1">
        <v>18.843</v>
      </c>
      <c r="GH151" s="1">
        <v>28.108000000000001</v>
      </c>
      <c r="GI151" s="1">
        <v>23.071000000000002</v>
      </c>
      <c r="GJ151" s="1">
        <v>25.803000000000001</v>
      </c>
      <c r="GK151" s="1">
        <v>0</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0</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433.38400000000001</v>
      </c>
      <c r="IP151" s="1">
        <v>334.786</v>
      </c>
      <c r="IQ151" s="1">
        <v>264.39800000000002</v>
      </c>
      <c r="IR151" s="1">
        <v>289.42</v>
      </c>
      <c r="IS151" s="1">
        <v>390.1</v>
      </c>
      <c r="IT151" s="1">
        <v>334.786</v>
      </c>
      <c r="IU151" s="1">
        <v>221.06</v>
      </c>
      <c r="IV151" s="1">
        <v>187.77199999999999</v>
      </c>
      <c r="IW151" s="1">
        <v>43.283999999999999</v>
      </c>
      <c r="IX151" s="1">
        <v>0</v>
      </c>
      <c r="IY151" s="1">
        <v>43.338000000000001</v>
      </c>
      <c r="IZ151" s="1">
        <v>101.648</v>
      </c>
      <c r="JA151" s="1">
        <v>0</v>
      </c>
      <c r="JB151" s="1">
        <v>0</v>
      </c>
      <c r="JC151" s="1">
        <v>0</v>
      </c>
      <c r="JD151" s="1">
        <v>0</v>
      </c>
      <c r="JE151" s="1">
        <v>0</v>
      </c>
      <c r="JF151" s="1">
        <v>0</v>
      </c>
      <c r="JG151" s="1">
        <v>0</v>
      </c>
      <c r="JH151" s="1">
        <v>0</v>
      </c>
      <c r="JI151" s="1">
        <v>0</v>
      </c>
      <c r="JJ151" s="1">
        <v>0</v>
      </c>
      <c r="JK151" s="1">
        <v>0</v>
      </c>
      <c r="JL151" s="1">
        <v>0</v>
      </c>
      <c r="JM151" s="1">
        <v>0</v>
      </c>
      <c r="JN151" s="1">
        <v>0</v>
      </c>
      <c r="JO151" s="1">
        <v>0</v>
      </c>
      <c r="JP151" s="1">
        <v>0</v>
      </c>
      <c r="JQ151" s="9"/>
      <c r="JR151" s="1">
        <f t="shared" si="38"/>
        <v>2374.03602</v>
      </c>
      <c r="JS151" s="1">
        <f t="shared" si="38"/>
        <v>2177.8896600000003</v>
      </c>
      <c r="JT151" s="1">
        <f t="shared" si="38"/>
        <v>2058.1862400000009</v>
      </c>
      <c r="JU151" s="1">
        <f t="shared" si="36"/>
        <v>2104.9853399999997</v>
      </c>
      <c r="JV151" s="1">
        <f t="shared" si="39"/>
        <v>439.63629999999995</v>
      </c>
      <c r="JW151" s="1">
        <f t="shared" si="39"/>
        <v>403.31290000000001</v>
      </c>
      <c r="JX151" s="1">
        <f t="shared" si="39"/>
        <v>381.14560000000012</v>
      </c>
      <c r="JY151" s="1">
        <f t="shared" si="37"/>
        <v>389.81209999999993</v>
      </c>
    </row>
    <row r="152" spans="1:285" x14ac:dyDescent="0.35">
      <c r="A152" s="2" t="s">
        <v>159</v>
      </c>
      <c r="B152" s="1">
        <v>217101</v>
      </c>
      <c r="C152" s="1">
        <v>215426</v>
      </c>
      <c r="D152" s="1">
        <v>215105</v>
      </c>
      <c r="E152" s="1">
        <v>217135</v>
      </c>
      <c r="F152" s="1">
        <v>139545.12</v>
      </c>
      <c r="G152" s="1">
        <v>139578.64000000001</v>
      </c>
      <c r="H152" s="1">
        <v>131270.45000000001</v>
      </c>
      <c r="I152" s="1">
        <v>140544.20000000001</v>
      </c>
      <c r="J152" s="1">
        <f t="shared" si="40"/>
        <v>29990.34</v>
      </c>
      <c r="K152" s="1">
        <f t="shared" si="41"/>
        <v>32995.68</v>
      </c>
      <c r="L152" s="1">
        <f t="shared" si="42"/>
        <v>31285.610000000004</v>
      </c>
      <c r="M152" s="1">
        <f t="shared" si="43"/>
        <v>32489.899999999994</v>
      </c>
      <c r="N152" s="1">
        <f t="shared" si="44"/>
        <v>109554.78</v>
      </c>
      <c r="O152" s="1">
        <f t="shared" si="45"/>
        <v>106582.96000000002</v>
      </c>
      <c r="P152" s="1">
        <f t="shared" si="46"/>
        <v>99984.840000000011</v>
      </c>
      <c r="Q152" s="1">
        <f t="shared" si="47"/>
        <v>108054.30000000002</v>
      </c>
      <c r="R152" s="1">
        <v>6219.36</v>
      </c>
      <c r="S152" s="1">
        <v>6139.02</v>
      </c>
      <c r="T152" s="1">
        <v>5506.44</v>
      </c>
      <c r="U152" s="1">
        <v>5431.49</v>
      </c>
      <c r="V152" s="1">
        <v>0</v>
      </c>
      <c r="W152" s="1">
        <v>0</v>
      </c>
      <c r="X152" s="1">
        <v>6219.36</v>
      </c>
      <c r="Y152" s="1">
        <v>0</v>
      </c>
      <c r="Z152" s="1">
        <v>0</v>
      </c>
      <c r="AA152" s="1">
        <v>6139.02</v>
      </c>
      <c r="AB152" s="1">
        <v>0</v>
      </c>
      <c r="AC152" s="1">
        <v>0</v>
      </c>
      <c r="AD152" s="1">
        <v>5506.44</v>
      </c>
      <c r="AE152" s="1">
        <v>0</v>
      </c>
      <c r="AF152" s="1">
        <v>0</v>
      </c>
      <c r="AG152" s="1">
        <v>5431.49</v>
      </c>
      <c r="AH152" s="1">
        <v>0</v>
      </c>
      <c r="AI152" s="1">
        <v>0</v>
      </c>
      <c r="AJ152" s="1">
        <v>0</v>
      </c>
      <c r="AK152" s="1">
        <v>0</v>
      </c>
      <c r="AL152" s="1">
        <v>0</v>
      </c>
      <c r="AM152" s="1">
        <v>0</v>
      </c>
      <c r="AN152" s="1">
        <v>0</v>
      </c>
      <c r="AO152" s="1">
        <v>0</v>
      </c>
      <c r="AP152" s="1">
        <v>4619.9800000000005</v>
      </c>
      <c r="AQ152" s="1">
        <v>4985.3599999999997</v>
      </c>
      <c r="AR152" s="1">
        <v>4700.17</v>
      </c>
      <c r="AS152" s="1">
        <v>5244.18</v>
      </c>
      <c r="AT152" s="1">
        <v>4619.9800000000005</v>
      </c>
      <c r="AU152" s="1">
        <v>0</v>
      </c>
      <c r="AV152" s="1">
        <v>0</v>
      </c>
      <c r="AW152" s="1">
        <v>0</v>
      </c>
      <c r="AX152" s="1">
        <v>4985.3599999999997</v>
      </c>
      <c r="AY152" s="1">
        <v>0</v>
      </c>
      <c r="AZ152" s="1">
        <v>0</v>
      </c>
      <c r="BA152" s="1">
        <v>0</v>
      </c>
      <c r="BB152" s="1">
        <v>4700.17</v>
      </c>
      <c r="BC152" s="1">
        <v>0</v>
      </c>
      <c r="BD152" s="1">
        <v>0</v>
      </c>
      <c r="BE152" s="1">
        <v>5244.18</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8250.33</v>
      </c>
      <c r="BV152" s="1">
        <v>7353.57</v>
      </c>
      <c r="BW152" s="1">
        <v>6825.1900000000014</v>
      </c>
      <c r="BX152" s="1">
        <v>9530.2799999999988</v>
      </c>
      <c r="BY152" s="1">
        <v>8250.33</v>
      </c>
      <c r="BZ152" s="1">
        <v>7353.57</v>
      </c>
      <c r="CA152" s="1">
        <v>6825.1900000000014</v>
      </c>
      <c r="CB152" s="1">
        <v>9507.77</v>
      </c>
      <c r="CC152" s="1">
        <v>0</v>
      </c>
      <c r="CD152" s="1">
        <v>0</v>
      </c>
      <c r="CE152" s="1">
        <v>0</v>
      </c>
      <c r="CF152" s="1">
        <v>22.51</v>
      </c>
      <c r="CG152" s="1">
        <v>0</v>
      </c>
      <c r="CH152" s="1">
        <v>0</v>
      </c>
      <c r="CI152" s="1">
        <v>0</v>
      </c>
      <c r="CJ152" s="1">
        <v>0</v>
      </c>
      <c r="CK152" s="1">
        <v>0</v>
      </c>
      <c r="CL152" s="1">
        <v>0</v>
      </c>
      <c r="CM152" s="1">
        <v>0</v>
      </c>
      <c r="CN152" s="1">
        <v>0</v>
      </c>
      <c r="CO152" s="1">
        <v>0</v>
      </c>
      <c r="CP152" s="1">
        <v>0</v>
      </c>
      <c r="CQ152" s="1">
        <v>0</v>
      </c>
      <c r="CR152" s="1">
        <v>0</v>
      </c>
      <c r="CS152" s="1">
        <v>2382.11</v>
      </c>
      <c r="CT152" s="1">
        <v>2354.9899999999998</v>
      </c>
      <c r="CU152" s="1">
        <v>2280.89</v>
      </c>
      <c r="CV152" s="1">
        <v>2017.7</v>
      </c>
      <c r="CW152" s="1">
        <v>2382.11</v>
      </c>
      <c r="CX152" s="1">
        <v>2354.9899999999998</v>
      </c>
      <c r="CY152" s="1">
        <v>2280.89</v>
      </c>
      <c r="CZ152" s="1">
        <v>2017.7</v>
      </c>
      <c r="DA152" s="1">
        <v>0</v>
      </c>
      <c r="DB152" s="1">
        <v>0</v>
      </c>
      <c r="DC152" s="1">
        <v>0</v>
      </c>
      <c r="DD152" s="1">
        <v>0</v>
      </c>
      <c r="DE152" s="1">
        <v>0</v>
      </c>
      <c r="DF152" s="1">
        <v>0</v>
      </c>
      <c r="DG152" s="1">
        <v>0</v>
      </c>
      <c r="DH152" s="1">
        <v>0</v>
      </c>
      <c r="DI152" s="1">
        <v>0</v>
      </c>
      <c r="DJ152" s="1">
        <v>0</v>
      </c>
      <c r="DK152" s="1">
        <v>0</v>
      </c>
      <c r="DL152" s="1">
        <v>0</v>
      </c>
      <c r="DM152" s="1">
        <v>3515.12</v>
      </c>
      <c r="DN152" s="1">
        <v>4008.05</v>
      </c>
      <c r="DO152" s="1">
        <v>3988.78</v>
      </c>
      <c r="DP152" s="1">
        <v>4116.46</v>
      </c>
      <c r="DQ152" s="1">
        <v>3515.12</v>
      </c>
      <c r="DR152" s="1">
        <v>4008.05</v>
      </c>
      <c r="DS152" s="1">
        <v>3988.78</v>
      </c>
      <c r="DT152" s="1">
        <v>4116.46</v>
      </c>
      <c r="DU152" s="1">
        <v>0</v>
      </c>
      <c r="DV152" s="1">
        <v>0</v>
      </c>
      <c r="DW152" s="1">
        <v>0</v>
      </c>
      <c r="DX152" s="1">
        <v>0</v>
      </c>
      <c r="DY152" s="1">
        <v>0</v>
      </c>
      <c r="DZ152" s="1">
        <v>0</v>
      </c>
      <c r="EA152" s="1">
        <v>0</v>
      </c>
      <c r="EB152" s="1">
        <v>0</v>
      </c>
      <c r="EC152" s="1">
        <v>0</v>
      </c>
      <c r="ED152" s="1">
        <v>0</v>
      </c>
      <c r="EE152" s="1">
        <v>0</v>
      </c>
      <c r="EF152" s="1">
        <v>0</v>
      </c>
      <c r="EG152" s="1">
        <v>0</v>
      </c>
      <c r="EH152" s="1">
        <v>0</v>
      </c>
      <c r="EI152" s="1">
        <v>0</v>
      </c>
      <c r="EJ152" s="1">
        <v>0</v>
      </c>
      <c r="EK152" s="1">
        <v>1993.56</v>
      </c>
      <c r="EL152" s="1">
        <v>3460.6</v>
      </c>
      <c r="EM152" s="1">
        <v>2948.51</v>
      </c>
      <c r="EN152" s="1">
        <v>1944.8</v>
      </c>
      <c r="EO152" s="1">
        <v>1993.56</v>
      </c>
      <c r="EP152" s="1">
        <v>3460.6</v>
      </c>
      <c r="EQ152" s="1">
        <v>2948.51</v>
      </c>
      <c r="ER152" s="1">
        <v>1944.8</v>
      </c>
      <c r="ES152" s="1">
        <v>0</v>
      </c>
      <c r="ET152" s="1">
        <v>0</v>
      </c>
      <c r="EU152" s="1">
        <v>0</v>
      </c>
      <c r="EV152" s="1">
        <v>0</v>
      </c>
      <c r="EW152" s="1">
        <v>0</v>
      </c>
      <c r="EX152" s="1">
        <v>0</v>
      </c>
      <c r="EY152" s="1">
        <v>0</v>
      </c>
      <c r="EZ152" s="1">
        <v>0</v>
      </c>
      <c r="FA152" s="1">
        <v>0</v>
      </c>
      <c r="FB152" s="1">
        <v>0</v>
      </c>
      <c r="FC152" s="1">
        <v>0</v>
      </c>
      <c r="FD152" s="1">
        <v>0</v>
      </c>
      <c r="FE152" s="1">
        <v>308.43</v>
      </c>
      <c r="FF152" s="1">
        <v>260.3</v>
      </c>
      <c r="FG152" s="1">
        <v>261.74</v>
      </c>
      <c r="FH152" s="1">
        <v>254.44</v>
      </c>
      <c r="FI152" s="1">
        <v>308.43</v>
      </c>
      <c r="FJ152" s="1">
        <v>260.3</v>
      </c>
      <c r="FK152" s="1">
        <v>261.74</v>
      </c>
      <c r="FL152" s="1">
        <v>65.61</v>
      </c>
      <c r="FM152" s="1">
        <v>0</v>
      </c>
      <c r="FN152" s="1">
        <v>0</v>
      </c>
      <c r="FO152" s="1">
        <v>0</v>
      </c>
      <c r="FP152" s="1">
        <v>188.83</v>
      </c>
      <c r="FQ152" s="1">
        <v>0</v>
      </c>
      <c r="FR152" s="1">
        <v>0</v>
      </c>
      <c r="FS152" s="1">
        <v>0</v>
      </c>
      <c r="FT152" s="1">
        <v>0</v>
      </c>
      <c r="FU152" s="1">
        <v>0</v>
      </c>
      <c r="FV152" s="1">
        <v>0</v>
      </c>
      <c r="FW152" s="1">
        <v>0</v>
      </c>
      <c r="FX152" s="1">
        <v>0</v>
      </c>
      <c r="FY152" s="1">
        <v>0</v>
      </c>
      <c r="FZ152" s="1">
        <v>0</v>
      </c>
      <c r="GA152" s="1">
        <v>0</v>
      </c>
      <c r="GB152" s="1">
        <v>0</v>
      </c>
      <c r="GC152" s="1">
        <v>526.63</v>
      </c>
      <c r="GD152" s="1">
        <v>541.65</v>
      </c>
      <c r="GE152" s="1">
        <v>506.38</v>
      </c>
      <c r="GF152" s="1">
        <v>577.32999999999993</v>
      </c>
      <c r="GG152" s="1">
        <v>526.63</v>
      </c>
      <c r="GH152" s="1">
        <v>541.65</v>
      </c>
      <c r="GI152" s="1">
        <v>506.38</v>
      </c>
      <c r="GJ152" s="1">
        <v>577.32999999999993</v>
      </c>
      <c r="GK152" s="1">
        <v>0</v>
      </c>
      <c r="GL152" s="1">
        <v>0</v>
      </c>
      <c r="GM152" s="1">
        <v>0</v>
      </c>
      <c r="GN152" s="1">
        <v>0</v>
      </c>
      <c r="GO152" s="1">
        <v>0</v>
      </c>
      <c r="GP152" s="1">
        <v>0</v>
      </c>
      <c r="GQ152" s="1">
        <v>0</v>
      </c>
      <c r="GR152" s="1">
        <v>0</v>
      </c>
      <c r="GS152" s="1">
        <v>0</v>
      </c>
      <c r="GT152" s="1">
        <v>0</v>
      </c>
      <c r="GU152" s="1">
        <v>0</v>
      </c>
      <c r="GV152" s="1">
        <v>0</v>
      </c>
      <c r="GW152" s="1">
        <v>0</v>
      </c>
      <c r="GX152" s="1">
        <v>0</v>
      </c>
      <c r="GY152" s="1">
        <v>0</v>
      </c>
      <c r="GZ152" s="1">
        <v>0</v>
      </c>
      <c r="HA152" s="1">
        <v>0</v>
      </c>
      <c r="HB152" s="1">
        <v>0</v>
      </c>
      <c r="HC152" s="1">
        <v>0</v>
      </c>
      <c r="HD152" s="1">
        <v>0</v>
      </c>
      <c r="HE152" s="1">
        <v>1739.89</v>
      </c>
      <c r="HF152" s="1">
        <v>1859.16</v>
      </c>
      <c r="HG152" s="1">
        <v>1751.62</v>
      </c>
      <c r="HH152" s="1">
        <v>1579.34</v>
      </c>
      <c r="HI152" s="1">
        <v>1739.89</v>
      </c>
      <c r="HJ152" s="1">
        <v>1859.16</v>
      </c>
      <c r="HK152" s="1">
        <v>1751.62</v>
      </c>
      <c r="HL152" s="1">
        <v>1579.34</v>
      </c>
      <c r="HM152" s="1">
        <v>0</v>
      </c>
      <c r="HN152" s="1">
        <v>0</v>
      </c>
      <c r="HO152" s="1">
        <v>0</v>
      </c>
      <c r="HP152" s="1">
        <v>0</v>
      </c>
      <c r="HQ152" s="1">
        <v>0</v>
      </c>
      <c r="HR152" s="1">
        <v>0</v>
      </c>
      <c r="HS152" s="1">
        <v>0</v>
      </c>
      <c r="HT152" s="1">
        <v>0</v>
      </c>
      <c r="HU152" s="1">
        <v>0</v>
      </c>
      <c r="HV152" s="1">
        <v>0</v>
      </c>
      <c r="HW152" s="1">
        <v>0</v>
      </c>
      <c r="HX152" s="1">
        <v>0</v>
      </c>
      <c r="HY152" s="1">
        <v>0</v>
      </c>
      <c r="HZ152" s="1">
        <v>0</v>
      </c>
      <c r="IA152" s="1">
        <v>0</v>
      </c>
      <c r="IB152" s="1">
        <v>0</v>
      </c>
      <c r="IC152" s="1">
        <v>0</v>
      </c>
      <c r="ID152" s="1">
        <v>0</v>
      </c>
      <c r="IE152" s="1">
        <v>0</v>
      </c>
      <c r="IF152" s="1">
        <v>0</v>
      </c>
      <c r="IG152" s="1">
        <v>0</v>
      </c>
      <c r="IH152" s="1">
        <v>0</v>
      </c>
      <c r="II152" s="1">
        <v>0</v>
      </c>
      <c r="IJ152" s="1">
        <v>0</v>
      </c>
      <c r="IK152" s="1">
        <v>0</v>
      </c>
      <c r="IL152" s="1">
        <v>0</v>
      </c>
      <c r="IM152" s="1">
        <v>0</v>
      </c>
      <c r="IN152" s="1">
        <v>0</v>
      </c>
      <c r="IO152" s="1">
        <v>434.93</v>
      </c>
      <c r="IP152" s="1">
        <v>2032.98</v>
      </c>
      <c r="IQ152" s="1">
        <v>2515.89</v>
      </c>
      <c r="IR152" s="1">
        <v>1793.88</v>
      </c>
      <c r="IS152" s="1">
        <v>434.93</v>
      </c>
      <c r="IT152" s="1">
        <v>2032.98</v>
      </c>
      <c r="IU152" s="1">
        <v>2515.89</v>
      </c>
      <c r="IV152" s="1">
        <v>1757.32</v>
      </c>
      <c r="IW152" s="1">
        <v>0</v>
      </c>
      <c r="IX152" s="1">
        <v>0</v>
      </c>
      <c r="IY152" s="1">
        <v>0</v>
      </c>
      <c r="IZ152" s="1">
        <v>36.56</v>
      </c>
      <c r="JA152" s="1">
        <v>0</v>
      </c>
      <c r="JB152" s="1">
        <v>0</v>
      </c>
      <c r="JC152" s="1">
        <v>0</v>
      </c>
      <c r="JD152" s="1">
        <v>0</v>
      </c>
      <c r="JE152" s="1">
        <v>0</v>
      </c>
      <c r="JF152" s="1">
        <v>0</v>
      </c>
      <c r="JG152" s="1">
        <v>0</v>
      </c>
      <c r="JH152" s="1">
        <v>0</v>
      </c>
      <c r="JI152" s="1">
        <v>0</v>
      </c>
      <c r="JJ152" s="1">
        <v>0</v>
      </c>
      <c r="JK152" s="1">
        <v>0</v>
      </c>
      <c r="JL152" s="1">
        <v>0</v>
      </c>
      <c r="JM152" s="1">
        <v>0</v>
      </c>
      <c r="JN152" s="1">
        <v>0</v>
      </c>
      <c r="JO152" s="1">
        <v>0</v>
      </c>
      <c r="JP152" s="1">
        <v>0</v>
      </c>
      <c r="JQ152" s="9"/>
      <c r="JR152" s="1">
        <f t="shared" si="38"/>
        <v>29579.7906</v>
      </c>
      <c r="JS152" s="1">
        <f t="shared" si="38"/>
        <v>28777.399200000007</v>
      </c>
      <c r="JT152" s="1">
        <f t="shared" si="38"/>
        <v>26995.906800000004</v>
      </c>
      <c r="JU152" s="1">
        <f t="shared" si="36"/>
        <v>29174.661000000007</v>
      </c>
      <c r="JV152" s="1">
        <f t="shared" si="39"/>
        <v>5477.7390000000005</v>
      </c>
      <c r="JW152" s="1">
        <f t="shared" si="39"/>
        <v>5329.148000000001</v>
      </c>
      <c r="JX152" s="1">
        <f t="shared" si="39"/>
        <v>4999.2420000000011</v>
      </c>
      <c r="JY152" s="1">
        <f t="shared" si="37"/>
        <v>5402.7150000000011</v>
      </c>
    </row>
    <row r="153" spans="1:285" x14ac:dyDescent="0.35">
      <c r="A153" s="2" t="s">
        <v>160</v>
      </c>
      <c r="B153" s="1">
        <v>82130</v>
      </c>
      <c r="C153" s="1">
        <v>83171</v>
      </c>
      <c r="D153" s="1">
        <v>83840</v>
      </c>
      <c r="E153" s="1">
        <v>84266</v>
      </c>
      <c r="F153" s="1">
        <v>17219.435000000001</v>
      </c>
      <c r="G153" s="1">
        <v>17602.441999999999</v>
      </c>
      <c r="H153" s="1">
        <v>16460.260999999999</v>
      </c>
      <c r="I153" s="1">
        <v>17716.023000000001</v>
      </c>
      <c r="J153" s="1">
        <f t="shared" si="40"/>
        <v>14957.504999999997</v>
      </c>
      <c r="K153" s="1">
        <f t="shared" si="41"/>
        <v>15421.044</v>
      </c>
      <c r="L153" s="1">
        <f t="shared" si="42"/>
        <v>14417.212</v>
      </c>
      <c r="M153" s="1">
        <f t="shared" si="43"/>
        <v>15549.205</v>
      </c>
      <c r="N153" s="1">
        <f t="shared" si="44"/>
        <v>2261.9300000000039</v>
      </c>
      <c r="O153" s="1">
        <f t="shared" si="45"/>
        <v>2181.3979999999992</v>
      </c>
      <c r="P153" s="1">
        <f t="shared" si="46"/>
        <v>2043.0489999999991</v>
      </c>
      <c r="Q153" s="1">
        <f t="shared" si="47"/>
        <v>2166.8180000000011</v>
      </c>
      <c r="R153" s="1">
        <v>3332.38</v>
      </c>
      <c r="S153" s="1">
        <v>3362.32</v>
      </c>
      <c r="T153" s="1">
        <v>3315.75</v>
      </c>
      <c r="U153" s="1">
        <v>3457.8599999999997</v>
      </c>
      <c r="V153" s="1">
        <v>0</v>
      </c>
      <c r="W153" s="1">
        <v>0</v>
      </c>
      <c r="X153" s="1">
        <v>3332.38</v>
      </c>
      <c r="Y153" s="1">
        <v>0</v>
      </c>
      <c r="Z153" s="1">
        <v>0</v>
      </c>
      <c r="AA153" s="1">
        <v>3362.32</v>
      </c>
      <c r="AB153" s="1">
        <v>0</v>
      </c>
      <c r="AC153" s="1">
        <v>0</v>
      </c>
      <c r="AD153" s="1">
        <v>3315.75</v>
      </c>
      <c r="AE153" s="1">
        <v>0</v>
      </c>
      <c r="AF153" s="1">
        <v>0</v>
      </c>
      <c r="AG153" s="1">
        <v>3457.8599999999997</v>
      </c>
      <c r="AH153" s="1">
        <v>0</v>
      </c>
      <c r="AI153" s="1">
        <v>0</v>
      </c>
      <c r="AJ153" s="1">
        <v>0</v>
      </c>
      <c r="AK153" s="1">
        <v>0</v>
      </c>
      <c r="AL153" s="1">
        <v>0</v>
      </c>
      <c r="AM153" s="1">
        <v>0</v>
      </c>
      <c r="AN153" s="1">
        <v>0</v>
      </c>
      <c r="AO153" s="1">
        <v>0</v>
      </c>
      <c r="AP153" s="1">
        <v>4542.07</v>
      </c>
      <c r="AQ153" s="1">
        <v>4937.9400000000005</v>
      </c>
      <c r="AR153" s="1">
        <v>4401.62</v>
      </c>
      <c r="AS153" s="1">
        <v>5094.0299999999988</v>
      </c>
      <c r="AT153" s="1">
        <v>0</v>
      </c>
      <c r="AU153" s="1">
        <v>4542.07</v>
      </c>
      <c r="AV153" s="1">
        <v>0</v>
      </c>
      <c r="AW153" s="1">
        <v>0</v>
      </c>
      <c r="AX153" s="1">
        <v>0</v>
      </c>
      <c r="AY153" s="1">
        <v>4937.9400000000005</v>
      </c>
      <c r="AZ153" s="1">
        <v>0</v>
      </c>
      <c r="BA153" s="1">
        <v>0</v>
      </c>
      <c r="BB153" s="1">
        <v>0</v>
      </c>
      <c r="BC153" s="1">
        <v>4401.62</v>
      </c>
      <c r="BD153" s="1">
        <v>0</v>
      </c>
      <c r="BE153" s="1">
        <v>0</v>
      </c>
      <c r="BF153" s="1">
        <v>5094.0299999999988</v>
      </c>
      <c r="BG153" s="1">
        <v>0</v>
      </c>
      <c r="BH153" s="1">
        <v>0</v>
      </c>
      <c r="BI153" s="1">
        <v>0</v>
      </c>
      <c r="BJ153" s="1">
        <v>0</v>
      </c>
      <c r="BK153" s="1">
        <v>0</v>
      </c>
      <c r="BL153" s="1">
        <v>0</v>
      </c>
      <c r="BM153" s="1">
        <v>0</v>
      </c>
      <c r="BN153" s="1">
        <v>0</v>
      </c>
      <c r="BO153" s="1">
        <v>0</v>
      </c>
      <c r="BP153" s="1">
        <v>0</v>
      </c>
      <c r="BQ153" s="1">
        <v>0</v>
      </c>
      <c r="BR153" s="1">
        <v>0</v>
      </c>
      <c r="BS153" s="1">
        <v>0</v>
      </c>
      <c r="BT153" s="1">
        <v>0</v>
      </c>
      <c r="BU153" s="1">
        <v>3118.3780000000002</v>
      </c>
      <c r="BV153" s="1">
        <v>3171.5239999999999</v>
      </c>
      <c r="BW153" s="1">
        <v>2904.817</v>
      </c>
      <c r="BX153" s="1">
        <v>3097.933</v>
      </c>
      <c r="BY153" s="1">
        <v>3118.3780000000002</v>
      </c>
      <c r="BZ153" s="1">
        <v>3171.5239999999999</v>
      </c>
      <c r="CA153" s="1">
        <v>2904.817</v>
      </c>
      <c r="CB153" s="1">
        <v>3097.933</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803.06100000000004</v>
      </c>
      <c r="CT153" s="1">
        <v>729.50099999999998</v>
      </c>
      <c r="CU153" s="1">
        <v>808.83800000000008</v>
      </c>
      <c r="CV153" s="1">
        <v>939.56299999999999</v>
      </c>
      <c r="CW153" s="1">
        <v>803.06100000000004</v>
      </c>
      <c r="CX153" s="1">
        <v>729.50099999999998</v>
      </c>
      <c r="CY153" s="1">
        <v>808.83800000000008</v>
      </c>
      <c r="CZ153" s="1">
        <v>939.56299999999999</v>
      </c>
      <c r="DA153" s="1">
        <v>0</v>
      </c>
      <c r="DB153" s="1">
        <v>0</v>
      </c>
      <c r="DC153" s="1">
        <v>0</v>
      </c>
      <c r="DD153" s="1">
        <v>0</v>
      </c>
      <c r="DE153" s="1">
        <v>0</v>
      </c>
      <c r="DF153" s="1">
        <v>0</v>
      </c>
      <c r="DG153" s="1">
        <v>0</v>
      </c>
      <c r="DH153" s="1">
        <v>0</v>
      </c>
      <c r="DI153" s="1">
        <v>0</v>
      </c>
      <c r="DJ153" s="1">
        <v>0</v>
      </c>
      <c r="DK153" s="1">
        <v>0</v>
      </c>
      <c r="DL153" s="1">
        <v>0</v>
      </c>
      <c r="DM153" s="1">
        <v>2666.66</v>
      </c>
      <c r="DN153" s="1">
        <v>2594.17</v>
      </c>
      <c r="DO153" s="1">
        <v>2518.38</v>
      </c>
      <c r="DP153" s="1">
        <v>2441.14</v>
      </c>
      <c r="DQ153" s="1">
        <v>2666.66</v>
      </c>
      <c r="DR153" s="1">
        <v>2594.17</v>
      </c>
      <c r="DS153" s="1">
        <v>2518.38</v>
      </c>
      <c r="DT153" s="1">
        <v>2441.14</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391.48200000000003</v>
      </c>
      <c r="EL153" s="1">
        <v>320.19099999999997</v>
      </c>
      <c r="EM153" s="1">
        <v>297.40199999999999</v>
      </c>
      <c r="EN153" s="1">
        <v>426.51299999999998</v>
      </c>
      <c r="EO153" s="1">
        <v>391.48200000000003</v>
      </c>
      <c r="EP153" s="1">
        <v>320.19099999999997</v>
      </c>
      <c r="EQ153" s="1">
        <v>297.40199999999999</v>
      </c>
      <c r="ER153" s="1">
        <v>426.51299999999998</v>
      </c>
      <c r="ES153" s="1">
        <v>0</v>
      </c>
      <c r="ET153" s="1">
        <v>0</v>
      </c>
      <c r="EU153" s="1">
        <v>0</v>
      </c>
      <c r="EV153" s="1">
        <v>0</v>
      </c>
      <c r="EW153" s="1">
        <v>0</v>
      </c>
      <c r="EX153" s="1">
        <v>0</v>
      </c>
      <c r="EY153" s="1">
        <v>0</v>
      </c>
      <c r="EZ153" s="1">
        <v>0</v>
      </c>
      <c r="FA153" s="1">
        <v>0</v>
      </c>
      <c r="FB153" s="1">
        <v>0</v>
      </c>
      <c r="FC153" s="1">
        <v>0</v>
      </c>
      <c r="FD153" s="1">
        <v>0</v>
      </c>
      <c r="FE153" s="1">
        <v>38.972999999999999</v>
      </c>
      <c r="FF153" s="1">
        <v>57.662999999999997</v>
      </c>
      <c r="FG153" s="1">
        <v>63.825000000000003</v>
      </c>
      <c r="FH153" s="1">
        <v>51.845999999999997</v>
      </c>
      <c r="FI153" s="1">
        <v>38.972999999999999</v>
      </c>
      <c r="FJ153" s="1">
        <v>57.662999999999997</v>
      </c>
      <c r="FK153" s="1">
        <v>63.825000000000003</v>
      </c>
      <c r="FL153" s="1">
        <v>51.845999999999997</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v>0</v>
      </c>
      <c r="GC153" s="1">
        <v>21.120999999999999</v>
      </c>
      <c r="GD153" s="1">
        <v>36.174999999999997</v>
      </c>
      <c r="GE153" s="1">
        <v>26.92</v>
      </c>
      <c r="GF153" s="1">
        <v>40.32</v>
      </c>
      <c r="GG153" s="1">
        <v>21.120999999999999</v>
      </c>
      <c r="GH153" s="1">
        <v>36.174999999999997</v>
      </c>
      <c r="GI153" s="1">
        <v>26.92</v>
      </c>
      <c r="GJ153" s="1">
        <v>40.32</v>
      </c>
      <c r="GK153" s="1">
        <v>0</v>
      </c>
      <c r="GL153" s="1">
        <v>0</v>
      </c>
      <c r="GM153" s="1">
        <v>0</v>
      </c>
      <c r="GN153" s="1">
        <v>0</v>
      </c>
      <c r="GO153" s="1">
        <v>0</v>
      </c>
      <c r="GP153" s="1">
        <v>0</v>
      </c>
      <c r="GQ153" s="1">
        <v>0</v>
      </c>
      <c r="GR153" s="1">
        <v>0</v>
      </c>
      <c r="GS153" s="1">
        <v>0</v>
      </c>
      <c r="GT153" s="1">
        <v>0</v>
      </c>
      <c r="GU153" s="1">
        <v>0</v>
      </c>
      <c r="GV153" s="1">
        <v>0</v>
      </c>
      <c r="GW153" s="1">
        <v>0</v>
      </c>
      <c r="GX153" s="1">
        <v>0</v>
      </c>
      <c r="GY153" s="1">
        <v>0</v>
      </c>
      <c r="GZ153" s="1">
        <v>0</v>
      </c>
      <c r="HA153" s="1">
        <v>0</v>
      </c>
      <c r="HB153" s="1">
        <v>0</v>
      </c>
      <c r="HC153" s="1">
        <v>0</v>
      </c>
      <c r="HD153" s="1">
        <v>0</v>
      </c>
      <c r="HE153" s="1">
        <v>0</v>
      </c>
      <c r="HF153" s="1">
        <v>0</v>
      </c>
      <c r="HG153" s="1">
        <v>0</v>
      </c>
      <c r="HH153" s="1">
        <v>0</v>
      </c>
      <c r="HI153" s="1">
        <v>0</v>
      </c>
      <c r="HJ153" s="1">
        <v>0</v>
      </c>
      <c r="HK153" s="1">
        <v>0</v>
      </c>
      <c r="HL153" s="1">
        <v>0</v>
      </c>
      <c r="HM153" s="1">
        <v>0</v>
      </c>
      <c r="HN153" s="1">
        <v>0</v>
      </c>
      <c r="HO153" s="1">
        <v>0</v>
      </c>
      <c r="HP153" s="1">
        <v>0</v>
      </c>
      <c r="HQ153" s="1">
        <v>0</v>
      </c>
      <c r="HR153" s="1">
        <v>0</v>
      </c>
      <c r="HS153" s="1">
        <v>0</v>
      </c>
      <c r="HT153" s="1">
        <v>0</v>
      </c>
      <c r="HU153" s="1">
        <v>0</v>
      </c>
      <c r="HV153" s="1">
        <v>0</v>
      </c>
      <c r="HW153" s="1">
        <v>0</v>
      </c>
      <c r="HX153" s="1">
        <v>0</v>
      </c>
      <c r="HY153" s="1">
        <v>0</v>
      </c>
      <c r="HZ153" s="1">
        <v>0</v>
      </c>
      <c r="IA153" s="1">
        <v>0</v>
      </c>
      <c r="IB153" s="1">
        <v>0</v>
      </c>
      <c r="IC153" s="1">
        <v>0</v>
      </c>
      <c r="ID153" s="1">
        <v>0</v>
      </c>
      <c r="IE153" s="1">
        <v>0</v>
      </c>
      <c r="IF153" s="1">
        <v>0</v>
      </c>
      <c r="IG153" s="1">
        <v>0</v>
      </c>
      <c r="IH153" s="1">
        <v>0</v>
      </c>
      <c r="II153" s="1">
        <v>0</v>
      </c>
      <c r="IJ153" s="1">
        <v>0</v>
      </c>
      <c r="IK153" s="1">
        <v>0</v>
      </c>
      <c r="IL153" s="1">
        <v>0</v>
      </c>
      <c r="IM153" s="1">
        <v>0</v>
      </c>
      <c r="IN153" s="1">
        <v>0</v>
      </c>
      <c r="IO153" s="1">
        <v>43.38</v>
      </c>
      <c r="IP153" s="1">
        <v>211.56</v>
      </c>
      <c r="IQ153" s="1">
        <v>79.66</v>
      </c>
      <c r="IR153" s="1">
        <v>0</v>
      </c>
      <c r="IS153" s="1">
        <v>43.38</v>
      </c>
      <c r="IT153" s="1">
        <v>211.56</v>
      </c>
      <c r="IU153" s="1">
        <v>79.66</v>
      </c>
      <c r="IV153" s="1">
        <v>0</v>
      </c>
      <c r="IW153" s="1">
        <v>0</v>
      </c>
      <c r="IX153" s="1">
        <v>0</v>
      </c>
      <c r="IY153" s="1">
        <v>0</v>
      </c>
      <c r="IZ153" s="1">
        <v>0</v>
      </c>
      <c r="JA153" s="1">
        <v>0</v>
      </c>
      <c r="JB153" s="1">
        <v>0</v>
      </c>
      <c r="JC153" s="1">
        <v>0</v>
      </c>
      <c r="JD153" s="1">
        <v>0</v>
      </c>
      <c r="JE153" s="1">
        <v>0</v>
      </c>
      <c r="JF153" s="1">
        <v>0</v>
      </c>
      <c r="JG153" s="1">
        <v>0</v>
      </c>
      <c r="JH153" s="1">
        <v>0</v>
      </c>
      <c r="JI153" s="1">
        <v>0</v>
      </c>
      <c r="JJ153" s="1">
        <v>0</v>
      </c>
      <c r="JK153" s="1">
        <v>0</v>
      </c>
      <c r="JL153" s="1">
        <v>0</v>
      </c>
      <c r="JM153" s="1">
        <v>0</v>
      </c>
      <c r="JN153" s="1">
        <v>0</v>
      </c>
      <c r="JO153" s="1">
        <v>0</v>
      </c>
      <c r="JP153" s="1">
        <v>0</v>
      </c>
      <c r="JQ153" s="9"/>
      <c r="JR153" s="1">
        <f t="shared" si="38"/>
        <v>610.72110000000112</v>
      </c>
      <c r="JS153" s="1">
        <f t="shared" si="38"/>
        <v>588.97745999999984</v>
      </c>
      <c r="JT153" s="1">
        <f t="shared" si="38"/>
        <v>551.62322999999981</v>
      </c>
      <c r="JU153" s="1">
        <f t="shared" si="36"/>
        <v>585.04086000000029</v>
      </c>
      <c r="JV153" s="1">
        <f t="shared" si="39"/>
        <v>113.0965000000002</v>
      </c>
      <c r="JW153" s="1">
        <f t="shared" si="39"/>
        <v>109.06989999999996</v>
      </c>
      <c r="JX153" s="1">
        <f t="shared" si="39"/>
        <v>102.15244999999996</v>
      </c>
      <c r="JY153" s="1">
        <f t="shared" si="37"/>
        <v>108.34090000000006</v>
      </c>
    </row>
    <row r="154" spans="1:285" s="5" customFormat="1" x14ac:dyDescent="0.35">
      <c r="A154" s="3" t="s">
        <v>161</v>
      </c>
      <c r="B154" s="4" t="e">
        <f>101570+#REF!</f>
        <v>#REF!</v>
      </c>
      <c r="C154" s="4" t="e">
        <f>103398+#REF!</f>
        <v>#REF!</v>
      </c>
      <c r="D154" s="4" t="e">
        <f>105725+#REF!</f>
        <v>#REF!</v>
      </c>
      <c r="E154" s="4" t="e">
        <f>108144+#REF!</f>
        <v>#REF!</v>
      </c>
      <c r="F154" s="4">
        <v>75349.923999999999</v>
      </c>
      <c r="G154" s="4">
        <v>78322.322</v>
      </c>
      <c r="H154" s="4">
        <v>70415.476999999999</v>
      </c>
      <c r="I154" s="4">
        <v>70094.028000000006</v>
      </c>
      <c r="J154" s="4">
        <f t="shared" si="40"/>
        <v>52701.662000000004</v>
      </c>
      <c r="K154" s="4">
        <f t="shared" si="41"/>
        <v>55652.167000000009</v>
      </c>
      <c r="L154" s="4">
        <f t="shared" si="42"/>
        <v>48894.792999999998</v>
      </c>
      <c r="M154" s="4">
        <f t="shared" si="43"/>
        <v>48169.826000000001</v>
      </c>
      <c r="N154" s="4">
        <f t="shared" si="44"/>
        <v>22648.261999999995</v>
      </c>
      <c r="O154" s="4">
        <f t="shared" si="45"/>
        <v>22670.154999999992</v>
      </c>
      <c r="P154" s="4">
        <f t="shared" si="46"/>
        <v>21520.684000000001</v>
      </c>
      <c r="Q154" s="4">
        <f t="shared" si="47"/>
        <v>21924.202000000005</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s="4">
        <v>0</v>
      </c>
      <c r="AM154" s="4">
        <v>0</v>
      </c>
      <c r="AN154" s="4">
        <v>0</v>
      </c>
      <c r="AO154" s="4">
        <v>0</v>
      </c>
      <c r="AP154" s="4">
        <v>11720.79</v>
      </c>
      <c r="AQ154" s="4">
        <v>13732.6</v>
      </c>
      <c r="AR154" s="4">
        <v>12214.826000000001</v>
      </c>
      <c r="AS154" s="4">
        <v>15573.702000000001</v>
      </c>
      <c r="AT154" s="4">
        <v>0</v>
      </c>
      <c r="AU154" s="4">
        <v>11720.79</v>
      </c>
      <c r="AV154" s="4">
        <v>0</v>
      </c>
      <c r="AW154" s="4">
        <v>0</v>
      </c>
      <c r="AX154" s="4">
        <v>0</v>
      </c>
      <c r="AY154" s="4">
        <v>13732.6</v>
      </c>
      <c r="AZ154" s="4">
        <v>0</v>
      </c>
      <c r="BA154" s="4">
        <v>0</v>
      </c>
      <c r="BB154" s="4">
        <v>0</v>
      </c>
      <c r="BC154" s="4">
        <v>12214.826000000001</v>
      </c>
      <c r="BD154" s="4">
        <v>0</v>
      </c>
      <c r="BE154" s="4">
        <v>0</v>
      </c>
      <c r="BF154" s="4">
        <v>15573.702000000001</v>
      </c>
      <c r="BG154" s="4">
        <v>0</v>
      </c>
      <c r="BH154" s="4">
        <v>0</v>
      </c>
      <c r="BI154" s="4">
        <v>0</v>
      </c>
      <c r="BJ154" s="4">
        <v>0</v>
      </c>
      <c r="BK154" s="4">
        <v>0</v>
      </c>
      <c r="BL154" s="4">
        <v>0</v>
      </c>
      <c r="BM154" s="4">
        <v>0</v>
      </c>
      <c r="BN154" s="4">
        <v>0</v>
      </c>
      <c r="BO154" s="4">
        <v>0</v>
      </c>
      <c r="BP154" s="4">
        <v>0</v>
      </c>
      <c r="BQ154" s="4">
        <v>0</v>
      </c>
      <c r="BR154" s="4">
        <v>0</v>
      </c>
      <c r="BS154" s="4">
        <v>0</v>
      </c>
      <c r="BT154" s="4">
        <v>0</v>
      </c>
      <c r="BU154" s="4">
        <v>11028.388999999999</v>
      </c>
      <c r="BV154" s="4">
        <v>13514.759</v>
      </c>
      <c r="BW154" s="4">
        <v>10131.119999999999</v>
      </c>
      <c r="BX154" s="4">
        <v>8569.73</v>
      </c>
      <c r="BY154" s="4">
        <v>11028.388999999999</v>
      </c>
      <c r="BZ154" s="4">
        <v>13514.759</v>
      </c>
      <c r="CA154" s="4">
        <v>10131.119999999999</v>
      </c>
      <c r="CB154" s="4">
        <v>8569.73</v>
      </c>
      <c r="CC154" s="4">
        <v>0</v>
      </c>
      <c r="CD154" s="4">
        <v>0</v>
      </c>
      <c r="CE154" s="4">
        <v>0</v>
      </c>
      <c r="CF154" s="4">
        <v>0</v>
      </c>
      <c r="CG154" s="4">
        <v>0</v>
      </c>
      <c r="CH154" s="4">
        <v>0</v>
      </c>
      <c r="CI154" s="4">
        <v>0</v>
      </c>
      <c r="CJ154" s="4">
        <v>0</v>
      </c>
      <c r="CK154" s="4">
        <v>0</v>
      </c>
      <c r="CL154" s="4">
        <v>0</v>
      </c>
      <c r="CM154" s="4">
        <v>0</v>
      </c>
      <c r="CN154" s="4">
        <v>0</v>
      </c>
      <c r="CO154" s="4">
        <v>0</v>
      </c>
      <c r="CP154" s="4">
        <v>0</v>
      </c>
      <c r="CQ154" s="4">
        <v>0</v>
      </c>
      <c r="CR154" s="4">
        <v>0</v>
      </c>
      <c r="CS154" s="4">
        <v>4288.79</v>
      </c>
      <c r="CT154" s="4">
        <v>3224.73</v>
      </c>
      <c r="CU154" s="4">
        <v>3541.51</v>
      </c>
      <c r="CV154" s="4">
        <v>2285.27</v>
      </c>
      <c r="CW154" s="4">
        <v>4288.79</v>
      </c>
      <c r="CX154" s="4">
        <v>3224.73</v>
      </c>
      <c r="CY154" s="4">
        <v>3541.51</v>
      </c>
      <c r="CZ154" s="4">
        <v>2285.27</v>
      </c>
      <c r="DA154" s="4">
        <v>0</v>
      </c>
      <c r="DB154" s="4">
        <v>0</v>
      </c>
      <c r="DC154" s="4">
        <v>0</v>
      </c>
      <c r="DD154" s="4">
        <v>0</v>
      </c>
      <c r="DE154" s="4">
        <v>0</v>
      </c>
      <c r="DF154" s="4">
        <v>0</v>
      </c>
      <c r="DG154" s="4">
        <v>0</v>
      </c>
      <c r="DH154" s="4">
        <v>0</v>
      </c>
      <c r="DI154" s="4">
        <v>0</v>
      </c>
      <c r="DJ154" s="4">
        <v>0</v>
      </c>
      <c r="DK154" s="4">
        <v>0</v>
      </c>
      <c r="DL154" s="4">
        <v>0</v>
      </c>
      <c r="DM154" s="4">
        <v>22621.759999999998</v>
      </c>
      <c r="DN154" s="4">
        <v>22608.560000000001</v>
      </c>
      <c r="DO154" s="4">
        <v>21301.360000000001</v>
      </c>
      <c r="DP154" s="4">
        <v>19854.484</v>
      </c>
      <c r="DQ154" s="4">
        <v>22621.759999999998</v>
      </c>
      <c r="DR154" s="4">
        <v>22608.560000000001</v>
      </c>
      <c r="DS154" s="4">
        <v>21301.360000000001</v>
      </c>
      <c r="DT154" s="4">
        <v>19854.484</v>
      </c>
      <c r="DU154" s="4">
        <v>0</v>
      </c>
      <c r="DV154" s="4">
        <v>0</v>
      </c>
      <c r="DW154" s="4">
        <v>0</v>
      </c>
      <c r="DX154" s="4">
        <v>0</v>
      </c>
      <c r="DY154" s="4">
        <v>0</v>
      </c>
      <c r="DZ154" s="4">
        <v>0</v>
      </c>
      <c r="EA154" s="4">
        <v>0</v>
      </c>
      <c r="EB154" s="4">
        <v>0</v>
      </c>
      <c r="EC154" s="4">
        <v>0</v>
      </c>
      <c r="ED154" s="4">
        <v>0</v>
      </c>
      <c r="EE154" s="4">
        <v>0</v>
      </c>
      <c r="EF154" s="4">
        <v>0</v>
      </c>
      <c r="EG154" s="4">
        <v>0</v>
      </c>
      <c r="EH154" s="4">
        <v>0</v>
      </c>
      <c r="EI154" s="4">
        <v>0</v>
      </c>
      <c r="EJ154" s="4">
        <v>0</v>
      </c>
      <c r="EK154" s="4">
        <v>1935.6410000000001</v>
      </c>
      <c r="EL154" s="4">
        <v>1640.62</v>
      </c>
      <c r="EM154" s="4">
        <v>1323.885</v>
      </c>
      <c r="EN154" s="4">
        <v>1520.3969999999999</v>
      </c>
      <c r="EO154" s="4">
        <v>1935.6410000000001</v>
      </c>
      <c r="EP154" s="4">
        <v>1640.62</v>
      </c>
      <c r="EQ154" s="4">
        <v>1323.885</v>
      </c>
      <c r="ER154" s="4">
        <v>1520.3969999999999</v>
      </c>
      <c r="ES154" s="4">
        <v>0</v>
      </c>
      <c r="ET154" s="4">
        <v>0</v>
      </c>
      <c r="EU154" s="4">
        <v>0</v>
      </c>
      <c r="EV154" s="4">
        <v>0</v>
      </c>
      <c r="EW154" s="4">
        <v>0</v>
      </c>
      <c r="EX154" s="4">
        <v>0</v>
      </c>
      <c r="EY154" s="4">
        <v>0</v>
      </c>
      <c r="EZ154" s="4">
        <v>0</v>
      </c>
      <c r="FA154" s="4">
        <v>0</v>
      </c>
      <c r="FB154" s="4">
        <v>0</v>
      </c>
      <c r="FC154" s="4">
        <v>0</v>
      </c>
      <c r="FD154" s="4">
        <v>0</v>
      </c>
      <c r="FE154" s="4">
        <v>172.14400000000001</v>
      </c>
      <c r="FF154" s="4">
        <v>196.185</v>
      </c>
      <c r="FG154" s="4">
        <v>203.88300000000001</v>
      </c>
      <c r="FH154" s="4">
        <v>173.44</v>
      </c>
      <c r="FI154" s="4">
        <v>172.14400000000001</v>
      </c>
      <c r="FJ154" s="4">
        <v>196.185</v>
      </c>
      <c r="FK154" s="4">
        <v>203.88300000000001</v>
      </c>
      <c r="FL154" s="4">
        <v>173.44</v>
      </c>
      <c r="FM154" s="4">
        <v>0</v>
      </c>
      <c r="FN154" s="4">
        <v>0</v>
      </c>
      <c r="FO154" s="4">
        <v>0</v>
      </c>
      <c r="FP154" s="4">
        <v>0</v>
      </c>
      <c r="FQ154" s="4">
        <v>0</v>
      </c>
      <c r="FR154" s="4">
        <v>0</v>
      </c>
      <c r="FS154" s="4">
        <v>0</v>
      </c>
      <c r="FT154" s="4">
        <v>0</v>
      </c>
      <c r="FU154" s="4">
        <v>0</v>
      </c>
      <c r="FV154" s="4">
        <v>0</v>
      </c>
      <c r="FW154" s="4">
        <v>0</v>
      </c>
      <c r="FX154" s="4">
        <v>0</v>
      </c>
      <c r="FY154" s="4">
        <v>0</v>
      </c>
      <c r="FZ154" s="4">
        <v>0</v>
      </c>
      <c r="GA154" s="4">
        <v>0</v>
      </c>
      <c r="GB154" s="4">
        <v>0</v>
      </c>
      <c r="GC154" s="4">
        <v>161.25800000000001</v>
      </c>
      <c r="GD154" s="4">
        <v>154.39400000000001</v>
      </c>
      <c r="GE154" s="4">
        <v>147.38400000000001</v>
      </c>
      <c r="GF154" s="4">
        <v>185.78200000000001</v>
      </c>
      <c r="GG154" s="4">
        <v>161.25800000000001</v>
      </c>
      <c r="GH154" s="4">
        <v>154.39400000000001</v>
      </c>
      <c r="GI154" s="4">
        <v>147.38400000000001</v>
      </c>
      <c r="GJ154" s="4">
        <v>185.78200000000001</v>
      </c>
      <c r="GK154" s="4">
        <v>0</v>
      </c>
      <c r="GL154" s="4">
        <v>0</v>
      </c>
      <c r="GM154" s="4">
        <v>0</v>
      </c>
      <c r="GN154" s="4">
        <v>0</v>
      </c>
      <c r="GO154" s="4">
        <v>0</v>
      </c>
      <c r="GP154" s="4">
        <v>0</v>
      </c>
      <c r="GQ154" s="4">
        <v>0</v>
      </c>
      <c r="GR154" s="4">
        <v>0</v>
      </c>
      <c r="GS154" s="4">
        <v>0</v>
      </c>
      <c r="GT154" s="4">
        <v>0</v>
      </c>
      <c r="GU154" s="4">
        <v>0</v>
      </c>
      <c r="GV154" s="4">
        <v>0</v>
      </c>
      <c r="GW154" s="4">
        <v>0</v>
      </c>
      <c r="GX154" s="4">
        <v>0</v>
      </c>
      <c r="GY154" s="4">
        <v>0</v>
      </c>
      <c r="GZ154" s="4">
        <v>0</v>
      </c>
      <c r="HA154" s="4">
        <v>0</v>
      </c>
      <c r="HB154" s="4">
        <v>0</v>
      </c>
      <c r="HC154" s="4">
        <v>0</v>
      </c>
      <c r="HD154" s="4">
        <v>0</v>
      </c>
      <c r="HE154" s="4">
        <v>0</v>
      </c>
      <c r="HF154" s="4">
        <v>0</v>
      </c>
      <c r="HG154" s="4">
        <v>0</v>
      </c>
      <c r="HH154" s="4">
        <v>0</v>
      </c>
      <c r="HI154" s="4">
        <v>0</v>
      </c>
      <c r="HJ154" s="4">
        <v>0</v>
      </c>
      <c r="HK154" s="4">
        <v>0</v>
      </c>
      <c r="HL154" s="4">
        <v>0</v>
      </c>
      <c r="HM154" s="4">
        <v>0</v>
      </c>
      <c r="HN154" s="4">
        <v>0</v>
      </c>
      <c r="HO154" s="4">
        <v>0</v>
      </c>
      <c r="HP154" s="4">
        <v>0</v>
      </c>
      <c r="HQ154" s="4">
        <v>0</v>
      </c>
      <c r="HR154" s="4">
        <v>0</v>
      </c>
      <c r="HS154" s="4">
        <v>0</v>
      </c>
      <c r="HT154" s="4">
        <v>0</v>
      </c>
      <c r="HU154" s="4">
        <v>0</v>
      </c>
      <c r="HV154" s="4">
        <v>0</v>
      </c>
      <c r="HW154" s="4">
        <v>0</v>
      </c>
      <c r="HX154" s="4">
        <v>0</v>
      </c>
      <c r="HY154" s="4">
        <v>0</v>
      </c>
      <c r="HZ154" s="4">
        <v>0</v>
      </c>
      <c r="IA154" s="4">
        <v>0</v>
      </c>
      <c r="IB154" s="4">
        <v>0</v>
      </c>
      <c r="IC154" s="4">
        <v>0</v>
      </c>
      <c r="ID154" s="4">
        <v>0</v>
      </c>
      <c r="IE154" s="4">
        <v>0</v>
      </c>
      <c r="IF154" s="4">
        <v>0</v>
      </c>
      <c r="IG154" s="4">
        <v>0</v>
      </c>
      <c r="IH154" s="4">
        <v>0</v>
      </c>
      <c r="II154" s="4">
        <v>0</v>
      </c>
      <c r="IJ154" s="4">
        <v>0</v>
      </c>
      <c r="IK154" s="4">
        <v>0</v>
      </c>
      <c r="IL154" s="4">
        <v>0</v>
      </c>
      <c r="IM154" s="4">
        <v>0</v>
      </c>
      <c r="IN154" s="4">
        <v>0</v>
      </c>
      <c r="IO154" s="4">
        <v>772.89</v>
      </c>
      <c r="IP154" s="4">
        <v>580.31899999999996</v>
      </c>
      <c r="IQ154" s="4">
        <v>30.824999999999999</v>
      </c>
      <c r="IR154" s="4">
        <v>7.0210000000000008</v>
      </c>
      <c r="IS154" s="4">
        <v>772.89</v>
      </c>
      <c r="IT154" s="4">
        <v>580.31899999999996</v>
      </c>
      <c r="IU154" s="4">
        <v>30.824999999999999</v>
      </c>
      <c r="IV154" s="4">
        <v>7.0210000000000008</v>
      </c>
      <c r="IW154" s="4">
        <v>0</v>
      </c>
      <c r="IX154" s="4">
        <v>0</v>
      </c>
      <c r="IY154" s="4">
        <v>0</v>
      </c>
      <c r="IZ154" s="4">
        <v>0</v>
      </c>
      <c r="JA154" s="4">
        <v>0</v>
      </c>
      <c r="JB154" s="4">
        <v>0</v>
      </c>
      <c r="JC154" s="4">
        <v>0</v>
      </c>
      <c r="JD154" s="4">
        <v>0</v>
      </c>
      <c r="JE154" s="4">
        <v>0</v>
      </c>
      <c r="JF154" s="4">
        <v>0</v>
      </c>
      <c r="JG154" s="4">
        <v>0</v>
      </c>
      <c r="JH154" s="4">
        <v>0</v>
      </c>
      <c r="JI154" s="4">
        <v>0</v>
      </c>
      <c r="JJ154" s="4">
        <v>0</v>
      </c>
      <c r="JK154" s="4">
        <v>0</v>
      </c>
      <c r="JL154" s="4">
        <v>0</v>
      </c>
      <c r="JM154" s="4">
        <v>0</v>
      </c>
      <c r="JN154" s="4">
        <v>0</v>
      </c>
      <c r="JO154" s="4">
        <v>0</v>
      </c>
      <c r="JP154" s="4">
        <v>0</v>
      </c>
      <c r="JQ154" s="9"/>
      <c r="JR154" s="4">
        <f t="shared" si="38"/>
        <v>6115.0307399999992</v>
      </c>
      <c r="JS154" s="4">
        <f t="shared" si="38"/>
        <v>6120.9418499999983</v>
      </c>
      <c r="JT154" s="4">
        <f t="shared" si="38"/>
        <v>5810.5846800000008</v>
      </c>
      <c r="JU154" s="4">
        <f t="shared" si="36"/>
        <v>5919.5345400000015</v>
      </c>
      <c r="JV154" s="4">
        <f t="shared" si="39"/>
        <v>1132.4130999999998</v>
      </c>
      <c r="JW154" s="4">
        <f t="shared" si="39"/>
        <v>1133.5077499999995</v>
      </c>
      <c r="JX154" s="4">
        <f t="shared" si="39"/>
        <v>1076.0342000000001</v>
      </c>
      <c r="JY154" s="4">
        <f t="shared" si="37"/>
        <v>1096.2101000000002</v>
      </c>
    </row>
    <row r="155" spans="1:285" x14ac:dyDescent="0.35">
      <c r="A155" s="2" t="s">
        <v>162</v>
      </c>
      <c r="B155" s="1">
        <v>150877</v>
      </c>
      <c r="C155" s="1">
        <v>152919</v>
      </c>
      <c r="D155" s="1">
        <v>155159</v>
      </c>
      <c r="E155" s="1">
        <v>158410</v>
      </c>
      <c r="F155" s="1">
        <v>65258.47</v>
      </c>
      <c r="G155" s="1">
        <v>58261.919999999998</v>
      </c>
      <c r="H155" s="1">
        <v>52062.820000000007</v>
      </c>
      <c r="I155" s="1">
        <v>52472.01</v>
      </c>
      <c r="J155" s="1">
        <f t="shared" si="40"/>
        <v>47091.009999999995</v>
      </c>
      <c r="K155" s="1">
        <f t="shared" si="41"/>
        <v>39883.17</v>
      </c>
      <c r="L155" s="1">
        <f t="shared" si="42"/>
        <v>36558.180000000008</v>
      </c>
      <c r="M155" s="1">
        <f t="shared" si="43"/>
        <v>34671.200000000004</v>
      </c>
      <c r="N155" s="1">
        <f t="shared" si="44"/>
        <v>18167.460000000006</v>
      </c>
      <c r="O155" s="1">
        <f t="shared" si="45"/>
        <v>18378.75</v>
      </c>
      <c r="P155" s="1">
        <f t="shared" si="46"/>
        <v>15504.64</v>
      </c>
      <c r="Q155" s="1">
        <f t="shared" si="47"/>
        <v>17800.809999999998</v>
      </c>
      <c r="R155" s="1">
        <v>0</v>
      </c>
      <c r="S155" s="1">
        <v>0</v>
      </c>
      <c r="T155" s="1">
        <v>2013.52</v>
      </c>
      <c r="U155" s="1">
        <v>373.39</v>
      </c>
      <c r="V155" s="1">
        <v>0</v>
      </c>
      <c r="W155" s="1">
        <v>0</v>
      </c>
      <c r="X155" s="1">
        <v>0</v>
      </c>
      <c r="Y155" s="1">
        <v>0</v>
      </c>
      <c r="Z155" s="1">
        <v>0</v>
      </c>
      <c r="AA155" s="1">
        <v>0</v>
      </c>
      <c r="AB155" s="1">
        <v>0</v>
      </c>
      <c r="AC155" s="1">
        <v>0</v>
      </c>
      <c r="AD155" s="1">
        <v>1273.06</v>
      </c>
      <c r="AE155" s="1">
        <v>0</v>
      </c>
      <c r="AF155" s="1">
        <v>0</v>
      </c>
      <c r="AG155" s="1">
        <v>349.62</v>
      </c>
      <c r="AH155" s="1">
        <v>0</v>
      </c>
      <c r="AI155" s="1">
        <v>0</v>
      </c>
      <c r="AJ155" s="1">
        <v>0</v>
      </c>
      <c r="AK155" s="1">
        <v>0</v>
      </c>
      <c r="AL155" s="1">
        <v>0</v>
      </c>
      <c r="AM155" s="1">
        <v>0</v>
      </c>
      <c r="AN155" s="1">
        <v>0</v>
      </c>
      <c r="AO155" s="1">
        <v>23.769999999999996</v>
      </c>
      <c r="AP155" s="1">
        <v>6721.84</v>
      </c>
      <c r="AQ155" s="1">
        <v>8295.3900000000012</v>
      </c>
      <c r="AR155" s="1">
        <v>7422.4400000000005</v>
      </c>
      <c r="AS155" s="1">
        <v>7934.2300000000005</v>
      </c>
      <c r="AT155" s="1">
        <v>0</v>
      </c>
      <c r="AU155" s="1">
        <v>6721.84</v>
      </c>
      <c r="AV155" s="1">
        <v>0</v>
      </c>
      <c r="AW155" s="1">
        <v>0</v>
      </c>
      <c r="AX155" s="1">
        <v>0</v>
      </c>
      <c r="AY155" s="1">
        <v>8295.3900000000012</v>
      </c>
      <c r="AZ155" s="1">
        <v>0</v>
      </c>
      <c r="BA155" s="1">
        <v>0</v>
      </c>
      <c r="BB155" s="1">
        <v>7422.4400000000005</v>
      </c>
      <c r="BC155" s="1">
        <v>0</v>
      </c>
      <c r="BD155" s="1">
        <v>0</v>
      </c>
      <c r="BE155" s="1">
        <v>0</v>
      </c>
      <c r="BF155" s="1">
        <v>7934.2300000000005</v>
      </c>
      <c r="BG155" s="1">
        <v>0</v>
      </c>
      <c r="BH155" s="1">
        <v>0</v>
      </c>
      <c r="BI155" s="1">
        <v>0</v>
      </c>
      <c r="BJ155" s="1">
        <v>0</v>
      </c>
      <c r="BK155" s="1">
        <v>0</v>
      </c>
      <c r="BL155" s="1">
        <v>0</v>
      </c>
      <c r="BM155" s="1">
        <v>0</v>
      </c>
      <c r="BN155" s="1">
        <v>0</v>
      </c>
      <c r="BO155" s="1">
        <v>0</v>
      </c>
      <c r="BP155" s="1">
        <v>0</v>
      </c>
      <c r="BQ155" s="1">
        <v>0</v>
      </c>
      <c r="BR155" s="1">
        <v>0</v>
      </c>
      <c r="BS155" s="1">
        <v>0</v>
      </c>
      <c r="BT155" s="1">
        <v>0</v>
      </c>
      <c r="BU155" s="1">
        <v>20906.349999999999</v>
      </c>
      <c r="BV155" s="1">
        <v>15677.13</v>
      </c>
      <c r="BW155" s="1">
        <v>20010.13</v>
      </c>
      <c r="BX155" s="1">
        <v>18854.330000000002</v>
      </c>
      <c r="BY155" s="1">
        <v>20906.349999999999</v>
      </c>
      <c r="BZ155" s="1">
        <v>15677.13</v>
      </c>
      <c r="CA155" s="1">
        <v>20010.13</v>
      </c>
      <c r="CB155" s="1">
        <v>18854.330000000002</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9384.26</v>
      </c>
      <c r="CT155" s="1">
        <v>7367.53</v>
      </c>
      <c r="CU155" s="1">
        <v>1149.4000000000001</v>
      </c>
      <c r="CV155" s="1">
        <v>1252.04</v>
      </c>
      <c r="CW155" s="1">
        <v>9384.26</v>
      </c>
      <c r="CX155" s="1">
        <v>7367.53</v>
      </c>
      <c r="CY155" s="1">
        <v>1141.28</v>
      </c>
      <c r="CZ155" s="1">
        <v>1228.27</v>
      </c>
      <c r="DA155" s="1">
        <v>0</v>
      </c>
      <c r="DB155" s="1">
        <v>0</v>
      </c>
      <c r="DC155" s="1">
        <v>0</v>
      </c>
      <c r="DD155" s="1">
        <v>0</v>
      </c>
      <c r="DE155" s="1">
        <v>0</v>
      </c>
      <c r="DF155" s="1">
        <v>0</v>
      </c>
      <c r="DG155" s="1">
        <v>0</v>
      </c>
      <c r="DH155" s="1">
        <v>0</v>
      </c>
      <c r="DI155" s="1">
        <v>0</v>
      </c>
      <c r="DJ155" s="1">
        <v>0</v>
      </c>
      <c r="DK155" s="1">
        <v>8.120000000000001</v>
      </c>
      <c r="DL155" s="1">
        <v>23.77</v>
      </c>
      <c r="DM155" s="1">
        <v>4812.3500000000004</v>
      </c>
      <c r="DN155" s="1">
        <v>4773.66</v>
      </c>
      <c r="DO155" s="1">
        <v>4391.6000000000004</v>
      </c>
      <c r="DP155" s="1">
        <v>4067.6</v>
      </c>
      <c r="DQ155" s="1">
        <v>4812.3500000000004</v>
      </c>
      <c r="DR155" s="1">
        <v>4773.66</v>
      </c>
      <c r="DS155" s="1">
        <v>4391.6000000000004</v>
      </c>
      <c r="DT155" s="1">
        <v>4067.6</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4218.8900000000003</v>
      </c>
      <c r="EL155" s="1">
        <v>2710.78</v>
      </c>
      <c r="EM155" s="1">
        <v>769.93000000000006</v>
      </c>
      <c r="EN155" s="1">
        <v>1105.3900000000001</v>
      </c>
      <c r="EO155" s="1">
        <v>4218.8900000000003</v>
      </c>
      <c r="EP155" s="1">
        <v>2710.78</v>
      </c>
      <c r="EQ155" s="1">
        <v>769.93000000000006</v>
      </c>
      <c r="ER155" s="1">
        <v>1105.3900000000001</v>
      </c>
      <c r="ES155" s="1">
        <v>0</v>
      </c>
      <c r="ET155" s="1">
        <v>0</v>
      </c>
      <c r="EU155" s="1">
        <v>0</v>
      </c>
      <c r="EV155" s="1">
        <v>0</v>
      </c>
      <c r="EW155" s="1">
        <v>0</v>
      </c>
      <c r="EX155" s="1">
        <v>0</v>
      </c>
      <c r="EY155" s="1">
        <v>0</v>
      </c>
      <c r="EZ155" s="1">
        <v>0</v>
      </c>
      <c r="FA155" s="1">
        <v>0</v>
      </c>
      <c r="FB155" s="1">
        <v>0</v>
      </c>
      <c r="FC155" s="1">
        <v>0</v>
      </c>
      <c r="FD155" s="1">
        <v>0</v>
      </c>
      <c r="FE155" s="1">
        <v>189.35</v>
      </c>
      <c r="FF155" s="1">
        <v>237.61</v>
      </c>
      <c r="FG155" s="1">
        <v>176.18</v>
      </c>
      <c r="FH155" s="1">
        <v>212.49</v>
      </c>
      <c r="FI155" s="1">
        <v>189.35</v>
      </c>
      <c r="FJ155" s="1">
        <v>237.61</v>
      </c>
      <c r="FK155" s="1">
        <v>176.18</v>
      </c>
      <c r="FL155" s="1">
        <v>212.49</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v>0</v>
      </c>
      <c r="GC155" s="1">
        <v>138.24</v>
      </c>
      <c r="GD155" s="1">
        <v>234.62</v>
      </c>
      <c r="GE155" s="1">
        <v>177.07</v>
      </c>
      <c r="GF155" s="1">
        <v>364.62</v>
      </c>
      <c r="GG155" s="1">
        <v>138.24</v>
      </c>
      <c r="GH155" s="1">
        <v>234.62</v>
      </c>
      <c r="GI155" s="1">
        <v>177.07</v>
      </c>
      <c r="GJ155" s="1">
        <v>364.62</v>
      </c>
      <c r="GK155" s="1">
        <v>0</v>
      </c>
      <c r="GL155" s="1">
        <v>0</v>
      </c>
      <c r="GM155" s="1">
        <v>0</v>
      </c>
      <c r="GN155" s="1">
        <v>0</v>
      </c>
      <c r="GO155" s="1">
        <v>0</v>
      </c>
      <c r="GP155" s="1">
        <v>0</v>
      </c>
      <c r="GQ155" s="1">
        <v>0</v>
      </c>
      <c r="GR155" s="1">
        <v>0</v>
      </c>
      <c r="GS155" s="1">
        <v>0</v>
      </c>
      <c r="GT155" s="1">
        <v>0</v>
      </c>
      <c r="GU155" s="1">
        <v>0</v>
      </c>
      <c r="GV155" s="1">
        <v>0</v>
      </c>
      <c r="GW155" s="1">
        <v>0</v>
      </c>
      <c r="GX155" s="1">
        <v>0</v>
      </c>
      <c r="GY155" s="1">
        <v>0</v>
      </c>
      <c r="GZ155" s="1">
        <v>0</v>
      </c>
      <c r="HA155" s="1">
        <v>0</v>
      </c>
      <c r="HB155" s="1">
        <v>0</v>
      </c>
      <c r="HC155" s="1">
        <v>0</v>
      </c>
      <c r="HD155" s="1">
        <v>0</v>
      </c>
      <c r="HE155" s="1">
        <v>0</v>
      </c>
      <c r="HF155" s="1">
        <v>0</v>
      </c>
      <c r="HG155" s="1">
        <v>0</v>
      </c>
      <c r="HH155" s="1">
        <v>0</v>
      </c>
      <c r="HI155" s="1">
        <v>0</v>
      </c>
      <c r="HJ155" s="1">
        <v>0</v>
      </c>
      <c r="HK155" s="1">
        <v>0</v>
      </c>
      <c r="HL155" s="1">
        <v>0</v>
      </c>
      <c r="HM155" s="1">
        <v>0</v>
      </c>
      <c r="HN155" s="1">
        <v>0</v>
      </c>
      <c r="HO155" s="1">
        <v>0</v>
      </c>
      <c r="HP155" s="1">
        <v>0</v>
      </c>
      <c r="HQ155" s="1">
        <v>0</v>
      </c>
      <c r="HR155" s="1">
        <v>0</v>
      </c>
      <c r="HS155" s="1">
        <v>0</v>
      </c>
      <c r="HT155" s="1">
        <v>0</v>
      </c>
      <c r="HU155" s="1">
        <v>0</v>
      </c>
      <c r="HV155" s="1">
        <v>0</v>
      </c>
      <c r="HW155" s="1">
        <v>0</v>
      </c>
      <c r="HX155" s="1">
        <v>0</v>
      </c>
      <c r="HY155" s="1">
        <v>0</v>
      </c>
      <c r="HZ155" s="1">
        <v>0</v>
      </c>
      <c r="IA155" s="1">
        <v>0</v>
      </c>
      <c r="IB155" s="1">
        <v>0</v>
      </c>
      <c r="IC155" s="1">
        <v>0</v>
      </c>
      <c r="ID155" s="1">
        <v>0</v>
      </c>
      <c r="IE155" s="1">
        <v>0</v>
      </c>
      <c r="IF155" s="1">
        <v>0</v>
      </c>
      <c r="IG155" s="1">
        <v>0</v>
      </c>
      <c r="IH155" s="1">
        <v>0</v>
      </c>
      <c r="II155" s="1">
        <v>0</v>
      </c>
      <c r="IJ155" s="1">
        <v>0</v>
      </c>
      <c r="IK155" s="1">
        <v>0</v>
      </c>
      <c r="IL155" s="1">
        <v>0</v>
      </c>
      <c r="IM155" s="1">
        <v>0</v>
      </c>
      <c r="IN155" s="1">
        <v>0</v>
      </c>
      <c r="IO155" s="1">
        <v>719.73</v>
      </c>
      <c r="IP155" s="1">
        <v>586.44999999999993</v>
      </c>
      <c r="IQ155" s="1">
        <v>447.91</v>
      </c>
      <c r="IR155" s="1">
        <v>507.11</v>
      </c>
      <c r="IS155" s="1">
        <v>719.73</v>
      </c>
      <c r="IT155" s="1">
        <v>586.44999999999993</v>
      </c>
      <c r="IU155" s="1">
        <v>447.11</v>
      </c>
      <c r="IV155" s="1">
        <v>507.11</v>
      </c>
      <c r="IW155" s="1">
        <v>0</v>
      </c>
      <c r="IX155" s="1">
        <v>0</v>
      </c>
      <c r="IY155" s="1">
        <v>0.8</v>
      </c>
      <c r="IZ155" s="1">
        <v>0</v>
      </c>
      <c r="JA155" s="1">
        <v>0</v>
      </c>
      <c r="JB155" s="1">
        <v>0</v>
      </c>
      <c r="JC155" s="1">
        <v>0</v>
      </c>
      <c r="JD155" s="1">
        <v>0</v>
      </c>
      <c r="JE155" s="1">
        <v>0</v>
      </c>
      <c r="JF155" s="1">
        <v>0</v>
      </c>
      <c r="JG155" s="1">
        <v>0</v>
      </c>
      <c r="JH155" s="1">
        <v>0</v>
      </c>
      <c r="JI155" s="1">
        <v>0</v>
      </c>
      <c r="JJ155" s="1">
        <v>0</v>
      </c>
      <c r="JK155" s="1">
        <v>0</v>
      </c>
      <c r="JL155" s="1">
        <v>0</v>
      </c>
      <c r="JM155" s="1">
        <v>0</v>
      </c>
      <c r="JN155" s="1">
        <v>0</v>
      </c>
      <c r="JO155" s="1">
        <v>0</v>
      </c>
      <c r="JP155" s="1">
        <v>0</v>
      </c>
      <c r="JQ155" s="9"/>
      <c r="JR155" s="1">
        <f t="shared" si="38"/>
        <v>4905.2142000000022</v>
      </c>
      <c r="JS155" s="1">
        <f t="shared" si="38"/>
        <v>4962.2625000000007</v>
      </c>
      <c r="JT155" s="1">
        <f t="shared" si="38"/>
        <v>4186.2528000000002</v>
      </c>
      <c r="JU155" s="1">
        <f t="shared" si="36"/>
        <v>4806.2186999999994</v>
      </c>
      <c r="JV155" s="1">
        <f t="shared" si="39"/>
        <v>908.37300000000039</v>
      </c>
      <c r="JW155" s="1">
        <f t="shared" si="39"/>
        <v>918.9375</v>
      </c>
      <c r="JX155" s="1">
        <f t="shared" si="39"/>
        <v>775.23199999999997</v>
      </c>
      <c r="JY155" s="1">
        <f t="shared" si="37"/>
        <v>890.04049999999995</v>
      </c>
    </row>
    <row r="156" spans="1:285" x14ac:dyDescent="0.35">
      <c r="A156" s="2" t="s">
        <v>163</v>
      </c>
      <c r="B156" s="1">
        <v>142459</v>
      </c>
      <c r="C156" s="1">
        <v>143943</v>
      </c>
      <c r="D156" s="1">
        <v>149339</v>
      </c>
      <c r="E156" s="1">
        <v>153639</v>
      </c>
      <c r="F156" s="1">
        <v>134940.21400000001</v>
      </c>
      <c r="G156" s="1">
        <v>143685.495</v>
      </c>
      <c r="H156" s="1">
        <v>144824.73300000001</v>
      </c>
      <c r="I156" s="1">
        <v>136471.84899999999</v>
      </c>
      <c r="J156" s="1">
        <f t="shared" si="40"/>
        <v>27202.074000000001</v>
      </c>
      <c r="K156" s="1">
        <f t="shared" si="41"/>
        <v>35915.167999999998</v>
      </c>
      <c r="L156" s="1">
        <f t="shared" si="42"/>
        <v>32169.654999999999</v>
      </c>
      <c r="M156" s="1">
        <f t="shared" si="43"/>
        <v>26032.936000000002</v>
      </c>
      <c r="N156" s="1">
        <f t="shared" si="44"/>
        <v>107738.14000000001</v>
      </c>
      <c r="O156" s="1">
        <f t="shared" si="45"/>
        <v>107770.32699999999</v>
      </c>
      <c r="P156" s="1">
        <f t="shared" si="46"/>
        <v>112655.07800000001</v>
      </c>
      <c r="Q156" s="1">
        <f t="shared" si="47"/>
        <v>110438.91299999999</v>
      </c>
      <c r="R156" s="1">
        <v>0</v>
      </c>
      <c r="S156" s="1">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1">
        <v>0</v>
      </c>
      <c r="AJ156" s="1">
        <v>0</v>
      </c>
      <c r="AK156" s="1">
        <v>0</v>
      </c>
      <c r="AL156" s="1">
        <v>0</v>
      </c>
      <c r="AM156" s="1">
        <v>0</v>
      </c>
      <c r="AN156" s="1">
        <v>0</v>
      </c>
      <c r="AO156" s="1">
        <v>0</v>
      </c>
      <c r="AP156" s="1">
        <v>6728.5889999999999</v>
      </c>
      <c r="AQ156" s="1">
        <v>7683.7400000000007</v>
      </c>
      <c r="AR156" s="1">
        <v>7150.2119999999995</v>
      </c>
      <c r="AS156" s="1">
        <v>7685.0789999999997</v>
      </c>
      <c r="AT156" s="1">
        <v>0</v>
      </c>
      <c r="AU156" s="1">
        <v>6728.5889999999999</v>
      </c>
      <c r="AV156" s="1">
        <v>0</v>
      </c>
      <c r="AW156" s="1">
        <v>0</v>
      </c>
      <c r="AX156" s="1">
        <v>0</v>
      </c>
      <c r="AY156" s="1">
        <v>7683.7400000000007</v>
      </c>
      <c r="AZ156" s="1">
        <v>0</v>
      </c>
      <c r="BA156" s="1">
        <v>0</v>
      </c>
      <c r="BB156" s="1">
        <v>0</v>
      </c>
      <c r="BC156" s="1">
        <v>7150.2119999999995</v>
      </c>
      <c r="BD156" s="1">
        <v>0</v>
      </c>
      <c r="BE156" s="1">
        <v>0</v>
      </c>
      <c r="BF156" s="1">
        <v>7685.0789999999997</v>
      </c>
      <c r="BG156" s="1">
        <v>0</v>
      </c>
      <c r="BH156" s="1">
        <v>0</v>
      </c>
      <c r="BI156" s="1">
        <v>0</v>
      </c>
      <c r="BJ156" s="1">
        <v>0</v>
      </c>
      <c r="BK156" s="1">
        <v>0</v>
      </c>
      <c r="BL156" s="1">
        <v>0</v>
      </c>
      <c r="BM156" s="1">
        <v>0</v>
      </c>
      <c r="BN156" s="1">
        <v>0</v>
      </c>
      <c r="BO156" s="1">
        <v>0</v>
      </c>
      <c r="BP156" s="1">
        <v>0</v>
      </c>
      <c r="BQ156" s="1">
        <v>0</v>
      </c>
      <c r="BR156" s="1">
        <v>0</v>
      </c>
      <c r="BS156" s="1">
        <v>0</v>
      </c>
      <c r="BT156" s="1">
        <v>0</v>
      </c>
      <c r="BU156" s="1">
        <v>4221.5389999999998</v>
      </c>
      <c r="BV156" s="1">
        <v>5550.2290000000003</v>
      </c>
      <c r="BW156" s="1">
        <v>4892.9859999999999</v>
      </c>
      <c r="BX156" s="1">
        <v>4317.7250000000004</v>
      </c>
      <c r="BY156" s="1">
        <v>4219.2079999999996</v>
      </c>
      <c r="BZ156" s="1">
        <v>5545.6480000000001</v>
      </c>
      <c r="CA156" s="1">
        <v>4884.4809999999998</v>
      </c>
      <c r="CB156" s="1">
        <v>4305.6559999999999</v>
      </c>
      <c r="CC156" s="1">
        <v>2.331</v>
      </c>
      <c r="CD156" s="1">
        <v>4.5810000000000004</v>
      </c>
      <c r="CE156" s="1">
        <v>8.5050000000000008</v>
      </c>
      <c r="CF156" s="1">
        <v>12.069000000000001</v>
      </c>
      <c r="CG156" s="1">
        <v>0</v>
      </c>
      <c r="CH156" s="1">
        <v>0</v>
      </c>
      <c r="CI156" s="1">
        <v>0</v>
      </c>
      <c r="CJ156" s="1">
        <v>0</v>
      </c>
      <c r="CK156" s="1">
        <v>0</v>
      </c>
      <c r="CL156" s="1">
        <v>0</v>
      </c>
      <c r="CM156" s="1">
        <v>0</v>
      </c>
      <c r="CN156" s="1">
        <v>0</v>
      </c>
      <c r="CO156" s="1">
        <v>0</v>
      </c>
      <c r="CP156" s="1">
        <v>0</v>
      </c>
      <c r="CQ156" s="1">
        <v>0</v>
      </c>
      <c r="CR156" s="1">
        <v>0</v>
      </c>
      <c r="CS156" s="1">
        <v>1057.0440000000001</v>
      </c>
      <c r="CT156" s="1">
        <v>1793.22</v>
      </c>
      <c r="CU156" s="1">
        <v>1239.3330000000001</v>
      </c>
      <c r="CV156" s="1">
        <v>1161.826</v>
      </c>
      <c r="CW156" s="1">
        <v>1057.0440000000001</v>
      </c>
      <c r="CX156" s="1">
        <v>1793.22</v>
      </c>
      <c r="CY156" s="1">
        <v>1239.3330000000001</v>
      </c>
      <c r="CZ156" s="1">
        <v>1161.826</v>
      </c>
      <c r="DA156" s="1">
        <v>0</v>
      </c>
      <c r="DB156" s="1">
        <v>0</v>
      </c>
      <c r="DC156" s="1">
        <v>0</v>
      </c>
      <c r="DD156" s="1">
        <v>0</v>
      </c>
      <c r="DE156" s="1">
        <v>0</v>
      </c>
      <c r="DF156" s="1">
        <v>0</v>
      </c>
      <c r="DG156" s="1">
        <v>0</v>
      </c>
      <c r="DH156" s="1">
        <v>0</v>
      </c>
      <c r="DI156" s="1">
        <v>0</v>
      </c>
      <c r="DJ156" s="1">
        <v>0</v>
      </c>
      <c r="DK156" s="1">
        <v>0</v>
      </c>
      <c r="DL156" s="1">
        <v>0</v>
      </c>
      <c r="DM156" s="1">
        <v>3118.11</v>
      </c>
      <c r="DN156" s="1">
        <v>4243.2730000000001</v>
      </c>
      <c r="DO156" s="1">
        <v>2879.3939999999998</v>
      </c>
      <c r="DP156" s="1">
        <v>1783.856</v>
      </c>
      <c r="DQ156" s="1">
        <v>3118.11</v>
      </c>
      <c r="DR156" s="1">
        <v>4243.2730000000001</v>
      </c>
      <c r="DS156" s="1">
        <v>2879.3939999999998</v>
      </c>
      <c r="DT156" s="1">
        <v>1783.856</v>
      </c>
      <c r="DU156" s="1">
        <v>0</v>
      </c>
      <c r="DV156" s="1">
        <v>0</v>
      </c>
      <c r="DW156" s="1">
        <v>0</v>
      </c>
      <c r="DX156" s="1">
        <v>0</v>
      </c>
      <c r="DY156" s="1">
        <v>0</v>
      </c>
      <c r="DZ156" s="1">
        <v>0</v>
      </c>
      <c r="EA156" s="1">
        <v>0</v>
      </c>
      <c r="EB156" s="1">
        <v>0</v>
      </c>
      <c r="EC156" s="1">
        <v>0</v>
      </c>
      <c r="ED156" s="1">
        <v>0</v>
      </c>
      <c r="EE156" s="1">
        <v>0</v>
      </c>
      <c r="EF156" s="1">
        <v>0</v>
      </c>
      <c r="EG156" s="1">
        <v>0</v>
      </c>
      <c r="EH156" s="1">
        <v>0</v>
      </c>
      <c r="EI156" s="1">
        <v>0</v>
      </c>
      <c r="EJ156" s="1">
        <v>0</v>
      </c>
      <c r="EK156" s="1">
        <v>9430.3580000000002</v>
      </c>
      <c r="EL156" s="1">
        <v>11588.007</v>
      </c>
      <c r="EM156" s="1">
        <v>11736.749</v>
      </c>
      <c r="EN156" s="1">
        <v>9631.1660000000011</v>
      </c>
      <c r="EO156" s="1">
        <v>9430.3580000000002</v>
      </c>
      <c r="EP156" s="1">
        <v>11588.007</v>
      </c>
      <c r="EQ156" s="1">
        <v>11736.749</v>
      </c>
      <c r="ER156" s="1">
        <v>9631.1660000000011</v>
      </c>
      <c r="ES156" s="1">
        <v>47.91</v>
      </c>
      <c r="ET156" s="1">
        <v>38.42</v>
      </c>
      <c r="EU156" s="1">
        <v>81.97999999999999</v>
      </c>
      <c r="EV156" s="1">
        <v>88.37</v>
      </c>
      <c r="EW156" s="1">
        <v>0</v>
      </c>
      <c r="EX156" s="1">
        <v>0</v>
      </c>
      <c r="EY156" s="1">
        <v>0</v>
      </c>
      <c r="EZ156" s="1">
        <v>0</v>
      </c>
      <c r="FA156" s="1">
        <v>0</v>
      </c>
      <c r="FB156" s="1">
        <v>0</v>
      </c>
      <c r="FC156" s="1">
        <v>0</v>
      </c>
      <c r="FD156" s="1">
        <v>0</v>
      </c>
      <c r="FE156" s="1">
        <v>28.35</v>
      </c>
      <c r="FF156" s="1">
        <v>24.93</v>
      </c>
      <c r="FG156" s="1">
        <v>27.135000000000002</v>
      </c>
      <c r="FH156" s="1">
        <v>29.411999999999999</v>
      </c>
      <c r="FI156" s="1">
        <v>28.35</v>
      </c>
      <c r="FJ156" s="1">
        <v>24.93</v>
      </c>
      <c r="FK156" s="1">
        <v>27.135000000000002</v>
      </c>
      <c r="FL156" s="1">
        <v>29.411999999999999</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v>0</v>
      </c>
      <c r="GC156" s="1">
        <v>1194.211</v>
      </c>
      <c r="GD156" s="1">
        <v>1377.8589999999999</v>
      </c>
      <c r="GE156" s="1">
        <v>1518.758</v>
      </c>
      <c r="GF156" s="1">
        <v>1420.0119999999999</v>
      </c>
      <c r="GG156" s="1">
        <v>1194.211</v>
      </c>
      <c r="GH156" s="1">
        <v>1377.8589999999999</v>
      </c>
      <c r="GI156" s="1">
        <v>1518.758</v>
      </c>
      <c r="GJ156" s="1">
        <v>1420.0119999999999</v>
      </c>
      <c r="GK156" s="1">
        <v>0</v>
      </c>
      <c r="GL156" s="1">
        <v>0</v>
      </c>
      <c r="GM156" s="1">
        <v>0</v>
      </c>
      <c r="GN156" s="1">
        <v>0</v>
      </c>
      <c r="GO156" s="1">
        <v>0</v>
      </c>
      <c r="GP156" s="1">
        <v>0</v>
      </c>
      <c r="GQ156" s="1">
        <v>0</v>
      </c>
      <c r="GR156" s="1">
        <v>0</v>
      </c>
      <c r="GS156" s="1">
        <v>0</v>
      </c>
      <c r="GT156" s="1">
        <v>0</v>
      </c>
      <c r="GU156" s="1">
        <v>0</v>
      </c>
      <c r="GV156" s="1">
        <v>0</v>
      </c>
      <c r="GW156" s="1">
        <v>0</v>
      </c>
      <c r="GX156" s="1">
        <v>0</v>
      </c>
      <c r="GY156" s="1">
        <v>0</v>
      </c>
      <c r="GZ156" s="1">
        <v>0</v>
      </c>
      <c r="HA156" s="1">
        <v>0</v>
      </c>
      <c r="HB156" s="1">
        <v>0</v>
      </c>
      <c r="HC156" s="1">
        <v>0</v>
      </c>
      <c r="HD156" s="1">
        <v>0</v>
      </c>
      <c r="HE156" s="1">
        <v>1418.223</v>
      </c>
      <c r="HF156" s="1">
        <v>3653.91</v>
      </c>
      <c r="HG156" s="1">
        <v>2725.0880000000002</v>
      </c>
      <c r="HH156" s="1">
        <v>0</v>
      </c>
      <c r="HI156" s="1">
        <v>1418.223</v>
      </c>
      <c r="HJ156" s="1">
        <v>3056.4459999999999</v>
      </c>
      <c r="HK156" s="1">
        <v>2095.7950000000001</v>
      </c>
      <c r="HL156" s="1">
        <v>0</v>
      </c>
      <c r="HM156" s="1">
        <v>0</v>
      </c>
      <c r="HN156" s="1">
        <v>0</v>
      </c>
      <c r="HO156" s="1">
        <v>0</v>
      </c>
      <c r="HP156" s="1">
        <v>0</v>
      </c>
      <c r="HQ156" s="1">
        <v>0</v>
      </c>
      <c r="HR156" s="1">
        <v>0</v>
      </c>
      <c r="HS156" s="1">
        <v>0</v>
      </c>
      <c r="HT156" s="1">
        <v>0</v>
      </c>
      <c r="HU156" s="1">
        <v>0</v>
      </c>
      <c r="HV156" s="1">
        <v>0</v>
      </c>
      <c r="HW156" s="1">
        <v>0</v>
      </c>
      <c r="HX156" s="1">
        <v>0</v>
      </c>
      <c r="HY156" s="1">
        <v>0</v>
      </c>
      <c r="HZ156" s="1">
        <v>0</v>
      </c>
      <c r="IA156" s="1">
        <v>0</v>
      </c>
      <c r="IB156" s="1">
        <v>0</v>
      </c>
      <c r="IC156" s="1">
        <v>0</v>
      </c>
      <c r="ID156" s="1">
        <v>597.46399999999994</v>
      </c>
      <c r="IE156" s="1">
        <v>629.29300000000001</v>
      </c>
      <c r="IF156" s="1">
        <v>0</v>
      </c>
      <c r="IG156" s="1">
        <v>0</v>
      </c>
      <c r="IH156" s="1">
        <v>0</v>
      </c>
      <c r="II156" s="1">
        <v>0</v>
      </c>
      <c r="IJ156" s="1">
        <v>0</v>
      </c>
      <c r="IK156" s="1">
        <v>0</v>
      </c>
      <c r="IL156" s="1">
        <v>0</v>
      </c>
      <c r="IM156" s="1">
        <v>0</v>
      </c>
      <c r="IN156" s="1">
        <v>0</v>
      </c>
      <c r="IO156" s="1">
        <v>5.6499999999999986</v>
      </c>
      <c r="IP156" s="1">
        <v>0</v>
      </c>
      <c r="IQ156" s="1">
        <v>0</v>
      </c>
      <c r="IR156" s="1">
        <v>3.86</v>
      </c>
      <c r="IS156" s="1">
        <v>5.6499999999999986</v>
      </c>
      <c r="IT156" s="1">
        <v>0</v>
      </c>
      <c r="IU156" s="1">
        <v>0</v>
      </c>
      <c r="IV156" s="1">
        <v>3.86</v>
      </c>
      <c r="IW156" s="1">
        <v>0</v>
      </c>
      <c r="IX156" s="1">
        <v>0</v>
      </c>
      <c r="IY156" s="1">
        <v>0</v>
      </c>
      <c r="IZ156" s="1">
        <v>0</v>
      </c>
      <c r="JA156" s="1">
        <v>0</v>
      </c>
      <c r="JB156" s="1">
        <v>0</v>
      </c>
      <c r="JC156" s="1">
        <v>0</v>
      </c>
      <c r="JD156" s="1">
        <v>0</v>
      </c>
      <c r="JE156" s="1">
        <v>0</v>
      </c>
      <c r="JF156" s="1">
        <v>0</v>
      </c>
      <c r="JG156" s="1">
        <v>0</v>
      </c>
      <c r="JH156" s="1">
        <v>0</v>
      </c>
      <c r="JI156" s="1">
        <v>0</v>
      </c>
      <c r="JJ156" s="1">
        <v>0</v>
      </c>
      <c r="JK156" s="1">
        <v>0</v>
      </c>
      <c r="JL156" s="1">
        <v>0</v>
      </c>
      <c r="JM156" s="1">
        <v>0</v>
      </c>
      <c r="JN156" s="1">
        <v>0</v>
      </c>
      <c r="JO156" s="1">
        <v>0</v>
      </c>
      <c r="JP156" s="1">
        <v>0</v>
      </c>
      <c r="JQ156" s="9"/>
      <c r="JR156" s="1">
        <f t="shared" si="38"/>
        <v>29089.297800000004</v>
      </c>
      <c r="JS156" s="1">
        <f t="shared" si="38"/>
        <v>29097.988289999998</v>
      </c>
      <c r="JT156" s="1">
        <f t="shared" si="38"/>
        <v>30416.871060000005</v>
      </c>
      <c r="JU156" s="1">
        <f t="shared" si="36"/>
        <v>29818.506509999999</v>
      </c>
      <c r="JV156" s="1">
        <f t="shared" si="39"/>
        <v>5386.9070000000011</v>
      </c>
      <c r="JW156" s="1">
        <f t="shared" si="39"/>
        <v>5388.5163499999999</v>
      </c>
      <c r="JX156" s="1">
        <f t="shared" si="39"/>
        <v>5632.7539000000006</v>
      </c>
      <c r="JY156" s="1">
        <f t="shared" si="37"/>
        <v>5521.9456499999997</v>
      </c>
    </row>
    <row r="157" spans="1:285" x14ac:dyDescent="0.35">
      <c r="A157" s="2" t="s">
        <v>164</v>
      </c>
      <c r="B157" s="1">
        <v>283707</v>
      </c>
      <c r="C157" s="1">
        <v>288312</v>
      </c>
      <c r="D157" s="1">
        <v>292584</v>
      </c>
      <c r="E157" s="1">
        <v>300173</v>
      </c>
      <c r="F157" s="1">
        <v>369128.26</v>
      </c>
      <c r="G157" s="1">
        <v>366825.08</v>
      </c>
      <c r="H157" s="1">
        <v>351270.1</v>
      </c>
      <c r="I157" s="1">
        <v>315629.64</v>
      </c>
      <c r="J157" s="1">
        <f t="shared" si="40"/>
        <v>98493.94</v>
      </c>
      <c r="K157" s="1">
        <f t="shared" si="41"/>
        <v>89854.46</v>
      </c>
      <c r="L157" s="1">
        <f t="shared" si="42"/>
        <v>81787.989999999991</v>
      </c>
      <c r="M157" s="1">
        <f t="shared" si="43"/>
        <v>63099.19000000001</v>
      </c>
      <c r="N157" s="1">
        <f t="shared" si="44"/>
        <v>270634.32</v>
      </c>
      <c r="O157" s="1">
        <f t="shared" si="45"/>
        <v>276970.62</v>
      </c>
      <c r="P157" s="1">
        <f t="shared" si="46"/>
        <v>269482.11</v>
      </c>
      <c r="Q157" s="1">
        <f t="shared" si="47"/>
        <v>252530.45</v>
      </c>
      <c r="R157" s="1">
        <v>0</v>
      </c>
      <c r="S157" s="1">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1">
        <v>0</v>
      </c>
      <c r="AJ157" s="1">
        <v>0</v>
      </c>
      <c r="AK157" s="1">
        <v>0</v>
      </c>
      <c r="AL157" s="1">
        <v>0</v>
      </c>
      <c r="AM157" s="1">
        <v>0</v>
      </c>
      <c r="AN157" s="1">
        <v>0</v>
      </c>
      <c r="AO157" s="1">
        <v>0</v>
      </c>
      <c r="AP157" s="1">
        <v>24672.97</v>
      </c>
      <c r="AQ157" s="1">
        <v>24091.920000000006</v>
      </c>
      <c r="AR157" s="1">
        <v>21755.82</v>
      </c>
      <c r="AS157" s="1">
        <v>24395.39</v>
      </c>
      <c r="AT157" s="1">
        <v>23643.949999999997</v>
      </c>
      <c r="AU157" s="1">
        <v>1029.02</v>
      </c>
      <c r="AV157" s="1">
        <v>0</v>
      </c>
      <c r="AW157" s="1">
        <v>0</v>
      </c>
      <c r="AX157" s="1">
        <v>22708.48</v>
      </c>
      <c r="AY157" s="1">
        <v>1383.440000000006</v>
      </c>
      <c r="AZ157" s="1">
        <v>0</v>
      </c>
      <c r="BA157" s="1">
        <v>0</v>
      </c>
      <c r="BB157" s="1">
        <v>20693.16</v>
      </c>
      <c r="BC157" s="1">
        <v>1062.6599999999999</v>
      </c>
      <c r="BD157" s="1">
        <v>0</v>
      </c>
      <c r="BE157" s="1">
        <v>22793.43</v>
      </c>
      <c r="BF157" s="1">
        <v>1601.96</v>
      </c>
      <c r="BG157" s="1">
        <v>0</v>
      </c>
      <c r="BH157" s="1">
        <v>0</v>
      </c>
      <c r="BI157" s="1">
        <v>0</v>
      </c>
      <c r="BJ157" s="1">
        <v>0</v>
      </c>
      <c r="BK157" s="1">
        <v>0</v>
      </c>
      <c r="BL157" s="1">
        <v>0</v>
      </c>
      <c r="BM157" s="1">
        <v>0</v>
      </c>
      <c r="BN157" s="1">
        <v>0</v>
      </c>
      <c r="BO157" s="1">
        <v>0</v>
      </c>
      <c r="BP157" s="1">
        <v>0</v>
      </c>
      <c r="BQ157" s="1">
        <v>0</v>
      </c>
      <c r="BR157" s="1">
        <v>0</v>
      </c>
      <c r="BS157" s="1">
        <v>0</v>
      </c>
      <c r="BT157" s="1">
        <v>0</v>
      </c>
      <c r="BU157" s="1">
        <v>34393.26</v>
      </c>
      <c r="BV157" s="1">
        <v>27719.06</v>
      </c>
      <c r="BW157" s="1">
        <v>21563.040000000001</v>
      </c>
      <c r="BX157" s="1">
        <v>11175.64</v>
      </c>
      <c r="BY157" s="1">
        <v>34393.26</v>
      </c>
      <c r="BZ157" s="1">
        <v>27719.06</v>
      </c>
      <c r="CA157" s="1">
        <v>21563.040000000001</v>
      </c>
      <c r="CB157" s="1">
        <v>11175.64</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15378.93</v>
      </c>
      <c r="CT157" s="1">
        <v>13080.47</v>
      </c>
      <c r="CU157" s="1">
        <v>15525.9</v>
      </c>
      <c r="CV157" s="1">
        <v>6048.26</v>
      </c>
      <c r="CW157" s="1">
        <v>15201.13</v>
      </c>
      <c r="CX157" s="1">
        <v>12931.56</v>
      </c>
      <c r="CY157" s="1">
        <v>15313.32</v>
      </c>
      <c r="CZ157" s="1">
        <v>5797.38</v>
      </c>
      <c r="DA157" s="1">
        <v>177.8</v>
      </c>
      <c r="DB157" s="1">
        <v>148.91</v>
      </c>
      <c r="DC157" s="1">
        <v>212.58</v>
      </c>
      <c r="DD157" s="1">
        <v>250.88</v>
      </c>
      <c r="DE157" s="1">
        <v>0</v>
      </c>
      <c r="DF157" s="1">
        <v>0</v>
      </c>
      <c r="DG157" s="1">
        <v>0</v>
      </c>
      <c r="DH157" s="1">
        <v>0</v>
      </c>
      <c r="DI157" s="1">
        <v>0</v>
      </c>
      <c r="DJ157" s="1">
        <v>0</v>
      </c>
      <c r="DK157" s="1">
        <v>0</v>
      </c>
      <c r="DL157" s="1">
        <v>0</v>
      </c>
      <c r="DM157" s="1">
        <v>5198.37</v>
      </c>
      <c r="DN157" s="1">
        <v>4707.17</v>
      </c>
      <c r="DO157" s="1">
        <v>4465.9400000000014</v>
      </c>
      <c r="DP157" s="1">
        <v>3450.96</v>
      </c>
      <c r="DQ157" s="1">
        <v>5198.37</v>
      </c>
      <c r="DR157" s="1">
        <v>4707.17</v>
      </c>
      <c r="DS157" s="1">
        <v>4465.9400000000014</v>
      </c>
      <c r="DT157" s="1">
        <v>3450.96</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13183.69</v>
      </c>
      <c r="EL157" s="1">
        <v>13726.98</v>
      </c>
      <c r="EM157" s="1">
        <v>12150.14</v>
      </c>
      <c r="EN157" s="1">
        <v>10275.18</v>
      </c>
      <c r="EO157" s="1">
        <v>13135.78</v>
      </c>
      <c r="EP157" s="1">
        <v>13688.56</v>
      </c>
      <c r="EQ157" s="1">
        <v>12068.16</v>
      </c>
      <c r="ER157" s="1">
        <v>10186.81</v>
      </c>
      <c r="ES157" s="1">
        <v>0</v>
      </c>
      <c r="ET157" s="1">
        <v>0</v>
      </c>
      <c r="EU157" s="1">
        <v>0</v>
      </c>
      <c r="EV157" s="1">
        <v>0</v>
      </c>
      <c r="EW157" s="1">
        <v>0</v>
      </c>
      <c r="EX157" s="1">
        <v>0</v>
      </c>
      <c r="EY157" s="1">
        <v>0</v>
      </c>
      <c r="EZ157" s="1">
        <v>0</v>
      </c>
      <c r="FA157" s="1">
        <v>0</v>
      </c>
      <c r="FB157" s="1">
        <v>0</v>
      </c>
      <c r="FC157" s="1">
        <v>0</v>
      </c>
      <c r="FD157" s="1">
        <v>0</v>
      </c>
      <c r="FE157" s="1">
        <v>270.82</v>
      </c>
      <c r="FF157" s="1">
        <v>188.33</v>
      </c>
      <c r="FG157" s="1">
        <v>420.54</v>
      </c>
      <c r="FH157" s="1">
        <v>953.96</v>
      </c>
      <c r="FI157" s="1">
        <v>13.56</v>
      </c>
      <c r="FJ157" s="1">
        <v>0</v>
      </c>
      <c r="FK157" s="1">
        <v>207.96</v>
      </c>
      <c r="FL157" s="1">
        <v>703.07999999999993</v>
      </c>
      <c r="FM157" s="1">
        <v>257.26</v>
      </c>
      <c r="FN157" s="1">
        <v>188.33</v>
      </c>
      <c r="FO157" s="1">
        <v>212.58</v>
      </c>
      <c r="FP157" s="1">
        <v>250.88</v>
      </c>
      <c r="FQ157" s="1">
        <v>0</v>
      </c>
      <c r="FR157" s="1">
        <v>0</v>
      </c>
      <c r="FS157" s="1">
        <v>0</v>
      </c>
      <c r="FT157" s="1">
        <v>0</v>
      </c>
      <c r="FU157" s="1">
        <v>0</v>
      </c>
      <c r="FV157" s="1">
        <v>0</v>
      </c>
      <c r="FW157" s="1">
        <v>0</v>
      </c>
      <c r="FX157" s="1">
        <v>0</v>
      </c>
      <c r="FY157" s="1">
        <v>0</v>
      </c>
      <c r="FZ157" s="1">
        <v>0</v>
      </c>
      <c r="GA157" s="1">
        <v>0</v>
      </c>
      <c r="GB157" s="1">
        <v>0</v>
      </c>
      <c r="GC157" s="1">
        <v>886.79</v>
      </c>
      <c r="GD157" s="1">
        <v>1396.07</v>
      </c>
      <c r="GE157" s="1">
        <v>919.27</v>
      </c>
      <c r="GF157" s="1">
        <v>1500.48</v>
      </c>
      <c r="GG157" s="1">
        <v>886.79</v>
      </c>
      <c r="GH157" s="1">
        <v>1396.07</v>
      </c>
      <c r="GI157" s="1">
        <v>884.57999999999993</v>
      </c>
      <c r="GJ157" s="1">
        <v>1470.47</v>
      </c>
      <c r="GK157" s="1">
        <v>0</v>
      </c>
      <c r="GL157" s="1">
        <v>0</v>
      </c>
      <c r="GM157" s="1">
        <v>34.69</v>
      </c>
      <c r="GN157" s="1">
        <v>30.01</v>
      </c>
      <c r="GO157" s="1">
        <v>0</v>
      </c>
      <c r="GP157" s="1">
        <v>0</v>
      </c>
      <c r="GQ157" s="1">
        <v>0</v>
      </c>
      <c r="GR157" s="1">
        <v>0</v>
      </c>
      <c r="GS157" s="1">
        <v>0</v>
      </c>
      <c r="GT157" s="1">
        <v>0</v>
      </c>
      <c r="GU157" s="1">
        <v>0</v>
      </c>
      <c r="GV157" s="1">
        <v>0</v>
      </c>
      <c r="GW157" s="1">
        <v>0</v>
      </c>
      <c r="GX157" s="1">
        <v>0</v>
      </c>
      <c r="GY157" s="1">
        <v>0</v>
      </c>
      <c r="GZ157" s="1">
        <v>0</v>
      </c>
      <c r="HA157" s="1">
        <v>0</v>
      </c>
      <c r="HB157" s="1">
        <v>0</v>
      </c>
      <c r="HC157" s="1">
        <v>0</v>
      </c>
      <c r="HD157" s="1">
        <v>0</v>
      </c>
      <c r="HE157" s="1">
        <v>4465.43</v>
      </c>
      <c r="HF157" s="1">
        <v>4906.04</v>
      </c>
      <c r="HG157" s="1">
        <v>4905.3600000000006</v>
      </c>
      <c r="HH157" s="1">
        <v>5210.9500000000007</v>
      </c>
      <c r="HI157" s="1">
        <v>4465.43</v>
      </c>
      <c r="HJ157" s="1">
        <v>4906.04</v>
      </c>
      <c r="HK157" s="1">
        <v>4905.3600000000006</v>
      </c>
      <c r="HL157" s="1">
        <v>5210.9500000000007</v>
      </c>
      <c r="HM157" s="1">
        <v>0</v>
      </c>
      <c r="HN157" s="1">
        <v>0</v>
      </c>
      <c r="HO157" s="1">
        <v>0</v>
      </c>
      <c r="HP157" s="1">
        <v>0</v>
      </c>
      <c r="HQ157" s="1">
        <v>0</v>
      </c>
      <c r="HR157" s="1">
        <v>0</v>
      </c>
      <c r="HS157" s="1">
        <v>0</v>
      </c>
      <c r="HT157" s="1">
        <v>0</v>
      </c>
      <c r="HU157" s="1">
        <v>0</v>
      </c>
      <c r="HV157" s="1">
        <v>0</v>
      </c>
      <c r="HW157" s="1">
        <v>0</v>
      </c>
      <c r="HX157" s="1">
        <v>0</v>
      </c>
      <c r="HY157" s="1">
        <v>0</v>
      </c>
      <c r="HZ157" s="1">
        <v>0</v>
      </c>
      <c r="IA157" s="1">
        <v>0</v>
      </c>
      <c r="IB157" s="1">
        <v>0</v>
      </c>
      <c r="IC157" s="1">
        <v>0</v>
      </c>
      <c r="ID157" s="1">
        <v>0</v>
      </c>
      <c r="IE157" s="1">
        <v>0</v>
      </c>
      <c r="IF157" s="1">
        <v>0</v>
      </c>
      <c r="IG157" s="1">
        <v>0</v>
      </c>
      <c r="IH157" s="1">
        <v>0</v>
      </c>
      <c r="II157" s="1">
        <v>0</v>
      </c>
      <c r="IJ157" s="1">
        <v>0</v>
      </c>
      <c r="IK157" s="1">
        <v>0</v>
      </c>
      <c r="IL157" s="1">
        <v>0</v>
      </c>
      <c r="IM157" s="1">
        <v>0</v>
      </c>
      <c r="IN157" s="1">
        <v>0</v>
      </c>
      <c r="IO157" s="1">
        <v>43.68</v>
      </c>
      <c r="IP157" s="1">
        <v>38.42</v>
      </c>
      <c r="IQ157" s="1">
        <v>81.97999999999999</v>
      </c>
      <c r="IR157" s="1">
        <v>88.37</v>
      </c>
      <c r="IS157" s="1">
        <v>0</v>
      </c>
      <c r="IT157" s="1">
        <v>0</v>
      </c>
      <c r="IU157" s="1">
        <v>0</v>
      </c>
      <c r="IV157" s="1">
        <v>0</v>
      </c>
      <c r="IW157" s="1">
        <v>43.68</v>
      </c>
      <c r="IX157" s="1">
        <v>38.42</v>
      </c>
      <c r="IY157" s="1">
        <v>81.97999999999999</v>
      </c>
      <c r="IZ157" s="1">
        <v>88.37</v>
      </c>
      <c r="JA157" s="1">
        <v>0</v>
      </c>
      <c r="JB157" s="1">
        <v>0</v>
      </c>
      <c r="JC157" s="1">
        <v>0</v>
      </c>
      <c r="JD157" s="1">
        <v>0</v>
      </c>
      <c r="JE157" s="1">
        <v>0</v>
      </c>
      <c r="JF157" s="1">
        <v>0</v>
      </c>
      <c r="JG157" s="1">
        <v>0</v>
      </c>
      <c r="JH157" s="1">
        <v>0</v>
      </c>
      <c r="JI157" s="1">
        <v>0</v>
      </c>
      <c r="JJ157" s="1">
        <v>0</v>
      </c>
      <c r="JK157" s="1">
        <v>0</v>
      </c>
      <c r="JL157" s="1">
        <v>0</v>
      </c>
      <c r="JM157" s="1">
        <v>0</v>
      </c>
      <c r="JN157" s="1">
        <v>0</v>
      </c>
      <c r="JO157" s="1">
        <v>0</v>
      </c>
      <c r="JP157" s="1">
        <v>0</v>
      </c>
      <c r="JQ157" s="9"/>
      <c r="JR157" s="1">
        <f t="shared" si="38"/>
        <v>73071.266400000008</v>
      </c>
      <c r="JS157" s="1">
        <f t="shared" si="38"/>
        <v>74782.0674</v>
      </c>
      <c r="JT157" s="1">
        <f t="shared" si="38"/>
        <v>72760.169699999999</v>
      </c>
      <c r="JU157" s="1">
        <f t="shared" si="36"/>
        <v>68183.221500000014</v>
      </c>
      <c r="JV157" s="1">
        <f t="shared" si="39"/>
        <v>13531.716</v>
      </c>
      <c r="JW157" s="1">
        <f t="shared" si="39"/>
        <v>13848.531000000001</v>
      </c>
      <c r="JX157" s="1">
        <f t="shared" si="39"/>
        <v>13474.1055</v>
      </c>
      <c r="JY157" s="1">
        <f t="shared" si="37"/>
        <v>12626.522500000001</v>
      </c>
    </row>
    <row r="158" spans="1:285" x14ac:dyDescent="0.35">
      <c r="A158" s="2" t="s">
        <v>165</v>
      </c>
      <c r="B158" s="1">
        <v>86924</v>
      </c>
      <c r="C158" s="1">
        <v>87599</v>
      </c>
      <c r="D158" s="1">
        <v>87931</v>
      </c>
      <c r="E158" s="1">
        <v>88529</v>
      </c>
      <c r="F158" s="1">
        <v>41757.160000000003</v>
      </c>
      <c r="G158" s="1">
        <v>33963.093999999997</v>
      </c>
      <c r="H158" s="1">
        <v>28942.321</v>
      </c>
      <c r="I158" s="1">
        <v>29509.537</v>
      </c>
      <c r="J158" s="1">
        <f t="shared" si="40"/>
        <v>26094.691999999999</v>
      </c>
      <c r="K158" s="1">
        <f t="shared" si="41"/>
        <v>20724.472999999998</v>
      </c>
      <c r="L158" s="1">
        <f t="shared" si="42"/>
        <v>17586.459000000003</v>
      </c>
      <c r="M158" s="1">
        <f t="shared" si="43"/>
        <v>18728.162000000008</v>
      </c>
      <c r="N158" s="1">
        <f t="shared" si="44"/>
        <v>15662.468000000004</v>
      </c>
      <c r="O158" s="1">
        <f t="shared" si="45"/>
        <v>13238.620999999999</v>
      </c>
      <c r="P158" s="1">
        <f t="shared" si="46"/>
        <v>11355.861999999997</v>
      </c>
      <c r="Q158" s="1">
        <f t="shared" si="47"/>
        <v>10781.374999999993</v>
      </c>
      <c r="R158" s="1">
        <v>3182.6529999999998</v>
      </c>
      <c r="S158" s="1">
        <v>3097.0070000000001</v>
      </c>
      <c r="T158" s="1">
        <v>2827.52</v>
      </c>
      <c r="U158" s="1">
        <v>2782.2359999999999</v>
      </c>
      <c r="V158" s="1">
        <v>0</v>
      </c>
      <c r="W158" s="1">
        <v>0</v>
      </c>
      <c r="X158" s="1">
        <v>3182.6529999999998</v>
      </c>
      <c r="Y158" s="1">
        <v>0</v>
      </c>
      <c r="Z158" s="1">
        <v>0</v>
      </c>
      <c r="AA158" s="1">
        <v>3097.0070000000001</v>
      </c>
      <c r="AB158" s="1">
        <v>0</v>
      </c>
      <c r="AC158" s="1">
        <v>0</v>
      </c>
      <c r="AD158" s="1">
        <v>2827.52</v>
      </c>
      <c r="AE158" s="1">
        <v>0</v>
      </c>
      <c r="AF158" s="1">
        <v>0</v>
      </c>
      <c r="AG158" s="1">
        <v>2782.2359999999999</v>
      </c>
      <c r="AH158" s="1">
        <v>0</v>
      </c>
      <c r="AI158" s="1">
        <v>0</v>
      </c>
      <c r="AJ158" s="1">
        <v>0</v>
      </c>
      <c r="AK158" s="1">
        <v>0</v>
      </c>
      <c r="AL158" s="1">
        <v>0</v>
      </c>
      <c r="AM158" s="1">
        <v>0</v>
      </c>
      <c r="AN158" s="1">
        <v>0</v>
      </c>
      <c r="AO158" s="1">
        <v>0</v>
      </c>
      <c r="AP158" s="1">
        <v>7904.5399999999991</v>
      </c>
      <c r="AQ158" s="1">
        <v>6037.4319999999998</v>
      </c>
      <c r="AR158" s="1">
        <v>5878.11</v>
      </c>
      <c r="AS158" s="1">
        <v>7222.4110000000001</v>
      </c>
      <c r="AT158" s="1">
        <v>0</v>
      </c>
      <c r="AU158" s="1">
        <v>7904.5399999999991</v>
      </c>
      <c r="AV158" s="1">
        <v>0</v>
      </c>
      <c r="AW158" s="1">
        <v>0</v>
      </c>
      <c r="AX158" s="1">
        <v>0</v>
      </c>
      <c r="AY158" s="1">
        <v>6037.4319999999998</v>
      </c>
      <c r="AZ158" s="1">
        <v>0</v>
      </c>
      <c r="BA158" s="1">
        <v>0</v>
      </c>
      <c r="BB158" s="1">
        <v>0</v>
      </c>
      <c r="BC158" s="1">
        <v>5878.11</v>
      </c>
      <c r="BD158" s="1">
        <v>0</v>
      </c>
      <c r="BE158" s="1">
        <v>0</v>
      </c>
      <c r="BF158" s="1">
        <v>7222.4110000000001</v>
      </c>
      <c r="BG158" s="1">
        <v>0</v>
      </c>
      <c r="BH158" s="1">
        <v>0</v>
      </c>
      <c r="BI158" s="1">
        <v>0</v>
      </c>
      <c r="BJ158" s="1">
        <v>0</v>
      </c>
      <c r="BK158" s="1">
        <v>0</v>
      </c>
      <c r="BL158" s="1">
        <v>0</v>
      </c>
      <c r="BM158" s="1">
        <v>0</v>
      </c>
      <c r="BN158" s="1">
        <v>0</v>
      </c>
      <c r="BO158" s="1">
        <v>0</v>
      </c>
      <c r="BP158" s="1">
        <v>0</v>
      </c>
      <c r="BQ158" s="1">
        <v>0</v>
      </c>
      <c r="BR158" s="1">
        <v>0</v>
      </c>
      <c r="BS158" s="1">
        <v>0</v>
      </c>
      <c r="BT158" s="1">
        <v>0</v>
      </c>
      <c r="BU158" s="1">
        <v>6925.2269999999999</v>
      </c>
      <c r="BV158" s="1">
        <v>6086.2759999999998</v>
      </c>
      <c r="BW158" s="1">
        <v>4144.9719999999998</v>
      </c>
      <c r="BX158" s="1">
        <v>4391.8249999999998</v>
      </c>
      <c r="BY158" s="1">
        <v>6925.2269999999999</v>
      </c>
      <c r="BZ158" s="1">
        <v>6086.2759999999998</v>
      </c>
      <c r="CA158" s="1">
        <v>4144.9719999999998</v>
      </c>
      <c r="CB158" s="1">
        <v>4391.8249999999998</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3902.4639999999999</v>
      </c>
      <c r="CT158" s="1">
        <v>1732.1890000000001</v>
      </c>
      <c r="CU158" s="1">
        <v>892.72199999999998</v>
      </c>
      <c r="CV158" s="1">
        <v>1503.7329999999999</v>
      </c>
      <c r="CW158" s="1">
        <v>3902.4639999999999</v>
      </c>
      <c r="CX158" s="1">
        <v>1732.1890000000001</v>
      </c>
      <c r="CY158" s="1">
        <v>892.72199999999998</v>
      </c>
      <c r="CZ158" s="1">
        <v>1503.7329999999999</v>
      </c>
      <c r="DA158" s="1">
        <v>0</v>
      </c>
      <c r="DB158" s="1">
        <v>0</v>
      </c>
      <c r="DC158" s="1">
        <v>0</v>
      </c>
      <c r="DD158" s="1">
        <v>0</v>
      </c>
      <c r="DE158" s="1">
        <v>0</v>
      </c>
      <c r="DF158" s="1">
        <v>0</v>
      </c>
      <c r="DG158" s="1">
        <v>0</v>
      </c>
      <c r="DH158" s="1">
        <v>0</v>
      </c>
      <c r="DI158" s="1">
        <v>0</v>
      </c>
      <c r="DJ158" s="1">
        <v>0</v>
      </c>
      <c r="DK158" s="1">
        <v>0</v>
      </c>
      <c r="DL158" s="1">
        <v>0</v>
      </c>
      <c r="DM158" s="1">
        <v>2083.1170000000002</v>
      </c>
      <c r="DN158" s="1">
        <v>2321.4569999999999</v>
      </c>
      <c r="DO158" s="1">
        <v>2679.6010000000001</v>
      </c>
      <c r="DP158" s="1">
        <v>1759.402</v>
      </c>
      <c r="DQ158" s="1">
        <v>2083.1170000000002</v>
      </c>
      <c r="DR158" s="1">
        <v>2321.4569999999999</v>
      </c>
      <c r="DS158" s="1">
        <v>2679.6010000000001</v>
      </c>
      <c r="DT158" s="1">
        <v>1759.402</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1265.6969999999999</v>
      </c>
      <c r="EL158" s="1">
        <v>722.20699999999999</v>
      </c>
      <c r="EM158" s="1">
        <v>517.68499999999995</v>
      </c>
      <c r="EN158" s="1">
        <v>476.59800000000001</v>
      </c>
      <c r="EO158" s="1">
        <v>1265.6969999999999</v>
      </c>
      <c r="EP158" s="1">
        <v>722.20699999999999</v>
      </c>
      <c r="EQ158" s="1">
        <v>517.68499999999995</v>
      </c>
      <c r="ER158" s="1">
        <v>476.59800000000001</v>
      </c>
      <c r="ES158" s="1">
        <v>0</v>
      </c>
      <c r="ET158" s="1">
        <v>0</v>
      </c>
      <c r="EU158" s="1">
        <v>0</v>
      </c>
      <c r="EV158" s="1">
        <v>0</v>
      </c>
      <c r="EW158" s="1">
        <v>0</v>
      </c>
      <c r="EX158" s="1">
        <v>0</v>
      </c>
      <c r="EY158" s="1">
        <v>0</v>
      </c>
      <c r="EZ158" s="1">
        <v>0</v>
      </c>
      <c r="FA158" s="1">
        <v>0</v>
      </c>
      <c r="FB158" s="1">
        <v>0</v>
      </c>
      <c r="FC158" s="1">
        <v>0</v>
      </c>
      <c r="FD158" s="1">
        <v>0</v>
      </c>
      <c r="FE158" s="1">
        <v>22.991</v>
      </c>
      <c r="FF158" s="1">
        <v>79.375</v>
      </c>
      <c r="FG158" s="1">
        <v>102.453</v>
      </c>
      <c r="FH158" s="1">
        <v>86.343999999999994</v>
      </c>
      <c r="FI158" s="1">
        <v>11.233000000000001</v>
      </c>
      <c r="FJ158" s="1">
        <v>79.375</v>
      </c>
      <c r="FK158" s="1">
        <v>102.453</v>
      </c>
      <c r="FL158" s="1">
        <v>86.343999999999994</v>
      </c>
      <c r="FM158" s="1">
        <v>11.757999999999999</v>
      </c>
      <c r="FN158" s="1">
        <v>0</v>
      </c>
      <c r="FO158" s="1">
        <v>0</v>
      </c>
      <c r="FP158" s="1">
        <v>0</v>
      </c>
      <c r="FQ158" s="1">
        <v>0</v>
      </c>
      <c r="FR158" s="1">
        <v>0</v>
      </c>
      <c r="FS158" s="1">
        <v>0</v>
      </c>
      <c r="FT158" s="1">
        <v>0</v>
      </c>
      <c r="FU158" s="1">
        <v>0</v>
      </c>
      <c r="FV158" s="1">
        <v>0</v>
      </c>
      <c r="FW158" s="1">
        <v>0</v>
      </c>
      <c r="FX158" s="1">
        <v>0</v>
      </c>
      <c r="FY158" s="1">
        <v>0</v>
      </c>
      <c r="FZ158" s="1">
        <v>0</v>
      </c>
      <c r="GA158" s="1">
        <v>0</v>
      </c>
      <c r="GB158" s="1">
        <v>0</v>
      </c>
      <c r="GC158" s="1">
        <v>96.844000000000008</v>
      </c>
      <c r="GD158" s="1">
        <v>76.078999999999994</v>
      </c>
      <c r="GE158" s="1">
        <v>59.210999999999999</v>
      </c>
      <c r="GF158" s="1">
        <v>37.613</v>
      </c>
      <c r="GG158" s="1">
        <v>96.844000000000008</v>
      </c>
      <c r="GH158" s="1">
        <v>76.078999999999994</v>
      </c>
      <c r="GI158" s="1">
        <v>35.423999999999999</v>
      </c>
      <c r="GJ158" s="1">
        <v>21.363</v>
      </c>
      <c r="GK158" s="1">
        <v>0</v>
      </c>
      <c r="GL158" s="1">
        <v>0</v>
      </c>
      <c r="GM158" s="1">
        <v>23.786999999999999</v>
      </c>
      <c r="GN158" s="1">
        <v>16.25</v>
      </c>
      <c r="GO158" s="1">
        <v>0</v>
      </c>
      <c r="GP158" s="1">
        <v>0</v>
      </c>
      <c r="GQ158" s="1">
        <v>0</v>
      </c>
      <c r="GR158" s="1">
        <v>0</v>
      </c>
      <c r="GS158" s="1">
        <v>0</v>
      </c>
      <c r="GT158" s="1">
        <v>0</v>
      </c>
      <c r="GU158" s="1">
        <v>0</v>
      </c>
      <c r="GV158" s="1">
        <v>0</v>
      </c>
      <c r="GW158" s="1">
        <v>0</v>
      </c>
      <c r="GX158" s="1">
        <v>0</v>
      </c>
      <c r="GY158" s="1">
        <v>0</v>
      </c>
      <c r="GZ158" s="1">
        <v>0</v>
      </c>
      <c r="HA158" s="1">
        <v>0</v>
      </c>
      <c r="HB158" s="1">
        <v>0</v>
      </c>
      <c r="HC158" s="1">
        <v>0</v>
      </c>
      <c r="HD158" s="1">
        <v>0</v>
      </c>
      <c r="HE158" s="1">
        <v>1.542</v>
      </c>
      <c r="HF158" s="1">
        <v>0</v>
      </c>
      <c r="HG158" s="1">
        <v>0</v>
      </c>
      <c r="HH158" s="1">
        <v>0</v>
      </c>
      <c r="HI158" s="1">
        <v>1.542</v>
      </c>
      <c r="HJ158" s="1">
        <v>0</v>
      </c>
      <c r="HK158" s="1">
        <v>0</v>
      </c>
      <c r="HL158" s="1">
        <v>0</v>
      </c>
      <c r="HM158" s="1">
        <v>0</v>
      </c>
      <c r="HN158" s="1">
        <v>0</v>
      </c>
      <c r="HO158" s="1">
        <v>0</v>
      </c>
      <c r="HP158" s="1">
        <v>0</v>
      </c>
      <c r="HQ158" s="1">
        <v>0</v>
      </c>
      <c r="HR158" s="1">
        <v>0</v>
      </c>
      <c r="HS158" s="1">
        <v>0</v>
      </c>
      <c r="HT158" s="1">
        <v>0</v>
      </c>
      <c r="HU158" s="1">
        <v>0</v>
      </c>
      <c r="HV158" s="1">
        <v>0</v>
      </c>
      <c r="HW158" s="1">
        <v>0</v>
      </c>
      <c r="HX158" s="1">
        <v>0</v>
      </c>
      <c r="HY158" s="1">
        <v>0</v>
      </c>
      <c r="HZ158" s="1">
        <v>0</v>
      </c>
      <c r="IA158" s="1">
        <v>0</v>
      </c>
      <c r="IB158" s="1">
        <v>0</v>
      </c>
      <c r="IC158" s="1">
        <v>0</v>
      </c>
      <c r="ID158" s="1">
        <v>0</v>
      </c>
      <c r="IE158" s="1">
        <v>0</v>
      </c>
      <c r="IF158" s="1">
        <v>0</v>
      </c>
      <c r="IG158" s="1">
        <v>0</v>
      </c>
      <c r="IH158" s="1">
        <v>0</v>
      </c>
      <c r="II158" s="1">
        <v>0</v>
      </c>
      <c r="IJ158" s="1">
        <v>0</v>
      </c>
      <c r="IK158" s="1">
        <v>0</v>
      </c>
      <c r="IL158" s="1">
        <v>0</v>
      </c>
      <c r="IM158" s="1">
        <v>0</v>
      </c>
      <c r="IN158" s="1">
        <v>0</v>
      </c>
      <c r="IO158" s="1">
        <v>709.61699999999996</v>
      </c>
      <c r="IP158" s="1">
        <v>572.45100000000002</v>
      </c>
      <c r="IQ158" s="1">
        <v>484.185</v>
      </c>
      <c r="IR158" s="1">
        <v>468.00000000000011</v>
      </c>
      <c r="IS158" s="1">
        <v>709.61699999999996</v>
      </c>
      <c r="IT158" s="1">
        <v>572.45100000000002</v>
      </c>
      <c r="IU158" s="1">
        <v>483.07400000000001</v>
      </c>
      <c r="IV158" s="1">
        <v>468.00000000000011</v>
      </c>
      <c r="IW158" s="1">
        <v>0</v>
      </c>
      <c r="IX158" s="1">
        <v>0</v>
      </c>
      <c r="IY158" s="1">
        <v>1.111</v>
      </c>
      <c r="IZ158" s="1">
        <v>0</v>
      </c>
      <c r="JA158" s="1">
        <v>0</v>
      </c>
      <c r="JB158" s="1">
        <v>0</v>
      </c>
      <c r="JC158" s="1">
        <v>0</v>
      </c>
      <c r="JD158" s="1">
        <v>0</v>
      </c>
      <c r="JE158" s="1">
        <v>0</v>
      </c>
      <c r="JF158" s="1">
        <v>0</v>
      </c>
      <c r="JG158" s="1">
        <v>0</v>
      </c>
      <c r="JH158" s="1">
        <v>0</v>
      </c>
      <c r="JI158" s="1">
        <v>0</v>
      </c>
      <c r="JJ158" s="1">
        <v>0</v>
      </c>
      <c r="JK158" s="1">
        <v>0</v>
      </c>
      <c r="JL158" s="1">
        <v>0</v>
      </c>
      <c r="JM158" s="1">
        <v>0</v>
      </c>
      <c r="JN158" s="1">
        <v>0</v>
      </c>
      <c r="JO158" s="1">
        <v>0</v>
      </c>
      <c r="JP158" s="1">
        <v>0</v>
      </c>
      <c r="JQ158" s="9"/>
      <c r="JR158" s="1">
        <f t="shared" si="38"/>
        <v>4228.8663600000018</v>
      </c>
      <c r="JS158" s="1">
        <f t="shared" si="38"/>
        <v>3574.42767</v>
      </c>
      <c r="JT158" s="1">
        <f t="shared" si="38"/>
        <v>3066.0827399999994</v>
      </c>
      <c r="JU158" s="1">
        <f t="shared" si="36"/>
        <v>2910.9712499999982</v>
      </c>
      <c r="JV158" s="1">
        <f t="shared" si="39"/>
        <v>783.12340000000029</v>
      </c>
      <c r="JW158" s="1">
        <f t="shared" si="39"/>
        <v>661.93105000000003</v>
      </c>
      <c r="JX158" s="1">
        <f t="shared" si="39"/>
        <v>567.79309999999987</v>
      </c>
      <c r="JY158" s="1">
        <f t="shared" si="37"/>
        <v>539.06874999999968</v>
      </c>
    </row>
    <row r="159" spans="1:285" x14ac:dyDescent="0.35">
      <c r="A159" s="2" t="s">
        <v>166</v>
      </c>
      <c r="B159" s="1">
        <v>175937</v>
      </c>
      <c r="C159" s="1">
        <v>176217</v>
      </c>
      <c r="D159" s="1">
        <v>175937</v>
      </c>
      <c r="E159" s="1">
        <v>175724</v>
      </c>
      <c r="F159" s="1">
        <v>55680.394999999997</v>
      </c>
      <c r="G159" s="1">
        <v>57935.284</v>
      </c>
      <c r="H159" s="1">
        <v>55378.454000000012</v>
      </c>
      <c r="I159" s="1">
        <v>52944.283000000003</v>
      </c>
      <c r="J159" s="1">
        <f t="shared" si="40"/>
        <v>37311.464999999997</v>
      </c>
      <c r="K159" s="1">
        <f t="shared" si="41"/>
        <v>39985.923999999999</v>
      </c>
      <c r="L159" s="1">
        <f t="shared" si="42"/>
        <v>37441.034</v>
      </c>
      <c r="M159" s="1">
        <f t="shared" si="43"/>
        <v>35835.053</v>
      </c>
      <c r="N159" s="1">
        <f t="shared" si="44"/>
        <v>18368.93</v>
      </c>
      <c r="O159" s="1">
        <f t="shared" si="45"/>
        <v>17949.36</v>
      </c>
      <c r="P159" s="1">
        <f t="shared" si="46"/>
        <v>17937.420000000013</v>
      </c>
      <c r="Q159" s="1">
        <f t="shared" si="47"/>
        <v>17109.230000000003</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4953.2560000000003</v>
      </c>
      <c r="AQ159" s="1">
        <v>4280.8540000000003</v>
      </c>
      <c r="AR159" s="1">
        <v>5007.7039999999997</v>
      </c>
      <c r="AS159" s="1">
        <v>5817.5630000000001</v>
      </c>
      <c r="AT159" s="1">
        <v>0</v>
      </c>
      <c r="AU159" s="1">
        <v>4953.2560000000003</v>
      </c>
      <c r="AV159" s="1">
        <v>0</v>
      </c>
      <c r="AW159" s="1">
        <v>0</v>
      </c>
      <c r="AX159" s="1">
        <v>0</v>
      </c>
      <c r="AY159" s="1">
        <v>4280.8540000000003</v>
      </c>
      <c r="AZ159" s="1">
        <v>0</v>
      </c>
      <c r="BA159" s="1">
        <v>0</v>
      </c>
      <c r="BB159" s="1">
        <v>0</v>
      </c>
      <c r="BC159" s="1">
        <v>5007.7039999999997</v>
      </c>
      <c r="BD159" s="1">
        <v>0</v>
      </c>
      <c r="BE159" s="1">
        <v>0</v>
      </c>
      <c r="BF159" s="1">
        <v>5817.5630000000001</v>
      </c>
      <c r="BG159" s="1">
        <v>0</v>
      </c>
      <c r="BH159" s="1">
        <v>0</v>
      </c>
      <c r="BI159" s="1">
        <v>0</v>
      </c>
      <c r="BJ159" s="1">
        <v>0</v>
      </c>
      <c r="BK159" s="1">
        <v>0</v>
      </c>
      <c r="BL159" s="1">
        <v>0</v>
      </c>
      <c r="BM159" s="1">
        <v>0</v>
      </c>
      <c r="BN159" s="1">
        <v>0</v>
      </c>
      <c r="BO159" s="1">
        <v>0</v>
      </c>
      <c r="BP159" s="1">
        <v>0</v>
      </c>
      <c r="BQ159" s="1">
        <v>0</v>
      </c>
      <c r="BR159" s="1">
        <v>0</v>
      </c>
      <c r="BS159" s="1">
        <v>0</v>
      </c>
      <c r="BT159" s="1">
        <v>0</v>
      </c>
      <c r="BU159" s="1">
        <v>15129.638000000001</v>
      </c>
      <c r="BV159" s="1">
        <v>18684.169999999998</v>
      </c>
      <c r="BW159" s="1">
        <v>16131.35</v>
      </c>
      <c r="BX159" s="1">
        <v>14146.79</v>
      </c>
      <c r="BY159" s="1">
        <v>15127.198</v>
      </c>
      <c r="BZ159" s="1">
        <v>18683.82</v>
      </c>
      <c r="CA159" s="1">
        <v>16122.34</v>
      </c>
      <c r="CB159" s="1">
        <v>14131.23</v>
      </c>
      <c r="CC159" s="1">
        <v>2.44</v>
      </c>
      <c r="CD159" s="1">
        <v>0.35</v>
      </c>
      <c r="CE159" s="1">
        <v>9.01</v>
      </c>
      <c r="CF159" s="1">
        <v>15.56</v>
      </c>
      <c r="CG159" s="1">
        <v>0</v>
      </c>
      <c r="CH159" s="1">
        <v>0</v>
      </c>
      <c r="CI159" s="1">
        <v>0</v>
      </c>
      <c r="CJ159" s="1">
        <v>0</v>
      </c>
      <c r="CK159" s="1">
        <v>0</v>
      </c>
      <c r="CL159" s="1">
        <v>0</v>
      </c>
      <c r="CM159" s="1">
        <v>0</v>
      </c>
      <c r="CN159" s="1">
        <v>0</v>
      </c>
      <c r="CO159" s="1">
        <v>0</v>
      </c>
      <c r="CP159" s="1">
        <v>0</v>
      </c>
      <c r="CQ159" s="1">
        <v>0</v>
      </c>
      <c r="CR159" s="1">
        <v>0</v>
      </c>
      <c r="CS159" s="1">
        <v>2048.6489999999999</v>
      </c>
      <c r="CT159" s="1">
        <v>2063.23</v>
      </c>
      <c r="CU159" s="1">
        <v>1869.18</v>
      </c>
      <c r="CV159" s="1">
        <v>1815.72</v>
      </c>
      <c r="CW159" s="1">
        <v>2026.4390000000001</v>
      </c>
      <c r="CX159" s="1">
        <v>2060.64</v>
      </c>
      <c r="CY159" s="1">
        <v>1736.51</v>
      </c>
      <c r="CZ159" s="1">
        <v>1632.14</v>
      </c>
      <c r="DA159" s="1">
        <v>0</v>
      </c>
      <c r="DB159" s="1">
        <v>0</v>
      </c>
      <c r="DC159" s="1">
        <v>0</v>
      </c>
      <c r="DD159" s="1">
        <v>0</v>
      </c>
      <c r="DE159" s="1">
        <v>0</v>
      </c>
      <c r="DF159" s="1">
        <v>0</v>
      </c>
      <c r="DG159" s="1">
        <v>0</v>
      </c>
      <c r="DH159" s="1">
        <v>0</v>
      </c>
      <c r="DI159" s="1">
        <v>22.21</v>
      </c>
      <c r="DJ159" s="1">
        <v>2.59</v>
      </c>
      <c r="DK159" s="1">
        <v>132.66999999999999</v>
      </c>
      <c r="DL159" s="1">
        <v>183.58</v>
      </c>
      <c r="DM159" s="1">
        <v>12901.56</v>
      </c>
      <c r="DN159" s="1">
        <v>12941.72</v>
      </c>
      <c r="DO159" s="1">
        <v>12107.68</v>
      </c>
      <c r="DP159" s="1">
        <v>11543.5</v>
      </c>
      <c r="DQ159" s="1">
        <v>12901.56</v>
      </c>
      <c r="DR159" s="1">
        <v>12941.72</v>
      </c>
      <c r="DS159" s="1">
        <v>12107.68</v>
      </c>
      <c r="DT159" s="1">
        <v>11543.5</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702.15200000000004</v>
      </c>
      <c r="EL159" s="1">
        <v>676.06000000000006</v>
      </c>
      <c r="EM159" s="1">
        <v>1099.2</v>
      </c>
      <c r="EN159" s="1">
        <v>593.47</v>
      </c>
      <c r="EO159" s="1">
        <v>702.15200000000004</v>
      </c>
      <c r="EP159" s="1">
        <v>676.06000000000006</v>
      </c>
      <c r="EQ159" s="1">
        <v>1099.2</v>
      </c>
      <c r="ER159" s="1">
        <v>593.47</v>
      </c>
      <c r="ES159" s="1">
        <v>0</v>
      </c>
      <c r="ET159" s="1">
        <v>0</v>
      </c>
      <c r="EU159" s="1">
        <v>0</v>
      </c>
      <c r="EV159" s="1">
        <v>0</v>
      </c>
      <c r="EW159" s="1">
        <v>0</v>
      </c>
      <c r="EX159" s="1">
        <v>0</v>
      </c>
      <c r="EY159" s="1">
        <v>0</v>
      </c>
      <c r="EZ159" s="1">
        <v>0</v>
      </c>
      <c r="FA159" s="1">
        <v>0</v>
      </c>
      <c r="FB159" s="1">
        <v>0</v>
      </c>
      <c r="FC159" s="1">
        <v>0</v>
      </c>
      <c r="FD159" s="1">
        <v>0</v>
      </c>
      <c r="FE159" s="1">
        <v>241.84</v>
      </c>
      <c r="FF159" s="1">
        <v>309.8</v>
      </c>
      <c r="FG159" s="1">
        <v>185.09</v>
      </c>
      <c r="FH159" s="1">
        <v>191.14</v>
      </c>
      <c r="FI159" s="1">
        <v>0</v>
      </c>
      <c r="FJ159" s="1">
        <v>0</v>
      </c>
      <c r="FK159" s="1">
        <v>0</v>
      </c>
      <c r="FL159" s="1">
        <v>0</v>
      </c>
      <c r="FM159" s="1">
        <v>241.84</v>
      </c>
      <c r="FN159" s="1">
        <v>309.8</v>
      </c>
      <c r="FO159" s="1">
        <v>185.09</v>
      </c>
      <c r="FP159" s="1">
        <v>191.14</v>
      </c>
      <c r="FQ159" s="1">
        <v>0</v>
      </c>
      <c r="FR159" s="1">
        <v>0</v>
      </c>
      <c r="FS159" s="1">
        <v>0</v>
      </c>
      <c r="FT159" s="1">
        <v>0</v>
      </c>
      <c r="FU159" s="1">
        <v>0</v>
      </c>
      <c r="FV159" s="1">
        <v>0</v>
      </c>
      <c r="FW159" s="1">
        <v>0</v>
      </c>
      <c r="FX159" s="1">
        <v>0</v>
      </c>
      <c r="FY159" s="1">
        <v>0</v>
      </c>
      <c r="FZ159" s="1">
        <v>0</v>
      </c>
      <c r="GA159" s="1">
        <v>0</v>
      </c>
      <c r="GB159" s="1">
        <v>0</v>
      </c>
      <c r="GC159" s="1">
        <v>67.42</v>
      </c>
      <c r="GD159" s="1">
        <v>57.9</v>
      </c>
      <c r="GE159" s="1">
        <v>48.54</v>
      </c>
      <c r="GF159" s="1">
        <v>55.88</v>
      </c>
      <c r="GG159" s="1">
        <v>67.42</v>
      </c>
      <c r="GH159" s="1">
        <v>57.9</v>
      </c>
      <c r="GI159" s="1">
        <v>48.54</v>
      </c>
      <c r="GJ159" s="1">
        <v>55.88</v>
      </c>
      <c r="GK159" s="1">
        <v>0</v>
      </c>
      <c r="GL159" s="1">
        <v>0</v>
      </c>
      <c r="GM159" s="1">
        <v>0</v>
      </c>
      <c r="GN159" s="1">
        <v>0</v>
      </c>
      <c r="GO159" s="1">
        <v>0</v>
      </c>
      <c r="GP159" s="1">
        <v>0</v>
      </c>
      <c r="GQ159" s="1">
        <v>0</v>
      </c>
      <c r="GR159" s="1">
        <v>0</v>
      </c>
      <c r="GS159" s="1">
        <v>0</v>
      </c>
      <c r="GT159" s="1">
        <v>0</v>
      </c>
      <c r="GU159" s="1">
        <v>0</v>
      </c>
      <c r="GV159" s="1">
        <v>0</v>
      </c>
      <c r="GW159" s="1">
        <v>0</v>
      </c>
      <c r="GX159" s="1">
        <v>0</v>
      </c>
      <c r="GY159" s="1">
        <v>0</v>
      </c>
      <c r="GZ159" s="1">
        <v>0</v>
      </c>
      <c r="HA159" s="1">
        <v>0</v>
      </c>
      <c r="HB159" s="1">
        <v>0</v>
      </c>
      <c r="HC159" s="1">
        <v>0</v>
      </c>
      <c r="HD159" s="1">
        <v>0</v>
      </c>
      <c r="HE159" s="1">
        <v>0</v>
      </c>
      <c r="HF159" s="1">
        <v>0</v>
      </c>
      <c r="HG159" s="1">
        <v>0</v>
      </c>
      <c r="HH159" s="1">
        <v>0</v>
      </c>
      <c r="HI159" s="1">
        <v>0</v>
      </c>
      <c r="HJ159" s="1">
        <v>0</v>
      </c>
      <c r="HK159" s="1">
        <v>0</v>
      </c>
      <c r="HL159" s="1">
        <v>0</v>
      </c>
      <c r="HM159" s="1">
        <v>0</v>
      </c>
      <c r="HN159" s="1">
        <v>0</v>
      </c>
      <c r="HO159" s="1">
        <v>0</v>
      </c>
      <c r="HP159" s="1">
        <v>0</v>
      </c>
      <c r="HQ159" s="1">
        <v>0</v>
      </c>
      <c r="HR159" s="1">
        <v>0</v>
      </c>
      <c r="HS159" s="1">
        <v>0</v>
      </c>
      <c r="HT159" s="1">
        <v>0</v>
      </c>
      <c r="HU159" s="1">
        <v>0</v>
      </c>
      <c r="HV159" s="1">
        <v>0</v>
      </c>
      <c r="HW159" s="1">
        <v>0</v>
      </c>
      <c r="HX159" s="1">
        <v>0</v>
      </c>
      <c r="HY159" s="1">
        <v>0</v>
      </c>
      <c r="HZ159" s="1">
        <v>0</v>
      </c>
      <c r="IA159" s="1">
        <v>0</v>
      </c>
      <c r="IB159" s="1">
        <v>0</v>
      </c>
      <c r="IC159" s="1">
        <v>0</v>
      </c>
      <c r="ID159" s="1">
        <v>0</v>
      </c>
      <c r="IE159" s="1">
        <v>0</v>
      </c>
      <c r="IF159" s="1">
        <v>0</v>
      </c>
      <c r="IG159" s="1">
        <v>0</v>
      </c>
      <c r="IH159" s="1">
        <v>0</v>
      </c>
      <c r="II159" s="1">
        <v>0</v>
      </c>
      <c r="IJ159" s="1">
        <v>0</v>
      </c>
      <c r="IK159" s="1">
        <v>0</v>
      </c>
      <c r="IL159" s="1">
        <v>0</v>
      </c>
      <c r="IM159" s="1">
        <v>0</v>
      </c>
      <c r="IN159" s="1">
        <v>0</v>
      </c>
      <c r="IO159" s="1">
        <v>1266.95</v>
      </c>
      <c r="IP159" s="1">
        <v>972.19</v>
      </c>
      <c r="IQ159" s="1">
        <v>992.29000000000008</v>
      </c>
      <c r="IR159" s="1">
        <v>1670.99</v>
      </c>
      <c r="IS159" s="1">
        <v>1266.95</v>
      </c>
      <c r="IT159" s="1">
        <v>972.19</v>
      </c>
      <c r="IU159" s="1">
        <v>992.29000000000008</v>
      </c>
      <c r="IV159" s="1">
        <v>1670.99</v>
      </c>
      <c r="IW159" s="1">
        <v>0</v>
      </c>
      <c r="IX159" s="1">
        <v>0</v>
      </c>
      <c r="IY159" s="1">
        <v>0</v>
      </c>
      <c r="IZ159" s="1">
        <v>0</v>
      </c>
      <c r="JA159" s="1">
        <v>0</v>
      </c>
      <c r="JB159" s="1">
        <v>0</v>
      </c>
      <c r="JC159" s="1">
        <v>0</v>
      </c>
      <c r="JD159" s="1">
        <v>0</v>
      </c>
      <c r="JE159" s="1">
        <v>0</v>
      </c>
      <c r="JF159" s="1">
        <v>0</v>
      </c>
      <c r="JG159" s="1">
        <v>0</v>
      </c>
      <c r="JH159" s="1">
        <v>0</v>
      </c>
      <c r="JI159" s="1">
        <v>0</v>
      </c>
      <c r="JJ159" s="1">
        <v>0</v>
      </c>
      <c r="JK159" s="1">
        <v>0</v>
      </c>
      <c r="JL159" s="1">
        <v>0</v>
      </c>
      <c r="JM159" s="1">
        <v>0</v>
      </c>
      <c r="JN159" s="1">
        <v>0</v>
      </c>
      <c r="JO159" s="1">
        <v>0</v>
      </c>
      <c r="JP159" s="1">
        <v>0</v>
      </c>
      <c r="JQ159" s="9"/>
      <c r="JR159" s="1">
        <f t="shared" si="38"/>
        <v>4959.6111000000001</v>
      </c>
      <c r="JS159" s="1">
        <f t="shared" si="38"/>
        <v>4846.3272000000006</v>
      </c>
      <c r="JT159" s="1">
        <f t="shared" si="38"/>
        <v>4843.1034000000036</v>
      </c>
      <c r="JU159" s="1">
        <f t="shared" si="36"/>
        <v>4619.4921000000013</v>
      </c>
      <c r="JV159" s="1">
        <f t="shared" si="39"/>
        <v>918.44650000000001</v>
      </c>
      <c r="JW159" s="1">
        <f t="shared" si="39"/>
        <v>897.46800000000007</v>
      </c>
      <c r="JX159" s="1">
        <f t="shared" si="39"/>
        <v>896.87100000000066</v>
      </c>
      <c r="JY159" s="1">
        <f t="shared" si="37"/>
        <v>855.46150000000023</v>
      </c>
    </row>
    <row r="160" spans="1:285" x14ac:dyDescent="0.35">
      <c r="A160" s="2" t="s">
        <v>167</v>
      </c>
      <c r="B160" s="1">
        <v>121831</v>
      </c>
      <c r="C160" s="1">
        <v>123352</v>
      </c>
      <c r="D160" s="1">
        <v>125042</v>
      </c>
      <c r="E160" s="1">
        <v>126372</v>
      </c>
      <c r="F160" s="1">
        <v>34861.084999999999</v>
      </c>
      <c r="G160" s="1">
        <v>37610.180999999997</v>
      </c>
      <c r="H160" s="1">
        <v>35128.737999999998</v>
      </c>
      <c r="I160" s="1">
        <v>33633.46</v>
      </c>
      <c r="J160" s="1">
        <f t="shared" si="40"/>
        <v>21086.834999999999</v>
      </c>
      <c r="K160" s="1">
        <f t="shared" si="41"/>
        <v>23901.681</v>
      </c>
      <c r="L160" s="1">
        <f t="shared" si="42"/>
        <v>21968.14</v>
      </c>
      <c r="M160" s="1">
        <f t="shared" si="43"/>
        <v>19254.611000000001</v>
      </c>
      <c r="N160" s="1">
        <f t="shared" si="44"/>
        <v>13774.25</v>
      </c>
      <c r="O160" s="1">
        <f t="shared" si="45"/>
        <v>13708.499999999996</v>
      </c>
      <c r="P160" s="1">
        <f t="shared" si="46"/>
        <v>13160.597999999998</v>
      </c>
      <c r="Q160" s="1">
        <f t="shared" si="47"/>
        <v>14378.848999999998</v>
      </c>
      <c r="R160" s="1">
        <v>0</v>
      </c>
      <c r="S160" s="1">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1">
        <v>0</v>
      </c>
      <c r="AJ160" s="1">
        <v>0</v>
      </c>
      <c r="AK160" s="1">
        <v>0</v>
      </c>
      <c r="AL160" s="1">
        <v>0</v>
      </c>
      <c r="AM160" s="1">
        <v>0</v>
      </c>
      <c r="AN160" s="1">
        <v>0</v>
      </c>
      <c r="AO160" s="1">
        <v>0</v>
      </c>
      <c r="AP160" s="1">
        <v>4824.8500000000004</v>
      </c>
      <c r="AQ160" s="1">
        <v>5935.52</v>
      </c>
      <c r="AR160" s="1">
        <v>5755.04</v>
      </c>
      <c r="AS160" s="1">
        <v>6752.8599999999988</v>
      </c>
      <c r="AT160" s="1">
        <v>0</v>
      </c>
      <c r="AU160" s="1">
        <v>4824.8500000000004</v>
      </c>
      <c r="AV160" s="1">
        <v>0</v>
      </c>
      <c r="AW160" s="1">
        <v>0</v>
      </c>
      <c r="AX160" s="1">
        <v>0</v>
      </c>
      <c r="AY160" s="1">
        <v>5935.52</v>
      </c>
      <c r="AZ160" s="1">
        <v>0</v>
      </c>
      <c r="BA160" s="1">
        <v>0</v>
      </c>
      <c r="BB160" s="1">
        <v>0</v>
      </c>
      <c r="BC160" s="1">
        <v>5755.04</v>
      </c>
      <c r="BD160" s="1">
        <v>0</v>
      </c>
      <c r="BE160" s="1">
        <v>0</v>
      </c>
      <c r="BF160" s="1">
        <v>6752.8599999999988</v>
      </c>
      <c r="BG160" s="1">
        <v>0</v>
      </c>
      <c r="BH160" s="1">
        <v>0</v>
      </c>
      <c r="BI160" s="1">
        <v>0</v>
      </c>
      <c r="BJ160" s="1">
        <v>0</v>
      </c>
      <c r="BK160" s="1">
        <v>0</v>
      </c>
      <c r="BL160" s="1">
        <v>0</v>
      </c>
      <c r="BM160" s="1">
        <v>0</v>
      </c>
      <c r="BN160" s="1">
        <v>0</v>
      </c>
      <c r="BO160" s="1">
        <v>0</v>
      </c>
      <c r="BP160" s="1">
        <v>0</v>
      </c>
      <c r="BQ160" s="1">
        <v>0</v>
      </c>
      <c r="BR160" s="1">
        <v>0</v>
      </c>
      <c r="BS160" s="1">
        <v>0</v>
      </c>
      <c r="BT160" s="1">
        <v>0</v>
      </c>
      <c r="BU160" s="1">
        <v>8113.86</v>
      </c>
      <c r="BV160" s="1">
        <v>9933.14</v>
      </c>
      <c r="BW160" s="1">
        <v>8948.77</v>
      </c>
      <c r="BX160" s="1">
        <v>7357.06</v>
      </c>
      <c r="BY160" s="1">
        <v>8113.86</v>
      </c>
      <c r="BZ160" s="1">
        <v>9923.0299999999988</v>
      </c>
      <c r="CA160" s="1">
        <v>8942.81</v>
      </c>
      <c r="CB160" s="1">
        <v>7349.24</v>
      </c>
      <c r="CC160" s="1">
        <v>0</v>
      </c>
      <c r="CD160" s="1">
        <v>10.11</v>
      </c>
      <c r="CE160" s="1">
        <v>5.96</v>
      </c>
      <c r="CF160" s="1">
        <v>7.82</v>
      </c>
      <c r="CG160" s="1">
        <v>0</v>
      </c>
      <c r="CH160" s="1">
        <v>0</v>
      </c>
      <c r="CI160" s="1">
        <v>0</v>
      </c>
      <c r="CJ160" s="1">
        <v>0</v>
      </c>
      <c r="CK160" s="1">
        <v>0</v>
      </c>
      <c r="CL160" s="1">
        <v>0</v>
      </c>
      <c r="CM160" s="1">
        <v>0</v>
      </c>
      <c r="CN160" s="1">
        <v>0</v>
      </c>
      <c r="CO160" s="1">
        <v>0</v>
      </c>
      <c r="CP160" s="1">
        <v>0</v>
      </c>
      <c r="CQ160" s="1">
        <v>0</v>
      </c>
      <c r="CR160" s="1">
        <v>0</v>
      </c>
      <c r="CS160" s="1">
        <v>577.29</v>
      </c>
      <c r="CT160" s="1">
        <v>559.61</v>
      </c>
      <c r="CU160" s="1">
        <v>370.85</v>
      </c>
      <c r="CV160" s="1">
        <v>449.23</v>
      </c>
      <c r="CW160" s="1">
        <v>577.29</v>
      </c>
      <c r="CX160" s="1">
        <v>559.61</v>
      </c>
      <c r="CY160" s="1">
        <v>370.85</v>
      </c>
      <c r="CZ160" s="1">
        <v>449.23</v>
      </c>
      <c r="DA160" s="1">
        <v>0</v>
      </c>
      <c r="DB160" s="1">
        <v>0</v>
      </c>
      <c r="DC160" s="1">
        <v>0</v>
      </c>
      <c r="DD160" s="1">
        <v>0</v>
      </c>
      <c r="DE160" s="1">
        <v>0</v>
      </c>
      <c r="DF160" s="1">
        <v>0</v>
      </c>
      <c r="DG160" s="1">
        <v>0</v>
      </c>
      <c r="DH160" s="1">
        <v>0</v>
      </c>
      <c r="DI160" s="1">
        <v>0</v>
      </c>
      <c r="DJ160" s="1">
        <v>0</v>
      </c>
      <c r="DK160" s="1">
        <v>0</v>
      </c>
      <c r="DL160" s="1">
        <v>0</v>
      </c>
      <c r="DM160" s="1">
        <v>6105.21</v>
      </c>
      <c r="DN160" s="1">
        <v>6424.98</v>
      </c>
      <c r="DO160" s="1">
        <v>5371.34</v>
      </c>
      <c r="DP160" s="1">
        <v>4291.7800000000007</v>
      </c>
      <c r="DQ160" s="1">
        <v>6105.21</v>
      </c>
      <c r="DR160" s="1">
        <v>6424.98</v>
      </c>
      <c r="DS160" s="1">
        <v>5371.34</v>
      </c>
      <c r="DT160" s="1">
        <v>4291.7800000000007</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381.77</v>
      </c>
      <c r="EL160" s="1">
        <v>411.37</v>
      </c>
      <c r="EM160" s="1">
        <v>641.61</v>
      </c>
      <c r="EN160" s="1">
        <v>379.3</v>
      </c>
      <c r="EO160" s="1">
        <v>381.77</v>
      </c>
      <c r="EP160" s="1">
        <v>411.37</v>
      </c>
      <c r="EQ160" s="1">
        <v>641.61</v>
      </c>
      <c r="ER160" s="1">
        <v>379.3</v>
      </c>
      <c r="ES160" s="1">
        <v>0</v>
      </c>
      <c r="ET160" s="1">
        <v>0</v>
      </c>
      <c r="EU160" s="1">
        <v>0</v>
      </c>
      <c r="EV160" s="1">
        <v>0</v>
      </c>
      <c r="EW160" s="1">
        <v>0</v>
      </c>
      <c r="EX160" s="1">
        <v>0</v>
      </c>
      <c r="EY160" s="1">
        <v>0</v>
      </c>
      <c r="EZ160" s="1">
        <v>0</v>
      </c>
      <c r="FA160" s="1">
        <v>0</v>
      </c>
      <c r="FB160" s="1">
        <v>0</v>
      </c>
      <c r="FC160" s="1">
        <v>0</v>
      </c>
      <c r="FD160" s="1">
        <v>0</v>
      </c>
      <c r="FE160" s="1">
        <v>20.405000000000001</v>
      </c>
      <c r="FF160" s="1">
        <v>14.430999999999999</v>
      </c>
      <c r="FG160" s="1">
        <v>15.87</v>
      </c>
      <c r="FH160" s="1">
        <v>9.3810000000000002</v>
      </c>
      <c r="FI160" s="1">
        <v>20.405000000000001</v>
      </c>
      <c r="FJ160" s="1">
        <v>0</v>
      </c>
      <c r="FK160" s="1">
        <v>4.5199999999999996</v>
      </c>
      <c r="FL160" s="1">
        <v>0</v>
      </c>
      <c r="FM160" s="1">
        <v>0</v>
      </c>
      <c r="FN160" s="1">
        <v>14.430999999999999</v>
      </c>
      <c r="FO160" s="1">
        <v>11.35</v>
      </c>
      <c r="FP160" s="1">
        <v>9.3810000000000002</v>
      </c>
      <c r="FQ160" s="1">
        <v>0</v>
      </c>
      <c r="FR160" s="1">
        <v>0</v>
      </c>
      <c r="FS160" s="1">
        <v>0</v>
      </c>
      <c r="FT160" s="1">
        <v>0</v>
      </c>
      <c r="FU160" s="1">
        <v>0</v>
      </c>
      <c r="FV160" s="1">
        <v>0</v>
      </c>
      <c r="FW160" s="1">
        <v>0</v>
      </c>
      <c r="FX160" s="1">
        <v>0</v>
      </c>
      <c r="FY160" s="1">
        <v>0</v>
      </c>
      <c r="FZ160" s="1">
        <v>0</v>
      </c>
      <c r="GA160" s="1">
        <v>0</v>
      </c>
      <c r="GB160" s="1">
        <v>0</v>
      </c>
      <c r="GC160" s="1">
        <v>0</v>
      </c>
      <c r="GD160" s="1">
        <v>0</v>
      </c>
      <c r="GE160" s="1">
        <v>0</v>
      </c>
      <c r="GF160" s="1">
        <v>0</v>
      </c>
      <c r="GG160" s="1">
        <v>0</v>
      </c>
      <c r="GH160" s="1">
        <v>0</v>
      </c>
      <c r="GI160" s="1">
        <v>0</v>
      </c>
      <c r="GJ160" s="1">
        <v>0</v>
      </c>
      <c r="GK160" s="1">
        <v>0</v>
      </c>
      <c r="GL160" s="1">
        <v>0</v>
      </c>
      <c r="GM160" s="1">
        <v>0</v>
      </c>
      <c r="GN160" s="1">
        <v>0</v>
      </c>
      <c r="GO160" s="1">
        <v>0</v>
      </c>
      <c r="GP160" s="1">
        <v>0</v>
      </c>
      <c r="GQ160" s="1">
        <v>0</v>
      </c>
      <c r="GR160" s="1">
        <v>0</v>
      </c>
      <c r="GS160" s="1">
        <v>0</v>
      </c>
      <c r="GT160" s="1">
        <v>0</v>
      </c>
      <c r="GU160" s="1">
        <v>0</v>
      </c>
      <c r="GV160" s="1">
        <v>0</v>
      </c>
      <c r="GW160" s="1">
        <v>0</v>
      </c>
      <c r="GX160" s="1">
        <v>0</v>
      </c>
      <c r="GY160" s="1">
        <v>0</v>
      </c>
      <c r="GZ160" s="1">
        <v>0</v>
      </c>
      <c r="HA160" s="1">
        <v>0</v>
      </c>
      <c r="HB160" s="1">
        <v>0</v>
      </c>
      <c r="HC160" s="1">
        <v>0</v>
      </c>
      <c r="HD160" s="1">
        <v>0</v>
      </c>
      <c r="HE160" s="1">
        <v>0</v>
      </c>
      <c r="HF160" s="1">
        <v>0</v>
      </c>
      <c r="HG160" s="1">
        <v>0</v>
      </c>
      <c r="HH160" s="1">
        <v>0</v>
      </c>
      <c r="HI160" s="1">
        <v>0</v>
      </c>
      <c r="HJ160" s="1">
        <v>0</v>
      </c>
      <c r="HK160" s="1">
        <v>0</v>
      </c>
      <c r="HL160" s="1">
        <v>0</v>
      </c>
      <c r="HM160" s="1">
        <v>0</v>
      </c>
      <c r="HN160" s="1">
        <v>0</v>
      </c>
      <c r="HO160" s="1">
        <v>0</v>
      </c>
      <c r="HP160" s="1">
        <v>0</v>
      </c>
      <c r="HQ160" s="1">
        <v>0</v>
      </c>
      <c r="HR160" s="1">
        <v>0</v>
      </c>
      <c r="HS160" s="1">
        <v>0</v>
      </c>
      <c r="HT160" s="1">
        <v>0</v>
      </c>
      <c r="HU160" s="1">
        <v>0</v>
      </c>
      <c r="HV160" s="1">
        <v>0</v>
      </c>
      <c r="HW160" s="1">
        <v>0</v>
      </c>
      <c r="HX160" s="1">
        <v>0</v>
      </c>
      <c r="HY160" s="1">
        <v>0</v>
      </c>
      <c r="HZ160" s="1">
        <v>0</v>
      </c>
      <c r="IA160" s="1">
        <v>0</v>
      </c>
      <c r="IB160" s="1">
        <v>0</v>
      </c>
      <c r="IC160" s="1">
        <v>0</v>
      </c>
      <c r="ID160" s="1">
        <v>0</v>
      </c>
      <c r="IE160" s="1">
        <v>0</v>
      </c>
      <c r="IF160" s="1">
        <v>0</v>
      </c>
      <c r="IG160" s="1">
        <v>0</v>
      </c>
      <c r="IH160" s="1">
        <v>0</v>
      </c>
      <c r="II160" s="1">
        <v>0</v>
      </c>
      <c r="IJ160" s="1">
        <v>0</v>
      </c>
      <c r="IK160" s="1">
        <v>0</v>
      </c>
      <c r="IL160" s="1">
        <v>0</v>
      </c>
      <c r="IM160" s="1">
        <v>0</v>
      </c>
      <c r="IN160" s="1">
        <v>0</v>
      </c>
      <c r="IO160" s="1">
        <v>1063.45</v>
      </c>
      <c r="IP160" s="1">
        <v>622.63</v>
      </c>
      <c r="IQ160" s="1">
        <v>864.66</v>
      </c>
      <c r="IR160" s="1">
        <v>15</v>
      </c>
      <c r="IS160" s="1">
        <v>1063.45</v>
      </c>
      <c r="IT160" s="1">
        <v>622.63</v>
      </c>
      <c r="IU160" s="1">
        <v>622.91</v>
      </c>
      <c r="IV160" s="1">
        <v>15</v>
      </c>
      <c r="IW160" s="1">
        <v>0</v>
      </c>
      <c r="IX160" s="1">
        <v>0</v>
      </c>
      <c r="IY160" s="1">
        <v>241.75</v>
      </c>
      <c r="IZ160" s="1">
        <v>0</v>
      </c>
      <c r="JA160" s="1">
        <v>0</v>
      </c>
      <c r="JB160" s="1">
        <v>0</v>
      </c>
      <c r="JC160" s="1">
        <v>0</v>
      </c>
      <c r="JD160" s="1">
        <v>0</v>
      </c>
      <c r="JE160" s="1">
        <v>0</v>
      </c>
      <c r="JF160" s="1">
        <v>0</v>
      </c>
      <c r="JG160" s="1">
        <v>0</v>
      </c>
      <c r="JH160" s="1">
        <v>0</v>
      </c>
      <c r="JI160" s="1">
        <v>0</v>
      </c>
      <c r="JJ160" s="1">
        <v>0</v>
      </c>
      <c r="JK160" s="1">
        <v>0</v>
      </c>
      <c r="JL160" s="1">
        <v>0</v>
      </c>
      <c r="JM160" s="1">
        <v>0</v>
      </c>
      <c r="JN160" s="1">
        <v>0</v>
      </c>
      <c r="JO160" s="1">
        <v>0</v>
      </c>
      <c r="JP160" s="1">
        <v>0</v>
      </c>
      <c r="JQ160" s="9"/>
      <c r="JR160" s="1">
        <f t="shared" si="38"/>
        <v>3719.0475000000001</v>
      </c>
      <c r="JS160" s="1">
        <f t="shared" si="38"/>
        <v>3701.2949999999992</v>
      </c>
      <c r="JT160" s="1">
        <f t="shared" si="38"/>
        <v>3553.3614599999996</v>
      </c>
      <c r="JU160" s="1">
        <f t="shared" si="36"/>
        <v>3882.2892299999999</v>
      </c>
      <c r="JV160" s="1">
        <f t="shared" si="39"/>
        <v>688.71250000000009</v>
      </c>
      <c r="JW160" s="1">
        <f t="shared" si="39"/>
        <v>685.42499999999984</v>
      </c>
      <c r="JX160" s="1">
        <f t="shared" si="39"/>
        <v>658.0299</v>
      </c>
      <c r="JY160" s="1">
        <f t="shared" si="37"/>
        <v>718.94245000000001</v>
      </c>
    </row>
    <row r="161" spans="1:285" x14ac:dyDescent="0.35">
      <c r="A161" s="2" t="s">
        <v>168</v>
      </c>
      <c r="B161" s="1">
        <v>298426</v>
      </c>
      <c r="C161" s="1">
        <v>298545</v>
      </c>
      <c r="D161" s="1">
        <v>304886</v>
      </c>
      <c r="E161" s="1">
        <v>313522</v>
      </c>
      <c r="F161" s="1">
        <v>372059.99</v>
      </c>
      <c r="G161" s="1">
        <v>395190.24</v>
      </c>
      <c r="H161" s="1">
        <v>325884.11</v>
      </c>
      <c r="I161" s="1">
        <v>340255.19</v>
      </c>
      <c r="J161" s="1">
        <f t="shared" si="40"/>
        <v>32178.315999999999</v>
      </c>
      <c r="K161" s="1">
        <f t="shared" si="41"/>
        <v>31040.69</v>
      </c>
      <c r="L161" s="1">
        <f t="shared" si="42"/>
        <v>27550.02</v>
      </c>
      <c r="M161" s="1">
        <f t="shared" si="43"/>
        <v>27659.670000000002</v>
      </c>
      <c r="N161" s="1">
        <f t="shared" si="44"/>
        <v>339881.674</v>
      </c>
      <c r="O161" s="1">
        <f t="shared" si="45"/>
        <v>364149.55</v>
      </c>
      <c r="P161" s="1">
        <f t="shared" si="46"/>
        <v>298334.08999999997</v>
      </c>
      <c r="Q161" s="1">
        <f t="shared" si="47"/>
        <v>312595.52</v>
      </c>
      <c r="R161" s="1">
        <v>0</v>
      </c>
      <c r="S161" s="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1">
        <v>0</v>
      </c>
      <c r="AJ161" s="1">
        <v>0</v>
      </c>
      <c r="AK161" s="1">
        <v>0</v>
      </c>
      <c r="AL161" s="1">
        <v>0</v>
      </c>
      <c r="AM161" s="1">
        <v>0</v>
      </c>
      <c r="AN161" s="1">
        <v>0</v>
      </c>
      <c r="AO161" s="1">
        <v>0</v>
      </c>
      <c r="AP161" s="1">
        <v>8231.7999999999993</v>
      </c>
      <c r="AQ161" s="1">
        <v>8715.42</v>
      </c>
      <c r="AR161" s="1">
        <v>8677.380000000001</v>
      </c>
      <c r="AS161" s="1">
        <v>9922.24</v>
      </c>
      <c r="AT161" s="1">
        <v>0</v>
      </c>
      <c r="AU161" s="1">
        <v>8231.7999999999993</v>
      </c>
      <c r="AV161" s="1">
        <v>0</v>
      </c>
      <c r="AW161" s="1">
        <v>0</v>
      </c>
      <c r="AX161" s="1">
        <v>0</v>
      </c>
      <c r="AY161" s="1">
        <v>8715.42</v>
      </c>
      <c r="AZ161" s="1">
        <v>0</v>
      </c>
      <c r="BA161" s="1">
        <v>0</v>
      </c>
      <c r="BB161" s="1">
        <v>0</v>
      </c>
      <c r="BC161" s="1">
        <v>8677.380000000001</v>
      </c>
      <c r="BD161" s="1">
        <v>0</v>
      </c>
      <c r="BE161" s="1">
        <v>0</v>
      </c>
      <c r="BF161" s="1">
        <v>9922.24</v>
      </c>
      <c r="BG161" s="1">
        <v>0</v>
      </c>
      <c r="BH161" s="1">
        <v>0</v>
      </c>
      <c r="BI161" s="1">
        <v>0</v>
      </c>
      <c r="BJ161" s="1">
        <v>0</v>
      </c>
      <c r="BK161" s="1">
        <v>0</v>
      </c>
      <c r="BL161" s="1">
        <v>0</v>
      </c>
      <c r="BM161" s="1">
        <v>0</v>
      </c>
      <c r="BN161" s="1">
        <v>0</v>
      </c>
      <c r="BO161" s="1">
        <v>0</v>
      </c>
      <c r="BP161" s="1">
        <v>0</v>
      </c>
      <c r="BQ161" s="1">
        <v>0</v>
      </c>
      <c r="BR161" s="1">
        <v>0</v>
      </c>
      <c r="BS161" s="1">
        <v>0</v>
      </c>
      <c r="BT161" s="1">
        <v>0</v>
      </c>
      <c r="BU161" s="1">
        <v>4780.6670000000004</v>
      </c>
      <c r="BV161" s="1">
        <v>4069.69</v>
      </c>
      <c r="BW161" s="1">
        <v>3507.27</v>
      </c>
      <c r="BX161" s="1">
        <v>3388.02</v>
      </c>
      <c r="BY161" s="1">
        <v>4780.6670000000004</v>
      </c>
      <c r="BZ161" s="1">
        <v>4069.69</v>
      </c>
      <c r="CA161" s="1">
        <v>3507.27</v>
      </c>
      <c r="CB161" s="1">
        <v>3388.02</v>
      </c>
      <c r="CC161" s="1">
        <v>3.35</v>
      </c>
      <c r="CD161" s="1">
        <v>3.88</v>
      </c>
      <c r="CE161" s="1">
        <v>3.51</v>
      </c>
      <c r="CF161" s="1">
        <v>3.93</v>
      </c>
      <c r="CG161" s="1">
        <v>0</v>
      </c>
      <c r="CH161" s="1">
        <v>0</v>
      </c>
      <c r="CI161" s="1">
        <v>0</v>
      </c>
      <c r="CJ161" s="1">
        <v>0</v>
      </c>
      <c r="CK161" s="1">
        <v>0</v>
      </c>
      <c r="CL161" s="1">
        <v>0</v>
      </c>
      <c r="CM161" s="1">
        <v>0</v>
      </c>
      <c r="CN161" s="1">
        <v>0</v>
      </c>
      <c r="CO161" s="1">
        <v>0</v>
      </c>
      <c r="CP161" s="1">
        <v>0</v>
      </c>
      <c r="CQ161" s="1">
        <v>0</v>
      </c>
      <c r="CR161" s="1">
        <v>0</v>
      </c>
      <c r="CS161" s="1">
        <v>2076.049</v>
      </c>
      <c r="CT161" s="1">
        <v>1882.63</v>
      </c>
      <c r="CU161" s="1">
        <v>2251.62</v>
      </c>
      <c r="CV161" s="1">
        <v>2300.2600000000002</v>
      </c>
      <c r="CW161" s="1">
        <v>2076.049</v>
      </c>
      <c r="CX161" s="1">
        <v>1882.63</v>
      </c>
      <c r="CY161" s="1">
        <v>2251.62</v>
      </c>
      <c r="CZ161" s="1">
        <v>2300.2600000000002</v>
      </c>
      <c r="DA161" s="1">
        <v>0</v>
      </c>
      <c r="DB161" s="1">
        <v>0</v>
      </c>
      <c r="DC161" s="1">
        <v>0</v>
      </c>
      <c r="DD161" s="1">
        <v>0</v>
      </c>
      <c r="DE161" s="1">
        <v>0</v>
      </c>
      <c r="DF161" s="1">
        <v>0</v>
      </c>
      <c r="DG161" s="1">
        <v>0</v>
      </c>
      <c r="DH161" s="1">
        <v>0</v>
      </c>
      <c r="DI161" s="1">
        <v>0</v>
      </c>
      <c r="DJ161" s="1">
        <v>0</v>
      </c>
      <c r="DK161" s="1">
        <v>0</v>
      </c>
      <c r="DL161" s="1">
        <v>0</v>
      </c>
      <c r="DM161" s="1">
        <v>5702.4</v>
      </c>
      <c r="DN161" s="1">
        <v>5530.67</v>
      </c>
      <c r="DO161" s="1">
        <v>5923.01</v>
      </c>
      <c r="DP161" s="1">
        <v>6062.13</v>
      </c>
      <c r="DQ161" s="1">
        <v>3910.87</v>
      </c>
      <c r="DR161" s="1">
        <v>4596.54</v>
      </c>
      <c r="DS161" s="1">
        <v>3737.59</v>
      </c>
      <c r="DT161" s="1">
        <v>3445.49</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2721.04</v>
      </c>
      <c r="EL161" s="1">
        <v>3269.36</v>
      </c>
      <c r="EM161" s="1">
        <v>2385.85</v>
      </c>
      <c r="EN161" s="1">
        <v>1694.81</v>
      </c>
      <c r="EO161" s="1">
        <v>2721.04</v>
      </c>
      <c r="EP161" s="1">
        <v>3268.36</v>
      </c>
      <c r="EQ161" s="1">
        <v>2384.37</v>
      </c>
      <c r="ER161" s="1">
        <v>1686.26</v>
      </c>
      <c r="ES161" s="1">
        <v>0</v>
      </c>
      <c r="ET161" s="1">
        <v>1</v>
      </c>
      <c r="EU161" s="1">
        <v>1.48</v>
      </c>
      <c r="EV161" s="1">
        <v>8.5500000000000007</v>
      </c>
      <c r="EW161" s="1">
        <v>0</v>
      </c>
      <c r="EX161" s="1">
        <v>0</v>
      </c>
      <c r="EY161" s="1">
        <v>0</v>
      </c>
      <c r="EZ161" s="1">
        <v>0</v>
      </c>
      <c r="FA161" s="1">
        <v>0</v>
      </c>
      <c r="FB161" s="1">
        <v>0</v>
      </c>
      <c r="FC161" s="1">
        <v>0</v>
      </c>
      <c r="FD161" s="1">
        <v>0</v>
      </c>
      <c r="FE161" s="1">
        <v>604.92000000000007</v>
      </c>
      <c r="FF161" s="1">
        <v>510.42</v>
      </c>
      <c r="FG161" s="1">
        <v>407.97</v>
      </c>
      <c r="FH161" s="1">
        <v>359.77</v>
      </c>
      <c r="FI161" s="1">
        <v>52.844999999999999</v>
      </c>
      <c r="FJ161" s="1">
        <v>8.44</v>
      </c>
      <c r="FK161" s="1">
        <v>9.379999999999999</v>
      </c>
      <c r="FL161" s="1">
        <v>9.7200000000000006</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v>0</v>
      </c>
      <c r="GC161" s="1">
        <v>2943.83</v>
      </c>
      <c r="GD161" s="1">
        <v>3159.62</v>
      </c>
      <c r="GE161" s="1">
        <v>3003.75</v>
      </c>
      <c r="GF161" s="1">
        <v>2862.68</v>
      </c>
      <c r="GG161" s="1">
        <v>14.076000000000001</v>
      </c>
      <c r="GH161" s="1">
        <v>2.544</v>
      </c>
      <c r="GI161" s="1">
        <v>0.55800000000000005</v>
      </c>
      <c r="GJ161" s="1">
        <v>0</v>
      </c>
      <c r="GK161" s="1">
        <v>0</v>
      </c>
      <c r="GL161" s="1">
        <v>0</v>
      </c>
      <c r="GM161" s="1">
        <v>0</v>
      </c>
      <c r="GN161" s="1">
        <v>0</v>
      </c>
      <c r="GO161" s="1">
        <v>0</v>
      </c>
      <c r="GP161" s="1">
        <v>0</v>
      </c>
      <c r="GQ161" s="1">
        <v>0</v>
      </c>
      <c r="GR161" s="1">
        <v>0</v>
      </c>
      <c r="GS161" s="1">
        <v>0</v>
      </c>
      <c r="GT161" s="1">
        <v>0</v>
      </c>
      <c r="GU161" s="1">
        <v>0</v>
      </c>
      <c r="GV161" s="1">
        <v>0</v>
      </c>
      <c r="GW161" s="1">
        <v>0</v>
      </c>
      <c r="GX161" s="1">
        <v>0</v>
      </c>
      <c r="GY161" s="1">
        <v>0</v>
      </c>
      <c r="GZ161" s="1">
        <v>0</v>
      </c>
      <c r="HA161" s="1">
        <v>0</v>
      </c>
      <c r="HB161" s="1">
        <v>0</v>
      </c>
      <c r="HC161" s="1">
        <v>0</v>
      </c>
      <c r="HD161" s="1">
        <v>0</v>
      </c>
      <c r="HE161" s="1">
        <v>2976.77</v>
      </c>
      <c r="HF161" s="1">
        <v>1435.76</v>
      </c>
      <c r="HG161" s="1">
        <v>130.77000000000001</v>
      </c>
      <c r="HH161" s="1">
        <v>3.78</v>
      </c>
      <c r="HI161" s="1">
        <v>2976.77</v>
      </c>
      <c r="HJ161" s="1">
        <v>790.33999999999992</v>
      </c>
      <c r="HK161" s="1">
        <v>0</v>
      </c>
      <c r="HL161" s="1">
        <v>0</v>
      </c>
      <c r="HM161" s="1">
        <v>0</v>
      </c>
      <c r="HN161" s="1">
        <v>0</v>
      </c>
      <c r="HO161" s="1">
        <v>0</v>
      </c>
      <c r="HP161" s="1">
        <v>0</v>
      </c>
      <c r="HQ161" s="1">
        <v>0</v>
      </c>
      <c r="HR161" s="1">
        <v>0</v>
      </c>
      <c r="HS161" s="1">
        <v>130.77000000000001</v>
      </c>
      <c r="HT161" s="1">
        <v>3.78</v>
      </c>
      <c r="HU161" s="1">
        <v>0</v>
      </c>
      <c r="HV161" s="1">
        <v>0</v>
      </c>
      <c r="HW161" s="1">
        <v>0</v>
      </c>
      <c r="HX161" s="1">
        <v>0</v>
      </c>
      <c r="HY161" s="1">
        <v>0</v>
      </c>
      <c r="HZ161" s="1">
        <v>0</v>
      </c>
      <c r="IA161" s="1">
        <v>0</v>
      </c>
      <c r="IB161" s="1">
        <v>0</v>
      </c>
      <c r="IC161" s="1">
        <v>0</v>
      </c>
      <c r="ID161" s="1">
        <v>645.41999999999996</v>
      </c>
      <c r="IE161" s="1">
        <v>0</v>
      </c>
      <c r="IF161" s="1">
        <v>0</v>
      </c>
      <c r="IG161" s="1">
        <v>0</v>
      </c>
      <c r="IH161" s="1">
        <v>0</v>
      </c>
      <c r="II161" s="1">
        <v>0</v>
      </c>
      <c r="IJ161" s="1">
        <v>0</v>
      </c>
      <c r="IK161" s="1">
        <v>0</v>
      </c>
      <c r="IL161" s="1">
        <v>0</v>
      </c>
      <c r="IM161" s="1">
        <v>0</v>
      </c>
      <c r="IN161" s="1">
        <v>0</v>
      </c>
      <c r="IO161" s="1">
        <v>2140.84</v>
      </c>
      <c r="IP161" s="1">
        <v>2467.12</v>
      </c>
      <c r="IQ161" s="1">
        <v>1262.4000000000001</v>
      </c>
      <c r="IR161" s="1">
        <v>1065.98</v>
      </c>
      <c r="IS161" s="1">
        <v>2140.84</v>
      </c>
      <c r="IT161" s="1">
        <v>2467.12</v>
      </c>
      <c r="IU161" s="1">
        <v>1262.4000000000001</v>
      </c>
      <c r="IV161" s="1">
        <v>1065.98</v>
      </c>
      <c r="IW161" s="1">
        <v>0</v>
      </c>
      <c r="IX161" s="1">
        <v>0</v>
      </c>
      <c r="IY161" s="1">
        <v>0</v>
      </c>
      <c r="IZ161" s="1">
        <v>0</v>
      </c>
      <c r="JA161" s="1">
        <v>0</v>
      </c>
      <c r="JB161" s="1">
        <v>0</v>
      </c>
      <c r="JC161" s="1">
        <v>0</v>
      </c>
      <c r="JD161" s="1">
        <v>0</v>
      </c>
      <c r="JE161" s="1">
        <v>0</v>
      </c>
      <c r="JF161" s="1">
        <v>0</v>
      </c>
      <c r="JG161" s="1">
        <v>0</v>
      </c>
      <c r="JH161" s="1">
        <v>0</v>
      </c>
      <c r="JI161" s="1">
        <v>0</v>
      </c>
      <c r="JJ161" s="1">
        <v>0</v>
      </c>
      <c r="JK161" s="1">
        <v>0</v>
      </c>
      <c r="JL161" s="1">
        <v>0</v>
      </c>
      <c r="JM161" s="1">
        <v>0</v>
      </c>
      <c r="JN161" s="1">
        <v>0</v>
      </c>
      <c r="JO161" s="1">
        <v>0</v>
      </c>
      <c r="JP161" s="1">
        <v>0</v>
      </c>
      <c r="JQ161" s="9"/>
      <c r="JR161" s="1">
        <f t="shared" si="38"/>
        <v>91768.051980000004</v>
      </c>
      <c r="JS161" s="1">
        <f t="shared" si="38"/>
        <v>98320.378500000006</v>
      </c>
      <c r="JT161" s="1">
        <f t="shared" si="38"/>
        <v>80550.204299999998</v>
      </c>
      <c r="JU161" s="1">
        <f t="shared" si="36"/>
        <v>84400.790400000013</v>
      </c>
      <c r="JV161" s="1">
        <f t="shared" si="39"/>
        <v>16994.083699999999</v>
      </c>
      <c r="JW161" s="1">
        <f t="shared" si="39"/>
        <v>18207.477500000001</v>
      </c>
      <c r="JX161" s="1">
        <f t="shared" si="39"/>
        <v>14916.7045</v>
      </c>
      <c r="JY161" s="1">
        <f t="shared" si="37"/>
        <v>15629.776000000002</v>
      </c>
    </row>
    <row r="162" spans="1:285" x14ac:dyDescent="0.35">
      <c r="A162" s="2" t="s">
        <v>169</v>
      </c>
      <c r="B162" s="1">
        <v>124567</v>
      </c>
      <c r="C162" s="1">
        <v>123039</v>
      </c>
      <c r="D162" s="1">
        <v>125428</v>
      </c>
      <c r="E162" s="1">
        <v>126282</v>
      </c>
      <c r="F162" s="1">
        <v>30030.719000000001</v>
      </c>
      <c r="G162" s="1">
        <v>32945.474000000002</v>
      </c>
      <c r="H162" s="1">
        <v>31100.768</v>
      </c>
      <c r="I162" s="1">
        <v>30870.560000000001</v>
      </c>
      <c r="J162" s="1">
        <f t="shared" si="40"/>
        <v>26217.657999999999</v>
      </c>
      <c r="K162" s="1">
        <f t="shared" si="41"/>
        <v>29029.804000000007</v>
      </c>
      <c r="L162" s="1">
        <f t="shared" si="42"/>
        <v>26167.917999999998</v>
      </c>
      <c r="M162" s="1">
        <f t="shared" si="43"/>
        <v>27076.379999999997</v>
      </c>
      <c r="N162" s="1">
        <f t="shared" si="44"/>
        <v>3813.0610000000015</v>
      </c>
      <c r="O162" s="1">
        <f t="shared" si="45"/>
        <v>3915.6699999999946</v>
      </c>
      <c r="P162" s="1">
        <f t="shared" si="46"/>
        <v>4932.8500000000022</v>
      </c>
      <c r="Q162" s="1">
        <f t="shared" si="47"/>
        <v>3794.1800000000039</v>
      </c>
      <c r="R162" s="1">
        <v>1182.8</v>
      </c>
      <c r="S162" s="1">
        <v>2570.94</v>
      </c>
      <c r="T162" s="1">
        <v>2785.04</v>
      </c>
      <c r="U162" s="1">
        <v>2724.74</v>
      </c>
      <c r="V162" s="1">
        <v>0</v>
      </c>
      <c r="W162" s="1">
        <v>0</v>
      </c>
      <c r="X162" s="1">
        <v>1182.8</v>
      </c>
      <c r="Y162" s="1">
        <v>0</v>
      </c>
      <c r="Z162" s="1">
        <v>0</v>
      </c>
      <c r="AA162" s="1">
        <v>2570.94</v>
      </c>
      <c r="AB162" s="1">
        <v>0</v>
      </c>
      <c r="AC162" s="1">
        <v>0</v>
      </c>
      <c r="AD162" s="1">
        <v>2785.04</v>
      </c>
      <c r="AE162" s="1">
        <v>0</v>
      </c>
      <c r="AF162" s="1">
        <v>0</v>
      </c>
      <c r="AG162" s="1">
        <v>2724.74</v>
      </c>
      <c r="AH162" s="1">
        <v>0</v>
      </c>
      <c r="AI162" s="1">
        <v>0</v>
      </c>
      <c r="AJ162" s="1">
        <v>0</v>
      </c>
      <c r="AK162" s="1">
        <v>0</v>
      </c>
      <c r="AL162" s="1">
        <v>0</v>
      </c>
      <c r="AM162" s="1">
        <v>0</v>
      </c>
      <c r="AN162" s="1">
        <v>0</v>
      </c>
      <c r="AO162" s="1">
        <v>0</v>
      </c>
      <c r="AP162" s="1">
        <v>7932.6900000000005</v>
      </c>
      <c r="AQ162" s="1">
        <v>7411.27</v>
      </c>
      <c r="AR162" s="1">
        <v>6741.58</v>
      </c>
      <c r="AS162" s="1">
        <v>7032.9</v>
      </c>
      <c r="AT162" s="1">
        <v>0</v>
      </c>
      <c r="AU162" s="1">
        <v>7932.6900000000005</v>
      </c>
      <c r="AV162" s="1">
        <v>0</v>
      </c>
      <c r="AW162" s="1">
        <v>0</v>
      </c>
      <c r="AX162" s="1">
        <v>0</v>
      </c>
      <c r="AY162" s="1">
        <v>7411.27</v>
      </c>
      <c r="AZ162" s="1">
        <v>0</v>
      </c>
      <c r="BA162" s="1">
        <v>0</v>
      </c>
      <c r="BB162" s="1">
        <v>0</v>
      </c>
      <c r="BC162" s="1">
        <v>6741.58</v>
      </c>
      <c r="BD162" s="1">
        <v>0</v>
      </c>
      <c r="BE162" s="1">
        <v>0</v>
      </c>
      <c r="BF162" s="1">
        <v>7032.9</v>
      </c>
      <c r="BG162" s="1">
        <v>0</v>
      </c>
      <c r="BH162" s="1">
        <v>0</v>
      </c>
      <c r="BI162" s="1">
        <v>0</v>
      </c>
      <c r="BJ162" s="1">
        <v>0</v>
      </c>
      <c r="BK162" s="1">
        <v>0</v>
      </c>
      <c r="BL162" s="1">
        <v>0</v>
      </c>
      <c r="BM162" s="1">
        <v>0</v>
      </c>
      <c r="BN162" s="1">
        <v>0</v>
      </c>
      <c r="BO162" s="1">
        <v>0</v>
      </c>
      <c r="BP162" s="1">
        <v>0</v>
      </c>
      <c r="BQ162" s="1">
        <v>0</v>
      </c>
      <c r="BR162" s="1">
        <v>0</v>
      </c>
      <c r="BS162" s="1">
        <v>0</v>
      </c>
      <c r="BT162" s="1">
        <v>0</v>
      </c>
      <c r="BU162" s="1">
        <v>10359.42</v>
      </c>
      <c r="BV162" s="1">
        <v>10126.700000000001</v>
      </c>
      <c r="BW162" s="1">
        <v>8386.11</v>
      </c>
      <c r="BX162" s="1">
        <v>8008.3600000000006</v>
      </c>
      <c r="BY162" s="1">
        <v>10356.07</v>
      </c>
      <c r="BZ162" s="1">
        <v>10122.82</v>
      </c>
      <c r="CA162" s="1">
        <v>8382.6</v>
      </c>
      <c r="CB162" s="1">
        <v>8004.43</v>
      </c>
      <c r="CC162" s="1">
        <v>0</v>
      </c>
      <c r="CD162" s="1">
        <v>0</v>
      </c>
      <c r="CE162" s="1">
        <v>0</v>
      </c>
      <c r="CF162" s="1">
        <v>0</v>
      </c>
      <c r="CG162" s="1">
        <v>0</v>
      </c>
      <c r="CH162" s="1">
        <v>0</v>
      </c>
      <c r="CI162" s="1">
        <v>0</v>
      </c>
      <c r="CJ162" s="1">
        <v>0</v>
      </c>
      <c r="CK162" s="1">
        <v>0</v>
      </c>
      <c r="CL162" s="1">
        <v>0</v>
      </c>
      <c r="CM162" s="1">
        <v>0</v>
      </c>
      <c r="CN162" s="1">
        <v>0</v>
      </c>
      <c r="CO162" s="1">
        <v>0</v>
      </c>
      <c r="CP162" s="1">
        <v>0</v>
      </c>
      <c r="CQ162" s="1">
        <v>0</v>
      </c>
      <c r="CR162" s="1">
        <v>0</v>
      </c>
      <c r="CS162" s="1">
        <v>2055.0500000000002</v>
      </c>
      <c r="CT162" s="1">
        <v>3457.79</v>
      </c>
      <c r="CU162" s="1">
        <v>3691.58</v>
      </c>
      <c r="CV162" s="1">
        <v>4921.67</v>
      </c>
      <c r="CW162" s="1">
        <v>2055.0500000000002</v>
      </c>
      <c r="CX162" s="1">
        <v>3457.79</v>
      </c>
      <c r="CY162" s="1">
        <v>3691.58</v>
      </c>
      <c r="CZ162" s="1">
        <v>4921.67</v>
      </c>
      <c r="DA162" s="1">
        <v>0</v>
      </c>
      <c r="DB162" s="1">
        <v>0</v>
      </c>
      <c r="DC162" s="1">
        <v>0</v>
      </c>
      <c r="DD162" s="1">
        <v>0</v>
      </c>
      <c r="DE162" s="1">
        <v>0</v>
      </c>
      <c r="DF162" s="1">
        <v>0</v>
      </c>
      <c r="DG162" s="1">
        <v>0</v>
      </c>
      <c r="DH162" s="1">
        <v>0</v>
      </c>
      <c r="DI162" s="1">
        <v>0</v>
      </c>
      <c r="DJ162" s="1">
        <v>0</v>
      </c>
      <c r="DK162" s="1">
        <v>0</v>
      </c>
      <c r="DL162" s="1">
        <v>0</v>
      </c>
      <c r="DM162" s="1">
        <v>3910.87</v>
      </c>
      <c r="DN162" s="1">
        <v>4596.54</v>
      </c>
      <c r="DO162" s="1">
        <v>3737.59</v>
      </c>
      <c r="DP162" s="1">
        <v>3445.49</v>
      </c>
      <c r="DQ162" s="1">
        <v>5702.4</v>
      </c>
      <c r="DR162" s="1">
        <v>5530.67</v>
      </c>
      <c r="DS162" s="1">
        <v>5923.01</v>
      </c>
      <c r="DT162" s="1">
        <v>6062.13</v>
      </c>
      <c r="DU162" s="1">
        <v>0</v>
      </c>
      <c r="DV162" s="1">
        <v>0</v>
      </c>
      <c r="DW162" s="1">
        <v>0</v>
      </c>
      <c r="DX162" s="1">
        <v>0</v>
      </c>
      <c r="DY162" s="1">
        <v>0</v>
      </c>
      <c r="DZ162" s="1">
        <v>0</v>
      </c>
      <c r="EA162" s="1">
        <v>0</v>
      </c>
      <c r="EB162" s="1">
        <v>0</v>
      </c>
      <c r="EC162" s="1">
        <v>0</v>
      </c>
      <c r="ED162" s="1">
        <v>0</v>
      </c>
      <c r="EE162" s="1">
        <v>0</v>
      </c>
      <c r="EF162" s="1">
        <v>0</v>
      </c>
      <c r="EG162" s="1">
        <v>0</v>
      </c>
      <c r="EH162" s="1">
        <v>0</v>
      </c>
      <c r="EI162" s="1">
        <v>0</v>
      </c>
      <c r="EJ162" s="1">
        <v>0</v>
      </c>
      <c r="EK162" s="1">
        <v>709.90700000000004</v>
      </c>
      <c r="EL162" s="1">
        <v>855.57999999999993</v>
      </c>
      <c r="EM162" s="1">
        <v>816.07999999999993</v>
      </c>
      <c r="EN162" s="1">
        <v>933.5</v>
      </c>
      <c r="EO162" s="1">
        <v>709.90700000000004</v>
      </c>
      <c r="EP162" s="1">
        <v>855.57999999999993</v>
      </c>
      <c r="EQ162" s="1">
        <v>816.07999999999993</v>
      </c>
      <c r="ER162" s="1">
        <v>933.5</v>
      </c>
      <c r="ES162" s="1">
        <v>0</v>
      </c>
      <c r="ET162" s="1">
        <v>0</v>
      </c>
      <c r="EU162" s="1">
        <v>0</v>
      </c>
      <c r="EV162" s="1">
        <v>0</v>
      </c>
      <c r="EW162" s="1">
        <v>0</v>
      </c>
      <c r="EX162" s="1">
        <v>0</v>
      </c>
      <c r="EY162" s="1">
        <v>0</v>
      </c>
      <c r="EZ162" s="1">
        <v>0</v>
      </c>
      <c r="FA162" s="1">
        <v>0</v>
      </c>
      <c r="FB162" s="1">
        <v>0</v>
      </c>
      <c r="FC162" s="1">
        <v>0</v>
      </c>
      <c r="FD162" s="1">
        <v>0</v>
      </c>
      <c r="FE162" s="1">
        <v>52.844999999999999</v>
      </c>
      <c r="FF162" s="1">
        <v>8.44</v>
      </c>
      <c r="FG162" s="1">
        <v>9.379999999999999</v>
      </c>
      <c r="FH162" s="1">
        <v>9.7200000000000006</v>
      </c>
      <c r="FI162" s="1">
        <v>515.31999999999994</v>
      </c>
      <c r="FJ162" s="1">
        <v>427.2</v>
      </c>
      <c r="FK162" s="1">
        <v>275.58999999999997</v>
      </c>
      <c r="FL162" s="1">
        <v>239.4</v>
      </c>
      <c r="FM162" s="1">
        <v>89.6</v>
      </c>
      <c r="FN162" s="1">
        <v>83.22</v>
      </c>
      <c r="FO162" s="1">
        <v>132.38</v>
      </c>
      <c r="FP162" s="1">
        <v>120.37</v>
      </c>
      <c r="FQ162" s="1">
        <v>0</v>
      </c>
      <c r="FR162" s="1">
        <v>0</v>
      </c>
      <c r="FS162" s="1">
        <v>0</v>
      </c>
      <c r="FT162" s="1">
        <v>0</v>
      </c>
      <c r="FU162" s="1">
        <v>0</v>
      </c>
      <c r="FV162" s="1">
        <v>0</v>
      </c>
      <c r="FW162" s="1">
        <v>0</v>
      </c>
      <c r="FX162" s="1">
        <v>0</v>
      </c>
      <c r="FY162" s="1">
        <v>0</v>
      </c>
      <c r="FZ162" s="1">
        <v>0</v>
      </c>
      <c r="GA162" s="1">
        <v>0</v>
      </c>
      <c r="GB162" s="1">
        <v>0</v>
      </c>
      <c r="GC162" s="1">
        <v>14.076000000000001</v>
      </c>
      <c r="GD162" s="1">
        <v>2.544</v>
      </c>
      <c r="GE162" s="1">
        <v>0.55800000000000005</v>
      </c>
      <c r="GF162" s="1">
        <v>0</v>
      </c>
      <c r="GG162" s="1">
        <v>2943.83</v>
      </c>
      <c r="GH162" s="1">
        <v>3159.62</v>
      </c>
      <c r="GI162" s="1">
        <v>3003.75</v>
      </c>
      <c r="GJ162" s="1">
        <v>2862.68</v>
      </c>
      <c r="GK162" s="1">
        <v>0</v>
      </c>
      <c r="GL162" s="1">
        <v>0</v>
      </c>
      <c r="GM162" s="1">
        <v>0</v>
      </c>
      <c r="GN162" s="1">
        <v>0</v>
      </c>
      <c r="GO162" s="1">
        <v>0</v>
      </c>
      <c r="GP162" s="1">
        <v>0</v>
      </c>
      <c r="GQ162" s="1">
        <v>0</v>
      </c>
      <c r="GR162" s="1">
        <v>0</v>
      </c>
      <c r="GS162" s="1">
        <v>0</v>
      </c>
      <c r="GT162" s="1">
        <v>0</v>
      </c>
      <c r="GU162" s="1">
        <v>0</v>
      </c>
      <c r="GV162" s="1">
        <v>0</v>
      </c>
      <c r="GW162" s="1">
        <v>0</v>
      </c>
      <c r="GX162" s="1">
        <v>0</v>
      </c>
      <c r="GY162" s="1">
        <v>0</v>
      </c>
      <c r="GZ162" s="1">
        <v>0</v>
      </c>
      <c r="HA162" s="1">
        <v>0</v>
      </c>
      <c r="HB162" s="1">
        <v>0</v>
      </c>
      <c r="HC162" s="1">
        <v>0</v>
      </c>
      <c r="HD162" s="1">
        <v>0</v>
      </c>
      <c r="HE162" s="1">
        <v>0</v>
      </c>
      <c r="HF162" s="1">
        <v>0</v>
      </c>
      <c r="HG162" s="1">
        <v>0</v>
      </c>
      <c r="HH162" s="1">
        <v>0</v>
      </c>
      <c r="HI162" s="1">
        <v>0</v>
      </c>
      <c r="HJ162" s="1">
        <v>0</v>
      </c>
      <c r="HK162" s="1">
        <v>0</v>
      </c>
      <c r="HL162" s="1">
        <v>0</v>
      </c>
      <c r="HM162" s="1">
        <v>0</v>
      </c>
      <c r="HN162" s="1">
        <v>0</v>
      </c>
      <c r="HO162" s="1">
        <v>0</v>
      </c>
      <c r="HP162" s="1">
        <v>0</v>
      </c>
      <c r="HQ162" s="1">
        <v>0</v>
      </c>
      <c r="HR162" s="1">
        <v>0</v>
      </c>
      <c r="HS162" s="1">
        <v>0</v>
      </c>
      <c r="HT162" s="1">
        <v>0</v>
      </c>
      <c r="HU162" s="1">
        <v>0</v>
      </c>
      <c r="HV162" s="1">
        <v>0</v>
      </c>
      <c r="HW162" s="1">
        <v>0</v>
      </c>
      <c r="HX162" s="1">
        <v>0</v>
      </c>
      <c r="HY162" s="1">
        <v>0</v>
      </c>
      <c r="HZ162" s="1">
        <v>0</v>
      </c>
      <c r="IA162" s="1">
        <v>0</v>
      </c>
      <c r="IB162" s="1">
        <v>0</v>
      </c>
      <c r="IC162" s="1">
        <v>0</v>
      </c>
      <c r="ID162" s="1">
        <v>0</v>
      </c>
      <c r="IE162" s="1">
        <v>0</v>
      </c>
      <c r="IF162" s="1">
        <v>0</v>
      </c>
      <c r="IG162" s="1">
        <v>0</v>
      </c>
      <c r="IH162" s="1">
        <v>0</v>
      </c>
      <c r="II162" s="1">
        <v>0</v>
      </c>
      <c r="IJ162" s="1">
        <v>0</v>
      </c>
      <c r="IK162" s="1">
        <v>0</v>
      </c>
      <c r="IL162" s="1">
        <v>0</v>
      </c>
      <c r="IM162" s="1">
        <v>0</v>
      </c>
      <c r="IN162" s="1">
        <v>0</v>
      </c>
      <c r="IO162" s="1">
        <v>0</v>
      </c>
      <c r="IP162" s="1">
        <v>0</v>
      </c>
      <c r="IQ162" s="1">
        <v>0</v>
      </c>
      <c r="IR162" s="1">
        <v>0</v>
      </c>
      <c r="IS162" s="1">
        <v>0</v>
      </c>
      <c r="IT162" s="1">
        <v>0</v>
      </c>
      <c r="IU162" s="1">
        <v>0</v>
      </c>
      <c r="IV162" s="1">
        <v>0</v>
      </c>
      <c r="IW162" s="1">
        <v>0</v>
      </c>
      <c r="IX162" s="1">
        <v>0</v>
      </c>
      <c r="IY162" s="1">
        <v>0</v>
      </c>
      <c r="IZ162" s="1">
        <v>0</v>
      </c>
      <c r="JA162" s="1">
        <v>0</v>
      </c>
      <c r="JB162" s="1">
        <v>0</v>
      </c>
      <c r="JC162" s="1">
        <v>0</v>
      </c>
      <c r="JD162" s="1">
        <v>0</v>
      </c>
      <c r="JE162" s="1">
        <v>0</v>
      </c>
      <c r="JF162" s="1">
        <v>0</v>
      </c>
      <c r="JG162" s="1">
        <v>0</v>
      </c>
      <c r="JH162" s="1">
        <v>0</v>
      </c>
      <c r="JI162" s="1">
        <v>0</v>
      </c>
      <c r="JJ162" s="1">
        <v>0</v>
      </c>
      <c r="JK162" s="1">
        <v>0</v>
      </c>
      <c r="JL162" s="1">
        <v>0</v>
      </c>
      <c r="JM162" s="1">
        <v>0</v>
      </c>
      <c r="JN162" s="1">
        <v>0</v>
      </c>
      <c r="JO162" s="1">
        <v>0</v>
      </c>
      <c r="JP162" s="1">
        <v>0</v>
      </c>
      <c r="JQ162" s="9"/>
      <c r="JR162" s="1">
        <f t="shared" si="38"/>
        <v>1029.5264700000005</v>
      </c>
      <c r="JS162" s="1">
        <f t="shared" si="38"/>
        <v>1057.2308999999987</v>
      </c>
      <c r="JT162" s="1">
        <f t="shared" si="38"/>
        <v>1331.8695000000007</v>
      </c>
      <c r="JU162" s="1">
        <f t="shared" si="36"/>
        <v>1024.4286000000011</v>
      </c>
      <c r="JV162" s="1">
        <f t="shared" si="39"/>
        <v>190.65305000000009</v>
      </c>
      <c r="JW162" s="1">
        <f t="shared" si="39"/>
        <v>195.78349999999975</v>
      </c>
      <c r="JX162" s="1">
        <f t="shared" si="39"/>
        <v>246.64250000000013</v>
      </c>
      <c r="JY162" s="1">
        <f t="shared" si="37"/>
        <v>189.7090000000002</v>
      </c>
    </row>
    <row r="163" spans="1:285" x14ac:dyDescent="0.35">
      <c r="A163" s="2" t="s">
        <v>170</v>
      </c>
      <c r="B163" s="1">
        <v>350025</v>
      </c>
      <c r="C163" s="1">
        <v>351256</v>
      </c>
      <c r="D163" s="1">
        <v>357327</v>
      </c>
      <c r="E163" s="1">
        <v>368194</v>
      </c>
      <c r="F163" s="1">
        <v>65828.096000000005</v>
      </c>
      <c r="G163" s="1">
        <v>81761.649999999994</v>
      </c>
      <c r="H163" s="1">
        <v>76534.17</v>
      </c>
      <c r="I163" s="1">
        <v>74517.48</v>
      </c>
      <c r="J163" s="1">
        <f t="shared" si="40"/>
        <v>34744.016000000003</v>
      </c>
      <c r="K163" s="1">
        <f t="shared" si="41"/>
        <v>46387.100000000006</v>
      </c>
      <c r="L163" s="1">
        <f t="shared" si="42"/>
        <v>39841.229999999996</v>
      </c>
      <c r="M163" s="1">
        <f t="shared" si="43"/>
        <v>37057.03</v>
      </c>
      <c r="N163" s="1">
        <f t="shared" si="44"/>
        <v>31084.080000000002</v>
      </c>
      <c r="O163" s="1">
        <f t="shared" si="45"/>
        <v>35374.549999999988</v>
      </c>
      <c r="P163" s="1">
        <f t="shared" si="46"/>
        <v>36692.94</v>
      </c>
      <c r="Q163" s="1">
        <f t="shared" si="47"/>
        <v>37460.449999999997</v>
      </c>
      <c r="R163" s="1">
        <v>0</v>
      </c>
      <c r="S163" s="1">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1">
        <v>0</v>
      </c>
      <c r="AJ163" s="1">
        <v>0</v>
      </c>
      <c r="AK163" s="1">
        <v>0</v>
      </c>
      <c r="AL163" s="1">
        <v>0</v>
      </c>
      <c r="AM163" s="1">
        <v>0</v>
      </c>
      <c r="AN163" s="1">
        <v>0</v>
      </c>
      <c r="AO163" s="1">
        <v>0</v>
      </c>
      <c r="AP163" s="1">
        <v>823.51</v>
      </c>
      <c r="AQ163" s="1">
        <v>1196.5</v>
      </c>
      <c r="AR163" s="1">
        <v>698.84</v>
      </c>
      <c r="AS163" s="1">
        <v>1103.72</v>
      </c>
      <c r="AT163" s="1">
        <v>0</v>
      </c>
      <c r="AU163" s="1">
        <v>823.51</v>
      </c>
      <c r="AV163" s="1">
        <v>0</v>
      </c>
      <c r="AW163" s="1">
        <v>0</v>
      </c>
      <c r="AX163" s="1">
        <v>0</v>
      </c>
      <c r="AY163" s="1">
        <v>1196.5</v>
      </c>
      <c r="AZ163" s="1">
        <v>0</v>
      </c>
      <c r="BA163" s="1">
        <v>0</v>
      </c>
      <c r="BB163" s="1">
        <v>0</v>
      </c>
      <c r="BC163" s="1">
        <v>698.84</v>
      </c>
      <c r="BD163" s="1">
        <v>0</v>
      </c>
      <c r="BE163" s="1">
        <v>0</v>
      </c>
      <c r="BF163" s="1">
        <v>1103.72</v>
      </c>
      <c r="BG163" s="1">
        <v>0</v>
      </c>
      <c r="BH163" s="1">
        <v>0</v>
      </c>
      <c r="BI163" s="1">
        <v>0</v>
      </c>
      <c r="BJ163" s="1">
        <v>0</v>
      </c>
      <c r="BK163" s="1">
        <v>0</v>
      </c>
      <c r="BL163" s="1">
        <v>0</v>
      </c>
      <c r="BM163" s="1">
        <v>0</v>
      </c>
      <c r="BN163" s="1">
        <v>0</v>
      </c>
      <c r="BO163" s="1">
        <v>0</v>
      </c>
      <c r="BP163" s="1">
        <v>0</v>
      </c>
      <c r="BQ163" s="1">
        <v>0</v>
      </c>
      <c r="BR163" s="1">
        <v>0</v>
      </c>
      <c r="BS163" s="1">
        <v>0</v>
      </c>
      <c r="BT163" s="1">
        <v>0</v>
      </c>
      <c r="BU163" s="1">
        <v>14634.81</v>
      </c>
      <c r="BV163" s="1">
        <v>18348.55</v>
      </c>
      <c r="BW163" s="1">
        <v>12910.95</v>
      </c>
      <c r="BX163" s="1">
        <v>11187.99</v>
      </c>
      <c r="BY163" s="1">
        <v>14634.81</v>
      </c>
      <c r="BZ163" s="1">
        <v>18348.55</v>
      </c>
      <c r="CA163" s="1">
        <v>12910.95</v>
      </c>
      <c r="CB163" s="1">
        <v>11187.99</v>
      </c>
      <c r="CC163" s="1">
        <v>0</v>
      </c>
      <c r="CD163" s="1">
        <v>0</v>
      </c>
      <c r="CE163" s="1">
        <v>0</v>
      </c>
      <c r="CF163" s="1">
        <v>0</v>
      </c>
      <c r="CG163" s="1">
        <v>0</v>
      </c>
      <c r="CH163" s="1">
        <v>0</v>
      </c>
      <c r="CI163" s="1">
        <v>0</v>
      </c>
      <c r="CJ163" s="1">
        <v>0</v>
      </c>
      <c r="CK163" s="1">
        <v>0</v>
      </c>
      <c r="CL163" s="1">
        <v>0</v>
      </c>
      <c r="CM163" s="1">
        <v>0</v>
      </c>
      <c r="CN163" s="1">
        <v>0</v>
      </c>
      <c r="CO163" s="1">
        <v>0</v>
      </c>
      <c r="CP163" s="1">
        <v>0</v>
      </c>
      <c r="CQ163" s="1">
        <v>0</v>
      </c>
      <c r="CR163" s="1">
        <v>0</v>
      </c>
      <c r="CS163" s="1">
        <v>4959.28</v>
      </c>
      <c r="CT163" s="1">
        <v>4896.13</v>
      </c>
      <c r="CU163" s="1">
        <v>4544.92</v>
      </c>
      <c r="CV163" s="1">
        <v>5527.45</v>
      </c>
      <c r="CW163" s="1">
        <v>4959.28</v>
      </c>
      <c r="CX163" s="1">
        <v>4896.13</v>
      </c>
      <c r="CY163" s="1">
        <v>4544.92</v>
      </c>
      <c r="CZ163" s="1">
        <v>5527.45</v>
      </c>
      <c r="DA163" s="1">
        <v>0</v>
      </c>
      <c r="DB163" s="1">
        <v>0</v>
      </c>
      <c r="DC163" s="1">
        <v>0</v>
      </c>
      <c r="DD163" s="1">
        <v>0</v>
      </c>
      <c r="DE163" s="1">
        <v>0</v>
      </c>
      <c r="DF163" s="1">
        <v>0</v>
      </c>
      <c r="DG163" s="1">
        <v>0</v>
      </c>
      <c r="DH163" s="1">
        <v>0</v>
      </c>
      <c r="DI163" s="1">
        <v>0</v>
      </c>
      <c r="DJ163" s="1">
        <v>0</v>
      </c>
      <c r="DK163" s="1">
        <v>0</v>
      </c>
      <c r="DL163" s="1">
        <v>0</v>
      </c>
      <c r="DM163" s="1">
        <v>2452.81</v>
      </c>
      <c r="DN163" s="1">
        <v>3227.81</v>
      </c>
      <c r="DO163" s="1">
        <v>3246.94</v>
      </c>
      <c r="DP163" s="1">
        <v>3050.98</v>
      </c>
      <c r="DQ163" s="1">
        <v>2452.81</v>
      </c>
      <c r="DR163" s="1">
        <v>3227.81</v>
      </c>
      <c r="DS163" s="1">
        <v>3246.94</v>
      </c>
      <c r="DT163" s="1">
        <v>3050.98</v>
      </c>
      <c r="DU163" s="1">
        <v>0</v>
      </c>
      <c r="DV163" s="1">
        <v>0</v>
      </c>
      <c r="DW163" s="1">
        <v>0</v>
      </c>
      <c r="DX163" s="1">
        <v>0</v>
      </c>
      <c r="DY163" s="1">
        <v>0</v>
      </c>
      <c r="DZ163" s="1">
        <v>0</v>
      </c>
      <c r="EA163" s="1">
        <v>0</v>
      </c>
      <c r="EB163" s="1">
        <v>0</v>
      </c>
      <c r="EC163" s="1">
        <v>0</v>
      </c>
      <c r="ED163" s="1">
        <v>0</v>
      </c>
      <c r="EE163" s="1">
        <v>0</v>
      </c>
      <c r="EF163" s="1">
        <v>0</v>
      </c>
      <c r="EG163" s="1">
        <v>0</v>
      </c>
      <c r="EH163" s="1">
        <v>0</v>
      </c>
      <c r="EI163" s="1">
        <v>0</v>
      </c>
      <c r="EJ163" s="1">
        <v>0</v>
      </c>
      <c r="EK163" s="1">
        <v>4699.2080000000014</v>
      </c>
      <c r="EL163" s="1">
        <v>8261.02</v>
      </c>
      <c r="EM163" s="1">
        <v>8337.01</v>
      </c>
      <c r="EN163" s="1">
        <v>5318.46</v>
      </c>
      <c r="EO163" s="1">
        <v>4699.2080000000014</v>
      </c>
      <c r="EP163" s="1">
        <v>8260.85</v>
      </c>
      <c r="EQ163" s="1">
        <v>8337.01</v>
      </c>
      <c r="ER163" s="1">
        <v>5318.17</v>
      </c>
      <c r="ES163" s="1">
        <v>0</v>
      </c>
      <c r="ET163" s="1">
        <v>0.17</v>
      </c>
      <c r="EU163" s="1">
        <v>0</v>
      </c>
      <c r="EV163" s="1">
        <v>0.28999999999999998</v>
      </c>
      <c r="EW163" s="1">
        <v>0</v>
      </c>
      <c r="EX163" s="1">
        <v>0</v>
      </c>
      <c r="EY163" s="1">
        <v>0</v>
      </c>
      <c r="EZ163" s="1">
        <v>0</v>
      </c>
      <c r="FA163" s="1">
        <v>0</v>
      </c>
      <c r="FB163" s="1">
        <v>0</v>
      </c>
      <c r="FC163" s="1">
        <v>0</v>
      </c>
      <c r="FD163" s="1">
        <v>0</v>
      </c>
      <c r="FE163" s="1">
        <v>255.2</v>
      </c>
      <c r="FF163" s="1">
        <v>452.6</v>
      </c>
      <c r="FG163" s="1">
        <v>357.17</v>
      </c>
      <c r="FH163" s="1">
        <v>369.77</v>
      </c>
      <c r="FI163" s="1">
        <v>0</v>
      </c>
      <c r="FJ163" s="1">
        <v>0</v>
      </c>
      <c r="FK163" s="1">
        <v>0</v>
      </c>
      <c r="FL163" s="1">
        <v>0</v>
      </c>
      <c r="FM163" s="1">
        <v>255.2</v>
      </c>
      <c r="FN163" s="1">
        <v>452.6</v>
      </c>
      <c r="FO163" s="1">
        <v>357.17</v>
      </c>
      <c r="FP163" s="1">
        <v>369.77</v>
      </c>
      <c r="FQ163" s="1">
        <v>0</v>
      </c>
      <c r="FR163" s="1">
        <v>0</v>
      </c>
      <c r="FS163" s="1">
        <v>0</v>
      </c>
      <c r="FT163" s="1">
        <v>0</v>
      </c>
      <c r="FU163" s="1">
        <v>0</v>
      </c>
      <c r="FV163" s="1">
        <v>0</v>
      </c>
      <c r="FW163" s="1">
        <v>0</v>
      </c>
      <c r="FX163" s="1">
        <v>0</v>
      </c>
      <c r="FY163" s="1">
        <v>0</v>
      </c>
      <c r="FZ163" s="1">
        <v>0</v>
      </c>
      <c r="GA163" s="1">
        <v>0</v>
      </c>
      <c r="GB163" s="1">
        <v>0</v>
      </c>
      <c r="GC163" s="1">
        <v>2465.08</v>
      </c>
      <c r="GD163" s="1">
        <v>2328.7600000000002</v>
      </c>
      <c r="GE163" s="1">
        <v>2998.69</v>
      </c>
      <c r="GF163" s="1">
        <v>3437.91</v>
      </c>
      <c r="GG163" s="1">
        <v>2465.08</v>
      </c>
      <c r="GH163" s="1">
        <v>2328.7600000000002</v>
      </c>
      <c r="GI163" s="1">
        <v>2998.69</v>
      </c>
      <c r="GJ163" s="1">
        <v>3437.91</v>
      </c>
      <c r="GK163" s="1">
        <v>0</v>
      </c>
      <c r="GL163" s="1">
        <v>0</v>
      </c>
      <c r="GM163" s="1">
        <v>0</v>
      </c>
      <c r="GN163" s="1">
        <v>0</v>
      </c>
      <c r="GO163" s="1">
        <v>0</v>
      </c>
      <c r="GP163" s="1">
        <v>0</v>
      </c>
      <c r="GQ163" s="1">
        <v>0</v>
      </c>
      <c r="GR163" s="1">
        <v>0</v>
      </c>
      <c r="GS163" s="1">
        <v>0</v>
      </c>
      <c r="GT163" s="1">
        <v>0</v>
      </c>
      <c r="GU163" s="1">
        <v>0</v>
      </c>
      <c r="GV163" s="1">
        <v>0</v>
      </c>
      <c r="GW163" s="1">
        <v>0</v>
      </c>
      <c r="GX163" s="1">
        <v>0</v>
      </c>
      <c r="GY163" s="1">
        <v>0</v>
      </c>
      <c r="GZ163" s="1">
        <v>0</v>
      </c>
      <c r="HA163" s="1">
        <v>0</v>
      </c>
      <c r="HB163" s="1">
        <v>0</v>
      </c>
      <c r="HC163" s="1">
        <v>0</v>
      </c>
      <c r="HD163" s="1">
        <v>0</v>
      </c>
      <c r="HE163" s="1">
        <v>2497.25</v>
      </c>
      <c r="HF163" s="1">
        <v>3618.93</v>
      </c>
      <c r="HG163" s="1">
        <v>3271.69</v>
      </c>
      <c r="HH163" s="1">
        <v>3657.02</v>
      </c>
      <c r="HI163" s="1">
        <v>2497.25</v>
      </c>
      <c r="HJ163" s="1">
        <v>3618.93</v>
      </c>
      <c r="HK163" s="1">
        <v>3271.69</v>
      </c>
      <c r="HL163" s="1">
        <v>3657.02</v>
      </c>
      <c r="HM163" s="1">
        <v>0</v>
      </c>
      <c r="HN163" s="1">
        <v>0</v>
      </c>
      <c r="HO163" s="1">
        <v>0</v>
      </c>
      <c r="HP163" s="1">
        <v>0</v>
      </c>
      <c r="HQ163" s="1">
        <v>0</v>
      </c>
      <c r="HR163" s="1">
        <v>0</v>
      </c>
      <c r="HS163" s="1">
        <v>0</v>
      </c>
      <c r="HT163" s="1">
        <v>0</v>
      </c>
      <c r="HU163" s="1">
        <v>0</v>
      </c>
      <c r="HV163" s="1">
        <v>0</v>
      </c>
      <c r="HW163" s="1">
        <v>0</v>
      </c>
      <c r="HX163" s="1">
        <v>0</v>
      </c>
      <c r="HY163" s="1">
        <v>0</v>
      </c>
      <c r="HZ163" s="1">
        <v>0</v>
      </c>
      <c r="IA163" s="1">
        <v>0</v>
      </c>
      <c r="IB163" s="1">
        <v>0</v>
      </c>
      <c r="IC163" s="1">
        <v>0</v>
      </c>
      <c r="ID163" s="1">
        <v>0</v>
      </c>
      <c r="IE163" s="1">
        <v>0</v>
      </c>
      <c r="IF163" s="1">
        <v>0</v>
      </c>
      <c r="IG163" s="1">
        <v>0</v>
      </c>
      <c r="IH163" s="1">
        <v>0</v>
      </c>
      <c r="II163" s="1">
        <v>0</v>
      </c>
      <c r="IJ163" s="1">
        <v>0</v>
      </c>
      <c r="IK163" s="1">
        <v>0</v>
      </c>
      <c r="IL163" s="1">
        <v>0</v>
      </c>
      <c r="IM163" s="1">
        <v>0</v>
      </c>
      <c r="IN163" s="1">
        <v>0</v>
      </c>
      <c r="IO163" s="1">
        <v>1956.8679999999999</v>
      </c>
      <c r="IP163" s="1">
        <v>4056.8</v>
      </c>
      <c r="IQ163" s="1">
        <v>3475.02</v>
      </c>
      <c r="IR163" s="1">
        <v>3403.73</v>
      </c>
      <c r="IS163" s="1">
        <v>1956.8679999999999</v>
      </c>
      <c r="IT163" s="1">
        <v>4035.36</v>
      </c>
      <c r="IU163" s="1">
        <v>3435.99</v>
      </c>
      <c r="IV163" s="1">
        <v>3382.14</v>
      </c>
      <c r="IW163" s="1">
        <v>0</v>
      </c>
      <c r="IX163" s="1">
        <v>21.44</v>
      </c>
      <c r="IY163" s="1">
        <v>39.03</v>
      </c>
      <c r="IZ163" s="1">
        <v>21.59</v>
      </c>
      <c r="JA163" s="1">
        <v>0</v>
      </c>
      <c r="JB163" s="1">
        <v>0</v>
      </c>
      <c r="JC163" s="1">
        <v>0</v>
      </c>
      <c r="JD163" s="1">
        <v>0</v>
      </c>
      <c r="JE163" s="1">
        <v>0</v>
      </c>
      <c r="JF163" s="1">
        <v>0</v>
      </c>
      <c r="JG163" s="1">
        <v>0</v>
      </c>
      <c r="JH163" s="1">
        <v>0</v>
      </c>
      <c r="JI163" s="1">
        <v>0</v>
      </c>
      <c r="JJ163" s="1">
        <v>0</v>
      </c>
      <c r="JK163" s="1">
        <v>0</v>
      </c>
      <c r="JL163" s="1">
        <v>0</v>
      </c>
      <c r="JM163" s="1">
        <v>0</v>
      </c>
      <c r="JN163" s="1">
        <v>0</v>
      </c>
      <c r="JO163" s="1">
        <v>0</v>
      </c>
      <c r="JP163" s="1">
        <v>0</v>
      </c>
      <c r="JQ163" s="9"/>
      <c r="JR163" s="1">
        <f t="shared" si="38"/>
        <v>8392.7016000000003</v>
      </c>
      <c r="JS163" s="1">
        <f t="shared" si="38"/>
        <v>9551.1284999999971</v>
      </c>
      <c r="JT163" s="1">
        <f t="shared" si="38"/>
        <v>9907.0938000000006</v>
      </c>
      <c r="JU163" s="1">
        <f t="shared" si="36"/>
        <v>10114.3215</v>
      </c>
      <c r="JV163" s="1">
        <f t="shared" si="39"/>
        <v>1554.2040000000002</v>
      </c>
      <c r="JW163" s="1">
        <f t="shared" si="39"/>
        <v>1768.7274999999995</v>
      </c>
      <c r="JX163" s="1">
        <f t="shared" si="39"/>
        <v>1834.6470000000002</v>
      </c>
      <c r="JY163" s="1">
        <f t="shared" si="37"/>
        <v>1873.0225</v>
      </c>
    </row>
    <row r="164" spans="1:285" x14ac:dyDescent="0.35">
      <c r="A164" s="2" t="s">
        <v>171</v>
      </c>
      <c r="B164" s="1">
        <v>97622</v>
      </c>
      <c r="C164" s="1">
        <v>99398</v>
      </c>
      <c r="D164" s="1">
        <v>100509</v>
      </c>
      <c r="E164" s="1">
        <v>100664</v>
      </c>
      <c r="F164" s="1">
        <v>25022.170999999998</v>
      </c>
      <c r="G164" s="1">
        <v>24818.959999999999</v>
      </c>
      <c r="H164" s="1">
        <v>19396.569</v>
      </c>
      <c r="I164" s="1">
        <v>24965.125</v>
      </c>
      <c r="J164" s="1">
        <f t="shared" si="40"/>
        <v>20902.902999999998</v>
      </c>
      <c r="K164" s="1">
        <f t="shared" si="41"/>
        <v>21601.301000000003</v>
      </c>
      <c r="L164" s="1">
        <f t="shared" si="42"/>
        <v>19026.71</v>
      </c>
      <c r="M164" s="1">
        <f t="shared" si="43"/>
        <v>24263.524999999998</v>
      </c>
      <c r="N164" s="1">
        <f t="shared" si="44"/>
        <v>4119.268</v>
      </c>
      <c r="O164" s="1">
        <f t="shared" si="45"/>
        <v>3217.658999999996</v>
      </c>
      <c r="P164" s="1">
        <f t="shared" si="46"/>
        <v>369.85900000000038</v>
      </c>
      <c r="Q164" s="1">
        <f t="shared" si="47"/>
        <v>701.60000000000218</v>
      </c>
      <c r="R164" s="1">
        <v>3248.95</v>
      </c>
      <c r="S164" s="1">
        <v>3229.4</v>
      </c>
      <c r="T164" s="1">
        <v>2850.12</v>
      </c>
      <c r="U164" s="1">
        <v>2666.78</v>
      </c>
      <c r="V164" s="1">
        <v>0</v>
      </c>
      <c r="W164" s="1">
        <v>0</v>
      </c>
      <c r="X164" s="1">
        <v>3248.95</v>
      </c>
      <c r="Y164" s="1">
        <v>0</v>
      </c>
      <c r="Z164" s="1">
        <v>0</v>
      </c>
      <c r="AA164" s="1">
        <v>3229.4</v>
      </c>
      <c r="AB164" s="1">
        <v>0</v>
      </c>
      <c r="AC164" s="1">
        <v>0</v>
      </c>
      <c r="AD164" s="1">
        <v>2850.12</v>
      </c>
      <c r="AE164" s="1">
        <v>0</v>
      </c>
      <c r="AF164" s="1">
        <v>0</v>
      </c>
      <c r="AG164" s="1">
        <v>2666.78</v>
      </c>
      <c r="AH164" s="1">
        <v>0</v>
      </c>
      <c r="AI164" s="1">
        <v>0</v>
      </c>
      <c r="AJ164" s="1">
        <v>0</v>
      </c>
      <c r="AK164" s="1">
        <v>0</v>
      </c>
      <c r="AL164" s="1">
        <v>0</v>
      </c>
      <c r="AM164" s="1">
        <v>0</v>
      </c>
      <c r="AN164" s="1">
        <v>0</v>
      </c>
      <c r="AO164" s="1">
        <v>0</v>
      </c>
      <c r="AP164" s="1">
        <v>7534.4450000000006</v>
      </c>
      <c r="AQ164" s="1">
        <v>7342.83</v>
      </c>
      <c r="AR164" s="1">
        <v>6371.3499999999995</v>
      </c>
      <c r="AS164" s="1">
        <v>7068.06</v>
      </c>
      <c r="AT164" s="1">
        <v>0</v>
      </c>
      <c r="AU164" s="1">
        <v>7534.4450000000006</v>
      </c>
      <c r="AV164" s="1">
        <v>0</v>
      </c>
      <c r="AW164" s="1">
        <v>0</v>
      </c>
      <c r="AX164" s="1">
        <v>0</v>
      </c>
      <c r="AY164" s="1">
        <v>7342.83</v>
      </c>
      <c r="AZ164" s="1">
        <v>0</v>
      </c>
      <c r="BA164" s="1">
        <v>0</v>
      </c>
      <c r="BB164" s="1">
        <v>0</v>
      </c>
      <c r="BC164" s="1">
        <v>6371.3499999999995</v>
      </c>
      <c r="BD164" s="1">
        <v>0</v>
      </c>
      <c r="BE164" s="1">
        <v>0</v>
      </c>
      <c r="BF164" s="1">
        <v>7068.06</v>
      </c>
      <c r="BG164" s="1">
        <v>0</v>
      </c>
      <c r="BH164" s="1">
        <v>0</v>
      </c>
      <c r="BI164" s="1">
        <v>0</v>
      </c>
      <c r="BJ164" s="1">
        <v>0</v>
      </c>
      <c r="BK164" s="1">
        <v>0</v>
      </c>
      <c r="BL164" s="1">
        <v>0</v>
      </c>
      <c r="BM164" s="1">
        <v>0</v>
      </c>
      <c r="BN164" s="1">
        <v>0</v>
      </c>
      <c r="BO164" s="1">
        <v>0</v>
      </c>
      <c r="BP164" s="1">
        <v>0</v>
      </c>
      <c r="BQ164" s="1">
        <v>0</v>
      </c>
      <c r="BR164" s="1">
        <v>0</v>
      </c>
      <c r="BS164" s="1">
        <v>0</v>
      </c>
      <c r="BT164" s="1">
        <v>0</v>
      </c>
      <c r="BU164" s="1">
        <v>3841.2559999999989</v>
      </c>
      <c r="BV164" s="1">
        <v>3313.7730000000001</v>
      </c>
      <c r="BW164" s="1">
        <v>3039.65</v>
      </c>
      <c r="BX164" s="1">
        <v>3259.1559999999999</v>
      </c>
      <c r="BY164" s="1">
        <v>3841.2559999999989</v>
      </c>
      <c r="BZ164" s="1">
        <v>3313.7730000000001</v>
      </c>
      <c r="CA164" s="1">
        <v>3039.65</v>
      </c>
      <c r="CB164" s="1">
        <v>3259.1559999999999</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1129.05</v>
      </c>
      <c r="CT164" s="1">
        <v>1144.328</v>
      </c>
      <c r="CU164" s="1">
        <v>1034.3599999999999</v>
      </c>
      <c r="CV164" s="1">
        <v>1079.56</v>
      </c>
      <c r="CW164" s="1">
        <v>1129.05</v>
      </c>
      <c r="CX164" s="1">
        <v>1144.328</v>
      </c>
      <c r="CY164" s="1">
        <v>1034.3599999999999</v>
      </c>
      <c r="CZ164" s="1">
        <v>1079.56</v>
      </c>
      <c r="DA164" s="1">
        <v>0</v>
      </c>
      <c r="DB164" s="1">
        <v>0</v>
      </c>
      <c r="DC164" s="1">
        <v>0</v>
      </c>
      <c r="DD164" s="1">
        <v>0</v>
      </c>
      <c r="DE164" s="1">
        <v>0</v>
      </c>
      <c r="DF164" s="1">
        <v>0</v>
      </c>
      <c r="DG164" s="1">
        <v>0</v>
      </c>
      <c r="DH164" s="1">
        <v>0</v>
      </c>
      <c r="DI164" s="1">
        <v>0</v>
      </c>
      <c r="DJ164" s="1">
        <v>0</v>
      </c>
      <c r="DK164" s="1">
        <v>0</v>
      </c>
      <c r="DL164" s="1">
        <v>0</v>
      </c>
      <c r="DM164" s="1">
        <v>3441.79</v>
      </c>
      <c r="DN164" s="1">
        <v>3684.1149999999998</v>
      </c>
      <c r="DO164" s="1">
        <v>3110.01</v>
      </c>
      <c r="DP164" s="1">
        <v>3037.14</v>
      </c>
      <c r="DQ164" s="1">
        <v>3441.79</v>
      </c>
      <c r="DR164" s="1">
        <v>3684.1149999999998</v>
      </c>
      <c r="DS164" s="1">
        <v>3110.01</v>
      </c>
      <c r="DT164" s="1">
        <v>3037.14</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1572.625</v>
      </c>
      <c r="EL164" s="1">
        <v>2726.0729999999999</v>
      </c>
      <c r="EM164" s="1">
        <v>2476.38</v>
      </c>
      <c r="EN164" s="1">
        <v>6371.5839999999998</v>
      </c>
      <c r="EO164" s="1">
        <v>1572.625</v>
      </c>
      <c r="EP164" s="1">
        <v>2726.0729999999999</v>
      </c>
      <c r="EQ164" s="1">
        <v>2476.38</v>
      </c>
      <c r="ER164" s="1">
        <v>6371.5839999999998</v>
      </c>
      <c r="ES164" s="1">
        <v>0</v>
      </c>
      <c r="ET164" s="1">
        <v>0</v>
      </c>
      <c r="EU164" s="1">
        <v>0</v>
      </c>
      <c r="EV164" s="1">
        <v>0</v>
      </c>
      <c r="EW164" s="1">
        <v>0</v>
      </c>
      <c r="EX164" s="1">
        <v>0</v>
      </c>
      <c r="EY164" s="1">
        <v>0</v>
      </c>
      <c r="EZ164" s="1">
        <v>0</v>
      </c>
      <c r="FA164" s="1">
        <v>0</v>
      </c>
      <c r="FB164" s="1">
        <v>0</v>
      </c>
      <c r="FC164" s="1">
        <v>0</v>
      </c>
      <c r="FD164" s="1">
        <v>0</v>
      </c>
      <c r="FE164" s="1">
        <v>34.676000000000002</v>
      </c>
      <c r="FF164" s="1">
        <v>41.83</v>
      </c>
      <c r="FG164" s="1">
        <v>46.661999999999999</v>
      </c>
      <c r="FH164" s="1">
        <v>61.720999999999997</v>
      </c>
      <c r="FI164" s="1">
        <v>0</v>
      </c>
      <c r="FJ164" s="1">
        <v>0</v>
      </c>
      <c r="FK164" s="1">
        <v>0</v>
      </c>
      <c r="FL164" s="1">
        <v>0</v>
      </c>
      <c r="FM164" s="1">
        <v>34.676000000000002</v>
      </c>
      <c r="FN164" s="1">
        <v>41.83</v>
      </c>
      <c r="FO164" s="1">
        <v>46.661999999999999</v>
      </c>
      <c r="FP164" s="1">
        <v>61.720999999999997</v>
      </c>
      <c r="FQ164" s="1">
        <v>0</v>
      </c>
      <c r="FR164" s="1">
        <v>0</v>
      </c>
      <c r="FS164" s="1">
        <v>0</v>
      </c>
      <c r="FT164" s="1">
        <v>0</v>
      </c>
      <c r="FU164" s="1">
        <v>0</v>
      </c>
      <c r="FV164" s="1">
        <v>0</v>
      </c>
      <c r="FW164" s="1">
        <v>0</v>
      </c>
      <c r="FX164" s="1">
        <v>0</v>
      </c>
      <c r="FY164" s="1">
        <v>0</v>
      </c>
      <c r="FZ164" s="1">
        <v>0</v>
      </c>
      <c r="GA164" s="1">
        <v>0</v>
      </c>
      <c r="GB164" s="1">
        <v>0</v>
      </c>
      <c r="GC164" s="1">
        <v>100.111</v>
      </c>
      <c r="GD164" s="1">
        <v>118.952</v>
      </c>
      <c r="GE164" s="1">
        <v>98.177999999999997</v>
      </c>
      <c r="GF164" s="1">
        <v>116.224</v>
      </c>
      <c r="GG164" s="1">
        <v>100.111</v>
      </c>
      <c r="GH164" s="1">
        <v>118.952</v>
      </c>
      <c r="GI164" s="1">
        <v>98.177999999999997</v>
      </c>
      <c r="GJ164" s="1">
        <v>116.224</v>
      </c>
      <c r="GK164" s="1">
        <v>0</v>
      </c>
      <c r="GL164" s="1">
        <v>0</v>
      </c>
      <c r="GM164" s="1">
        <v>0</v>
      </c>
      <c r="GN164" s="1">
        <v>0</v>
      </c>
      <c r="GO164" s="1">
        <v>0</v>
      </c>
      <c r="GP164" s="1">
        <v>0</v>
      </c>
      <c r="GQ164" s="1">
        <v>0</v>
      </c>
      <c r="GR164" s="1">
        <v>0</v>
      </c>
      <c r="GS164" s="1">
        <v>0</v>
      </c>
      <c r="GT164" s="1">
        <v>0</v>
      </c>
      <c r="GU164" s="1">
        <v>0</v>
      </c>
      <c r="GV164" s="1">
        <v>0</v>
      </c>
      <c r="GW164" s="1">
        <v>0</v>
      </c>
      <c r="GX164" s="1">
        <v>0</v>
      </c>
      <c r="GY164" s="1">
        <v>0</v>
      </c>
      <c r="GZ164" s="1">
        <v>0</v>
      </c>
      <c r="HA164" s="1">
        <v>0</v>
      </c>
      <c r="HB164" s="1">
        <v>0</v>
      </c>
      <c r="HC164" s="1">
        <v>0</v>
      </c>
      <c r="HD164" s="1">
        <v>0</v>
      </c>
      <c r="HE164" s="1">
        <v>0</v>
      </c>
      <c r="HF164" s="1">
        <v>0</v>
      </c>
      <c r="HG164" s="1">
        <v>0</v>
      </c>
      <c r="HH164" s="1">
        <v>0</v>
      </c>
      <c r="HI164" s="1">
        <v>0</v>
      </c>
      <c r="HJ164" s="1">
        <v>0</v>
      </c>
      <c r="HK164" s="1">
        <v>0</v>
      </c>
      <c r="HL164" s="1">
        <v>0</v>
      </c>
      <c r="HM164" s="1">
        <v>0</v>
      </c>
      <c r="HN164" s="1">
        <v>0</v>
      </c>
      <c r="HO164" s="1">
        <v>0</v>
      </c>
      <c r="HP164" s="1">
        <v>0</v>
      </c>
      <c r="HQ164" s="1">
        <v>0</v>
      </c>
      <c r="HR164" s="1">
        <v>0</v>
      </c>
      <c r="HS164" s="1">
        <v>0</v>
      </c>
      <c r="HT164" s="1">
        <v>0</v>
      </c>
      <c r="HU164" s="1">
        <v>0</v>
      </c>
      <c r="HV164" s="1">
        <v>0</v>
      </c>
      <c r="HW164" s="1">
        <v>0</v>
      </c>
      <c r="HX164" s="1">
        <v>0</v>
      </c>
      <c r="HY164" s="1">
        <v>0</v>
      </c>
      <c r="HZ164" s="1">
        <v>0</v>
      </c>
      <c r="IA164" s="1">
        <v>0</v>
      </c>
      <c r="IB164" s="1">
        <v>0</v>
      </c>
      <c r="IC164" s="1">
        <v>0</v>
      </c>
      <c r="ID164" s="1">
        <v>0</v>
      </c>
      <c r="IE164" s="1">
        <v>0</v>
      </c>
      <c r="IF164" s="1">
        <v>0</v>
      </c>
      <c r="IG164" s="1">
        <v>0</v>
      </c>
      <c r="IH164" s="1">
        <v>0</v>
      </c>
      <c r="II164" s="1">
        <v>0</v>
      </c>
      <c r="IJ164" s="1">
        <v>0</v>
      </c>
      <c r="IK164" s="1">
        <v>0</v>
      </c>
      <c r="IL164" s="1">
        <v>0</v>
      </c>
      <c r="IM164" s="1">
        <v>0</v>
      </c>
      <c r="IN164" s="1">
        <v>0</v>
      </c>
      <c r="IO164" s="1">
        <v>0</v>
      </c>
      <c r="IP164" s="1">
        <v>0</v>
      </c>
      <c r="IQ164" s="1">
        <v>0</v>
      </c>
      <c r="IR164" s="1">
        <v>603.29999999999995</v>
      </c>
      <c r="IS164" s="1">
        <v>0</v>
      </c>
      <c r="IT164" s="1">
        <v>0</v>
      </c>
      <c r="IU164" s="1">
        <v>0</v>
      </c>
      <c r="IV164" s="1">
        <v>603.29999999999995</v>
      </c>
      <c r="IW164" s="1">
        <v>0</v>
      </c>
      <c r="IX164" s="1">
        <v>0</v>
      </c>
      <c r="IY164" s="1">
        <v>0</v>
      </c>
      <c r="IZ164" s="1">
        <v>0</v>
      </c>
      <c r="JA164" s="1">
        <v>0</v>
      </c>
      <c r="JB164" s="1">
        <v>0</v>
      </c>
      <c r="JC164" s="1">
        <v>0</v>
      </c>
      <c r="JD164" s="1">
        <v>0</v>
      </c>
      <c r="JE164" s="1">
        <v>0</v>
      </c>
      <c r="JF164" s="1">
        <v>0</v>
      </c>
      <c r="JG164" s="1">
        <v>0</v>
      </c>
      <c r="JH164" s="1">
        <v>0</v>
      </c>
      <c r="JI164" s="1">
        <v>0</v>
      </c>
      <c r="JJ164" s="1">
        <v>0</v>
      </c>
      <c r="JK164" s="1">
        <v>0</v>
      </c>
      <c r="JL164" s="1">
        <v>0</v>
      </c>
      <c r="JM164" s="1">
        <v>0</v>
      </c>
      <c r="JN164" s="1">
        <v>0</v>
      </c>
      <c r="JO164" s="1">
        <v>0</v>
      </c>
      <c r="JP164" s="1">
        <v>0</v>
      </c>
      <c r="JQ164" s="9"/>
      <c r="JR164" s="1">
        <f t="shared" si="38"/>
        <v>1112.20236</v>
      </c>
      <c r="JS164" s="1">
        <f t="shared" si="38"/>
        <v>868.76792999999896</v>
      </c>
      <c r="JT164" s="1">
        <f t="shared" si="38"/>
        <v>99.861930000000115</v>
      </c>
      <c r="JU164" s="1">
        <f t="shared" si="36"/>
        <v>189.43200000000061</v>
      </c>
      <c r="JV164" s="1">
        <f t="shared" si="39"/>
        <v>205.96340000000001</v>
      </c>
      <c r="JW164" s="1">
        <f t="shared" si="39"/>
        <v>160.88294999999982</v>
      </c>
      <c r="JX164" s="1">
        <f t="shared" si="39"/>
        <v>18.492950000000018</v>
      </c>
      <c r="JY164" s="1">
        <f t="shared" si="37"/>
        <v>35.080000000000112</v>
      </c>
    </row>
    <row r="165" spans="1:285" x14ac:dyDescent="0.35">
      <c r="A165" s="2" t="s">
        <v>172</v>
      </c>
      <c r="B165" s="1">
        <v>100978</v>
      </c>
      <c r="C165" s="1">
        <v>102294</v>
      </c>
      <c r="D165" s="1">
        <v>103824</v>
      </c>
      <c r="E165" s="1">
        <v>104862</v>
      </c>
      <c r="F165" s="1">
        <v>29477.87</v>
      </c>
      <c r="G165" s="1">
        <v>40352.269999999997</v>
      </c>
      <c r="H165" s="1">
        <v>49720.783000000003</v>
      </c>
      <c r="I165" s="1">
        <v>31425.838</v>
      </c>
      <c r="J165" s="1">
        <f t="shared" si="40"/>
        <v>17691.979999999996</v>
      </c>
      <c r="K165" s="1">
        <f t="shared" si="41"/>
        <v>26264.870000000003</v>
      </c>
      <c r="L165" s="1">
        <f t="shared" si="42"/>
        <v>35117.01</v>
      </c>
      <c r="M165" s="1">
        <f t="shared" si="43"/>
        <v>18465.314000000002</v>
      </c>
      <c r="N165" s="1">
        <f t="shared" si="44"/>
        <v>11785.890000000003</v>
      </c>
      <c r="O165" s="1">
        <f t="shared" si="45"/>
        <v>14087.399999999994</v>
      </c>
      <c r="P165" s="1">
        <f t="shared" si="46"/>
        <v>14603.773000000001</v>
      </c>
      <c r="Q165" s="1">
        <f t="shared" si="47"/>
        <v>12960.523999999998</v>
      </c>
      <c r="R165" s="1">
        <v>0</v>
      </c>
      <c r="S165" s="1">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1">
        <v>0</v>
      </c>
      <c r="AJ165" s="1">
        <v>0</v>
      </c>
      <c r="AK165" s="1">
        <v>0</v>
      </c>
      <c r="AL165" s="1">
        <v>0</v>
      </c>
      <c r="AM165" s="1">
        <v>0</v>
      </c>
      <c r="AN165" s="1">
        <v>0</v>
      </c>
      <c r="AO165" s="1">
        <v>0</v>
      </c>
      <c r="AP165" s="1">
        <v>8977.93</v>
      </c>
      <c r="AQ165" s="1">
        <v>9396.3000000000011</v>
      </c>
      <c r="AR165" s="1">
        <v>7778.3900000000012</v>
      </c>
      <c r="AS165" s="1">
        <v>10369.42</v>
      </c>
      <c r="AT165" s="1">
        <v>5544.67</v>
      </c>
      <c r="AU165" s="1">
        <v>0</v>
      </c>
      <c r="AV165" s="1">
        <v>0</v>
      </c>
      <c r="AW165" s="1">
        <v>0</v>
      </c>
      <c r="AX165" s="1">
        <v>4969.5000000000009</v>
      </c>
      <c r="AY165" s="1">
        <v>0</v>
      </c>
      <c r="AZ165" s="1">
        <v>0</v>
      </c>
      <c r="BA165" s="1">
        <v>0</v>
      </c>
      <c r="BB165" s="1">
        <v>7778.3900000000012</v>
      </c>
      <c r="BC165" s="1">
        <v>0</v>
      </c>
      <c r="BD165" s="1">
        <v>0</v>
      </c>
      <c r="BE165" s="1">
        <v>10369.42</v>
      </c>
      <c r="BF165" s="1">
        <v>0</v>
      </c>
      <c r="BG165" s="1">
        <v>0</v>
      </c>
      <c r="BH165" s="1">
        <v>0</v>
      </c>
      <c r="BI165" s="1">
        <v>0</v>
      </c>
      <c r="BJ165" s="1">
        <v>0</v>
      </c>
      <c r="BK165" s="1">
        <v>3433.26</v>
      </c>
      <c r="BL165" s="1">
        <v>0</v>
      </c>
      <c r="BM165" s="1">
        <v>0</v>
      </c>
      <c r="BN165" s="1">
        <v>4426.8</v>
      </c>
      <c r="BO165" s="1">
        <v>0</v>
      </c>
      <c r="BP165" s="1">
        <v>0</v>
      </c>
      <c r="BQ165" s="1">
        <v>0</v>
      </c>
      <c r="BR165" s="1">
        <v>0</v>
      </c>
      <c r="BS165" s="1">
        <v>0</v>
      </c>
      <c r="BT165" s="1">
        <v>0</v>
      </c>
      <c r="BU165" s="1">
        <v>3060.7</v>
      </c>
      <c r="BV165" s="1">
        <v>5389.5</v>
      </c>
      <c r="BW165" s="1">
        <v>7806.6059999999998</v>
      </c>
      <c r="BX165" s="1">
        <v>2756.7750000000001</v>
      </c>
      <c r="BY165" s="1">
        <v>3060.7</v>
      </c>
      <c r="BZ165" s="1">
        <v>5389.5</v>
      </c>
      <c r="CA165" s="1">
        <v>7806.6059999999998</v>
      </c>
      <c r="CB165" s="1">
        <v>2652.4949999999999</v>
      </c>
      <c r="CC165" s="1">
        <v>0</v>
      </c>
      <c r="CD165" s="1">
        <v>0</v>
      </c>
      <c r="CE165" s="1">
        <v>0</v>
      </c>
      <c r="CF165" s="1">
        <v>104.28</v>
      </c>
      <c r="CG165" s="1">
        <v>0</v>
      </c>
      <c r="CH165" s="1">
        <v>0</v>
      </c>
      <c r="CI165" s="1">
        <v>0</v>
      </c>
      <c r="CJ165" s="1">
        <v>0</v>
      </c>
      <c r="CK165" s="1">
        <v>0</v>
      </c>
      <c r="CL165" s="1">
        <v>0</v>
      </c>
      <c r="CM165" s="1">
        <v>0</v>
      </c>
      <c r="CN165" s="1">
        <v>0</v>
      </c>
      <c r="CO165" s="1">
        <v>0</v>
      </c>
      <c r="CP165" s="1">
        <v>0</v>
      </c>
      <c r="CQ165" s="1">
        <v>0</v>
      </c>
      <c r="CR165" s="1">
        <v>0</v>
      </c>
      <c r="CS165" s="1">
        <v>414.16</v>
      </c>
      <c r="CT165" s="1">
        <v>3941.440000000001</v>
      </c>
      <c r="CU165" s="1">
        <v>8472.8950000000004</v>
      </c>
      <c r="CV165" s="1">
        <v>727.70699999999999</v>
      </c>
      <c r="CW165" s="1">
        <v>414.16</v>
      </c>
      <c r="CX165" s="1">
        <v>3941.440000000001</v>
      </c>
      <c r="CY165" s="1">
        <v>8472.8950000000004</v>
      </c>
      <c r="CZ165" s="1">
        <v>727.70699999999999</v>
      </c>
      <c r="DA165" s="1">
        <v>0</v>
      </c>
      <c r="DB165" s="1">
        <v>0</v>
      </c>
      <c r="DC165" s="1">
        <v>0</v>
      </c>
      <c r="DD165" s="1">
        <v>0</v>
      </c>
      <c r="DE165" s="1">
        <v>0</v>
      </c>
      <c r="DF165" s="1">
        <v>0</v>
      </c>
      <c r="DG165" s="1">
        <v>0</v>
      </c>
      <c r="DH165" s="1">
        <v>0</v>
      </c>
      <c r="DI165" s="1">
        <v>0</v>
      </c>
      <c r="DJ165" s="1">
        <v>0</v>
      </c>
      <c r="DK165" s="1">
        <v>0</v>
      </c>
      <c r="DL165" s="1">
        <v>0</v>
      </c>
      <c r="DM165" s="1">
        <v>3539.56</v>
      </c>
      <c r="DN165" s="1">
        <v>3385.85</v>
      </c>
      <c r="DO165" s="1">
        <v>4226.7939999999999</v>
      </c>
      <c r="DP165" s="1">
        <v>3431.067</v>
      </c>
      <c r="DQ165" s="1">
        <v>3539.56</v>
      </c>
      <c r="DR165" s="1">
        <v>3385.85</v>
      </c>
      <c r="DS165" s="1">
        <v>4226.7939999999999</v>
      </c>
      <c r="DT165" s="1">
        <v>3431.067</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943.58999999999992</v>
      </c>
      <c r="EL165" s="1">
        <v>3327.22</v>
      </c>
      <c r="EM165" s="1">
        <v>6102.6170000000002</v>
      </c>
      <c r="EN165" s="1">
        <v>745.3649999999999</v>
      </c>
      <c r="EO165" s="1">
        <v>943.58999999999992</v>
      </c>
      <c r="EP165" s="1">
        <v>3327.22</v>
      </c>
      <c r="EQ165" s="1">
        <v>6102.6170000000002</v>
      </c>
      <c r="ER165" s="1">
        <v>745.3649999999999</v>
      </c>
      <c r="ES165" s="1">
        <v>0</v>
      </c>
      <c r="ET165" s="1">
        <v>0</v>
      </c>
      <c r="EU165" s="1">
        <v>0</v>
      </c>
      <c r="EV165" s="1">
        <v>0</v>
      </c>
      <c r="EW165" s="1">
        <v>0</v>
      </c>
      <c r="EX165" s="1">
        <v>0</v>
      </c>
      <c r="EY165" s="1">
        <v>0</v>
      </c>
      <c r="EZ165" s="1">
        <v>0</v>
      </c>
      <c r="FA165" s="1">
        <v>0</v>
      </c>
      <c r="FB165" s="1">
        <v>0</v>
      </c>
      <c r="FC165" s="1">
        <v>0</v>
      </c>
      <c r="FD165" s="1">
        <v>0</v>
      </c>
      <c r="FE165" s="1">
        <v>14.76</v>
      </c>
      <c r="FF165" s="1">
        <v>10.74</v>
      </c>
      <c r="FG165" s="1">
        <v>8.6479999999999997</v>
      </c>
      <c r="FH165" s="1">
        <v>2.3860000000000001</v>
      </c>
      <c r="FI165" s="1">
        <v>0</v>
      </c>
      <c r="FJ165" s="1">
        <v>0</v>
      </c>
      <c r="FK165" s="1">
        <v>0</v>
      </c>
      <c r="FL165" s="1">
        <v>2.3860000000000001</v>
      </c>
      <c r="FM165" s="1">
        <v>14.76</v>
      </c>
      <c r="FN165" s="1">
        <v>10.74</v>
      </c>
      <c r="FO165" s="1">
        <v>8.6479999999999997</v>
      </c>
      <c r="FP165" s="1">
        <v>0</v>
      </c>
      <c r="FQ165" s="1">
        <v>0</v>
      </c>
      <c r="FR165" s="1">
        <v>0</v>
      </c>
      <c r="FS165" s="1">
        <v>0</v>
      </c>
      <c r="FT165" s="1">
        <v>0</v>
      </c>
      <c r="FU165" s="1">
        <v>0</v>
      </c>
      <c r="FV165" s="1">
        <v>0</v>
      </c>
      <c r="FW165" s="1">
        <v>0</v>
      </c>
      <c r="FX165" s="1">
        <v>0</v>
      </c>
      <c r="FY165" s="1">
        <v>0</v>
      </c>
      <c r="FZ165" s="1">
        <v>0</v>
      </c>
      <c r="GA165" s="1">
        <v>0</v>
      </c>
      <c r="GB165" s="1">
        <v>0</v>
      </c>
      <c r="GC165" s="1">
        <v>62.18</v>
      </c>
      <c r="GD165" s="1">
        <v>61.84</v>
      </c>
      <c r="GE165" s="1">
        <v>44.21</v>
      </c>
      <c r="GF165" s="1">
        <v>44.38</v>
      </c>
      <c r="GG165" s="1">
        <v>62.18</v>
      </c>
      <c r="GH165" s="1">
        <v>61.84</v>
      </c>
      <c r="GI165" s="1">
        <v>44.21</v>
      </c>
      <c r="GJ165" s="1">
        <v>44.38</v>
      </c>
      <c r="GK165" s="1">
        <v>0</v>
      </c>
      <c r="GL165" s="1">
        <v>0</v>
      </c>
      <c r="GM165" s="1">
        <v>0</v>
      </c>
      <c r="GN165" s="1">
        <v>0</v>
      </c>
      <c r="GO165" s="1">
        <v>0</v>
      </c>
      <c r="GP165" s="1">
        <v>0</v>
      </c>
      <c r="GQ165" s="1">
        <v>0</v>
      </c>
      <c r="GR165" s="1">
        <v>0</v>
      </c>
      <c r="GS165" s="1">
        <v>0</v>
      </c>
      <c r="GT165" s="1">
        <v>0</v>
      </c>
      <c r="GU165" s="1">
        <v>0</v>
      </c>
      <c r="GV165" s="1">
        <v>0</v>
      </c>
      <c r="GW165" s="1">
        <v>0</v>
      </c>
      <c r="GX165" s="1">
        <v>0</v>
      </c>
      <c r="GY165" s="1">
        <v>0</v>
      </c>
      <c r="GZ165" s="1">
        <v>0</v>
      </c>
      <c r="HA165" s="1">
        <v>0</v>
      </c>
      <c r="HB165" s="1">
        <v>0</v>
      </c>
      <c r="HC165" s="1">
        <v>0</v>
      </c>
      <c r="HD165" s="1">
        <v>0</v>
      </c>
      <c r="HE165" s="1">
        <v>0</v>
      </c>
      <c r="HF165" s="1">
        <v>0</v>
      </c>
      <c r="HG165" s="1">
        <v>0</v>
      </c>
      <c r="HH165" s="1">
        <v>0</v>
      </c>
      <c r="HI165" s="1">
        <v>0</v>
      </c>
      <c r="HJ165" s="1">
        <v>0</v>
      </c>
      <c r="HK165" s="1">
        <v>0</v>
      </c>
      <c r="HL165" s="1">
        <v>0</v>
      </c>
      <c r="HM165" s="1">
        <v>0</v>
      </c>
      <c r="HN165" s="1">
        <v>0</v>
      </c>
      <c r="HO165" s="1">
        <v>0</v>
      </c>
      <c r="HP165" s="1">
        <v>0</v>
      </c>
      <c r="HQ165" s="1">
        <v>0</v>
      </c>
      <c r="HR165" s="1">
        <v>0</v>
      </c>
      <c r="HS165" s="1">
        <v>0</v>
      </c>
      <c r="HT165" s="1">
        <v>0</v>
      </c>
      <c r="HU165" s="1">
        <v>0</v>
      </c>
      <c r="HV165" s="1">
        <v>0</v>
      </c>
      <c r="HW165" s="1">
        <v>0</v>
      </c>
      <c r="HX165" s="1">
        <v>0</v>
      </c>
      <c r="HY165" s="1">
        <v>0</v>
      </c>
      <c r="HZ165" s="1">
        <v>0</v>
      </c>
      <c r="IA165" s="1">
        <v>0</v>
      </c>
      <c r="IB165" s="1">
        <v>0</v>
      </c>
      <c r="IC165" s="1">
        <v>0</v>
      </c>
      <c r="ID165" s="1">
        <v>0</v>
      </c>
      <c r="IE165" s="1">
        <v>0</v>
      </c>
      <c r="IF165" s="1">
        <v>0</v>
      </c>
      <c r="IG165" s="1">
        <v>0</v>
      </c>
      <c r="IH165" s="1">
        <v>0</v>
      </c>
      <c r="II165" s="1">
        <v>0</v>
      </c>
      <c r="IJ165" s="1">
        <v>0</v>
      </c>
      <c r="IK165" s="1">
        <v>0</v>
      </c>
      <c r="IL165" s="1">
        <v>0</v>
      </c>
      <c r="IM165" s="1">
        <v>0</v>
      </c>
      <c r="IN165" s="1">
        <v>0</v>
      </c>
      <c r="IO165" s="1">
        <v>679.09999999999991</v>
      </c>
      <c r="IP165" s="1">
        <v>751.9799999999999</v>
      </c>
      <c r="IQ165" s="1">
        <v>676.84999999999991</v>
      </c>
      <c r="IR165" s="1">
        <v>388.214</v>
      </c>
      <c r="IS165" s="1">
        <v>679.09999999999991</v>
      </c>
      <c r="IT165" s="1">
        <v>751.9799999999999</v>
      </c>
      <c r="IU165" s="1">
        <v>676.84999999999991</v>
      </c>
      <c r="IV165" s="1">
        <v>388.214</v>
      </c>
      <c r="IW165" s="1">
        <v>0</v>
      </c>
      <c r="IX165" s="1">
        <v>0</v>
      </c>
      <c r="IY165" s="1">
        <v>0</v>
      </c>
      <c r="IZ165" s="1">
        <v>0</v>
      </c>
      <c r="JA165" s="1">
        <v>0</v>
      </c>
      <c r="JB165" s="1">
        <v>0</v>
      </c>
      <c r="JC165" s="1">
        <v>0</v>
      </c>
      <c r="JD165" s="1">
        <v>0</v>
      </c>
      <c r="JE165" s="1">
        <v>0</v>
      </c>
      <c r="JF165" s="1">
        <v>0</v>
      </c>
      <c r="JG165" s="1">
        <v>0</v>
      </c>
      <c r="JH165" s="1">
        <v>0</v>
      </c>
      <c r="JI165" s="1">
        <v>0</v>
      </c>
      <c r="JJ165" s="1">
        <v>0</v>
      </c>
      <c r="JK165" s="1">
        <v>0</v>
      </c>
      <c r="JL165" s="1">
        <v>0</v>
      </c>
      <c r="JM165" s="1">
        <v>0</v>
      </c>
      <c r="JN165" s="1">
        <v>0</v>
      </c>
      <c r="JO165" s="1">
        <v>0</v>
      </c>
      <c r="JP165" s="1">
        <v>0</v>
      </c>
      <c r="JQ165" s="9"/>
      <c r="JR165" s="1">
        <f t="shared" si="38"/>
        <v>3182.1903000000011</v>
      </c>
      <c r="JS165" s="1">
        <f t="shared" si="38"/>
        <v>3803.5979999999986</v>
      </c>
      <c r="JT165" s="1">
        <f t="shared" si="38"/>
        <v>3943.0187100000007</v>
      </c>
      <c r="JU165" s="1">
        <f t="shared" si="36"/>
        <v>3499.3414799999996</v>
      </c>
      <c r="JV165" s="1">
        <f t="shared" si="39"/>
        <v>589.2945000000002</v>
      </c>
      <c r="JW165" s="1">
        <f t="shared" si="39"/>
        <v>704.36999999999978</v>
      </c>
      <c r="JX165" s="1">
        <f t="shared" si="39"/>
        <v>730.18865000000005</v>
      </c>
      <c r="JY165" s="1">
        <f t="shared" si="37"/>
        <v>648.0261999999999</v>
      </c>
    </row>
    <row r="166" spans="1:285" x14ac:dyDescent="0.35">
      <c r="A166" s="2" t="s">
        <v>173</v>
      </c>
      <c r="B166" s="1">
        <v>157313</v>
      </c>
      <c r="C166" s="1">
        <v>157188</v>
      </c>
      <c r="D166" s="1">
        <v>157842</v>
      </c>
      <c r="E166" s="1">
        <v>158663</v>
      </c>
      <c r="F166" s="1">
        <v>129649.693</v>
      </c>
      <c r="G166" s="1">
        <v>136406.924</v>
      </c>
      <c r="H166" s="1">
        <v>129441.395</v>
      </c>
      <c r="I166" s="1">
        <v>129076.939</v>
      </c>
      <c r="J166" s="1">
        <f t="shared" si="40"/>
        <v>28216.357</v>
      </c>
      <c r="K166" s="1">
        <f t="shared" si="41"/>
        <v>34128.301999999989</v>
      </c>
      <c r="L166" s="1">
        <f t="shared" si="42"/>
        <v>31893.712</v>
      </c>
      <c r="M166" s="1">
        <f t="shared" si="43"/>
        <v>31153.697</v>
      </c>
      <c r="N166" s="1">
        <f t="shared" si="44"/>
        <v>101433.336</v>
      </c>
      <c r="O166" s="1">
        <f t="shared" si="45"/>
        <v>102278.622</v>
      </c>
      <c r="P166" s="1">
        <f t="shared" si="46"/>
        <v>97547.683000000005</v>
      </c>
      <c r="Q166" s="1">
        <f t="shared" si="47"/>
        <v>97923.241999999998</v>
      </c>
      <c r="R166" s="1">
        <v>0</v>
      </c>
      <c r="S166" s="1">
        <v>0</v>
      </c>
      <c r="T166" s="1">
        <v>1608.35</v>
      </c>
      <c r="U166" s="1">
        <v>194.26</v>
      </c>
      <c r="V166" s="1">
        <v>0</v>
      </c>
      <c r="W166" s="1">
        <v>0</v>
      </c>
      <c r="X166" s="1">
        <v>0</v>
      </c>
      <c r="Y166" s="1">
        <v>0</v>
      </c>
      <c r="Z166" s="1">
        <v>0</v>
      </c>
      <c r="AA166" s="1">
        <v>0</v>
      </c>
      <c r="AB166" s="1">
        <v>0</v>
      </c>
      <c r="AC166" s="1">
        <v>0</v>
      </c>
      <c r="AD166" s="1">
        <v>1608.35</v>
      </c>
      <c r="AE166" s="1">
        <v>0</v>
      </c>
      <c r="AF166" s="1">
        <v>0</v>
      </c>
      <c r="AG166" s="1">
        <v>194.26</v>
      </c>
      <c r="AH166" s="1">
        <v>0</v>
      </c>
      <c r="AI166" s="1">
        <v>0</v>
      </c>
      <c r="AJ166" s="1">
        <v>0</v>
      </c>
      <c r="AK166" s="1">
        <v>0</v>
      </c>
      <c r="AL166" s="1">
        <v>0</v>
      </c>
      <c r="AM166" s="1">
        <v>0</v>
      </c>
      <c r="AN166" s="1">
        <v>0</v>
      </c>
      <c r="AO166" s="1">
        <v>0</v>
      </c>
      <c r="AP166" s="1">
        <v>10658.19</v>
      </c>
      <c r="AQ166" s="1">
        <v>10958.9</v>
      </c>
      <c r="AR166" s="1">
        <v>9210.4199999999983</v>
      </c>
      <c r="AS166" s="1">
        <v>10334.18</v>
      </c>
      <c r="AT166" s="1">
        <v>0</v>
      </c>
      <c r="AU166" s="1">
        <v>10658.19</v>
      </c>
      <c r="AV166" s="1">
        <v>0</v>
      </c>
      <c r="AW166" s="1">
        <v>0</v>
      </c>
      <c r="AX166" s="1">
        <v>0</v>
      </c>
      <c r="AY166" s="1">
        <v>10958.9</v>
      </c>
      <c r="AZ166" s="1">
        <v>0</v>
      </c>
      <c r="BA166" s="1">
        <v>0</v>
      </c>
      <c r="BB166" s="1">
        <v>0</v>
      </c>
      <c r="BC166" s="1">
        <v>9210.4199999999983</v>
      </c>
      <c r="BD166" s="1">
        <v>0</v>
      </c>
      <c r="BE166" s="1">
        <v>0</v>
      </c>
      <c r="BF166" s="1">
        <v>10334.18</v>
      </c>
      <c r="BG166" s="1">
        <v>0</v>
      </c>
      <c r="BH166" s="1">
        <v>0</v>
      </c>
      <c r="BI166" s="1">
        <v>0</v>
      </c>
      <c r="BJ166" s="1">
        <v>0</v>
      </c>
      <c r="BK166" s="1">
        <v>0</v>
      </c>
      <c r="BL166" s="1">
        <v>0</v>
      </c>
      <c r="BM166" s="1">
        <v>0</v>
      </c>
      <c r="BN166" s="1">
        <v>0</v>
      </c>
      <c r="BO166" s="1">
        <v>0</v>
      </c>
      <c r="BP166" s="1">
        <v>0</v>
      </c>
      <c r="BQ166" s="1">
        <v>0</v>
      </c>
      <c r="BR166" s="1">
        <v>0</v>
      </c>
      <c r="BS166" s="1">
        <v>0</v>
      </c>
      <c r="BT166" s="1">
        <v>0</v>
      </c>
      <c r="BU166" s="1">
        <v>4411.4539999999997</v>
      </c>
      <c r="BV166" s="1">
        <v>5413.7020000000002</v>
      </c>
      <c r="BW166" s="1">
        <v>5197.067</v>
      </c>
      <c r="BX166" s="1">
        <v>4614.5159999999996</v>
      </c>
      <c r="BY166" s="1">
        <v>4411.4539999999997</v>
      </c>
      <c r="BZ166" s="1">
        <v>5413.7020000000002</v>
      </c>
      <c r="CA166" s="1">
        <v>5197.067</v>
      </c>
      <c r="CB166" s="1">
        <v>4614.5159999999996</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2155.6770000000001</v>
      </c>
      <c r="CT166" s="1">
        <v>2147.0830000000001</v>
      </c>
      <c r="CU166" s="1">
        <v>2405.3919999999998</v>
      </c>
      <c r="CV166" s="1">
        <v>3146.4839999999999</v>
      </c>
      <c r="CW166" s="1">
        <v>2155.6770000000001</v>
      </c>
      <c r="CX166" s="1">
        <v>2147.0830000000001</v>
      </c>
      <c r="CY166" s="1">
        <v>2405.3919999999998</v>
      </c>
      <c r="CZ166" s="1">
        <v>3146.4839999999999</v>
      </c>
      <c r="DA166" s="1">
        <v>0</v>
      </c>
      <c r="DB166" s="1">
        <v>0</v>
      </c>
      <c r="DC166" s="1">
        <v>0</v>
      </c>
      <c r="DD166" s="1">
        <v>0</v>
      </c>
      <c r="DE166" s="1">
        <v>0</v>
      </c>
      <c r="DF166" s="1">
        <v>0</v>
      </c>
      <c r="DG166" s="1">
        <v>0</v>
      </c>
      <c r="DH166" s="1">
        <v>0</v>
      </c>
      <c r="DI166" s="1">
        <v>0</v>
      </c>
      <c r="DJ166" s="1">
        <v>0</v>
      </c>
      <c r="DK166" s="1">
        <v>0</v>
      </c>
      <c r="DL166" s="1">
        <v>0</v>
      </c>
      <c r="DM166" s="1">
        <v>4105.5870000000004</v>
      </c>
      <c r="DN166" s="1">
        <v>4271.2420000000002</v>
      </c>
      <c r="DO166" s="1">
        <v>3938.6709999999998</v>
      </c>
      <c r="DP166" s="1">
        <v>3532.1489999999999</v>
      </c>
      <c r="DQ166" s="1">
        <v>4105.5870000000004</v>
      </c>
      <c r="DR166" s="1">
        <v>4271.2420000000002</v>
      </c>
      <c r="DS166" s="1">
        <v>3938.6709999999998</v>
      </c>
      <c r="DT166" s="1">
        <v>3532.1489999999999</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2649.4160000000002</v>
      </c>
      <c r="EL166" s="1">
        <v>5257.0290000000005</v>
      </c>
      <c r="EM166" s="1">
        <v>2459.386</v>
      </c>
      <c r="EN166" s="1">
        <v>2356.4560000000001</v>
      </c>
      <c r="EO166" s="1">
        <v>2649.4160000000002</v>
      </c>
      <c r="EP166" s="1">
        <v>2917.8290000000002</v>
      </c>
      <c r="EQ166" s="1">
        <v>2459.386</v>
      </c>
      <c r="ER166" s="1">
        <v>2356.4560000000001</v>
      </c>
      <c r="ES166" s="1">
        <v>0</v>
      </c>
      <c r="ET166" s="1">
        <v>2339.1999999999998</v>
      </c>
      <c r="EU166" s="1">
        <v>0</v>
      </c>
      <c r="EV166" s="1">
        <v>0</v>
      </c>
      <c r="EW166" s="1">
        <v>0</v>
      </c>
      <c r="EX166" s="1">
        <v>0</v>
      </c>
      <c r="EY166" s="1">
        <v>0</v>
      </c>
      <c r="EZ166" s="1">
        <v>0</v>
      </c>
      <c r="FA166" s="1">
        <v>0</v>
      </c>
      <c r="FB166" s="1">
        <v>0</v>
      </c>
      <c r="FC166" s="1">
        <v>0</v>
      </c>
      <c r="FD166" s="1">
        <v>0</v>
      </c>
      <c r="FE166" s="1">
        <v>122.913</v>
      </c>
      <c r="FF166" s="1">
        <v>148.226</v>
      </c>
      <c r="FG166" s="1">
        <v>60.215999999999987</v>
      </c>
      <c r="FH166" s="1">
        <v>8.2620000000000005</v>
      </c>
      <c r="FI166" s="1">
        <v>122.913</v>
      </c>
      <c r="FJ166" s="1">
        <v>148.226</v>
      </c>
      <c r="FK166" s="1">
        <v>60.215999999999987</v>
      </c>
      <c r="FL166" s="1">
        <v>8.2620000000000005</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v>0</v>
      </c>
      <c r="GC166" s="1">
        <v>1328.04</v>
      </c>
      <c r="GD166" s="1">
        <v>1497.01</v>
      </c>
      <c r="GE166" s="1">
        <v>1474.27</v>
      </c>
      <c r="GF166" s="1">
        <v>1473.9</v>
      </c>
      <c r="GG166" s="1">
        <v>1328.04</v>
      </c>
      <c r="GH166" s="1">
        <v>1497.01</v>
      </c>
      <c r="GI166" s="1">
        <v>1474.27</v>
      </c>
      <c r="GJ166" s="1">
        <v>1473.9</v>
      </c>
      <c r="GK166" s="1">
        <v>0</v>
      </c>
      <c r="GL166" s="1">
        <v>0</v>
      </c>
      <c r="GM166" s="1">
        <v>0</v>
      </c>
      <c r="GN166" s="1">
        <v>0</v>
      </c>
      <c r="GO166" s="1">
        <v>0</v>
      </c>
      <c r="GP166" s="1">
        <v>0</v>
      </c>
      <c r="GQ166" s="1">
        <v>0</v>
      </c>
      <c r="GR166" s="1">
        <v>0</v>
      </c>
      <c r="GS166" s="1">
        <v>0</v>
      </c>
      <c r="GT166" s="1">
        <v>0</v>
      </c>
      <c r="GU166" s="1">
        <v>0</v>
      </c>
      <c r="GV166" s="1">
        <v>0</v>
      </c>
      <c r="GW166" s="1">
        <v>0</v>
      </c>
      <c r="GX166" s="1">
        <v>0</v>
      </c>
      <c r="GY166" s="1">
        <v>0</v>
      </c>
      <c r="GZ166" s="1">
        <v>0</v>
      </c>
      <c r="HA166" s="1">
        <v>0</v>
      </c>
      <c r="HB166" s="1">
        <v>0</v>
      </c>
      <c r="HC166" s="1">
        <v>0</v>
      </c>
      <c r="HD166" s="1">
        <v>0</v>
      </c>
      <c r="HE166" s="1">
        <v>2139.1</v>
      </c>
      <c r="HF166" s="1">
        <v>3888.34</v>
      </c>
      <c r="HG166" s="1">
        <v>4886.7199999999993</v>
      </c>
      <c r="HH166" s="1">
        <v>4738.0200000000004</v>
      </c>
      <c r="HI166" s="1">
        <v>1721.5</v>
      </c>
      <c r="HJ166" s="1">
        <v>3584.46</v>
      </c>
      <c r="HK166" s="1">
        <v>4886.7199999999993</v>
      </c>
      <c r="HL166" s="1">
        <v>4738.0200000000004</v>
      </c>
      <c r="HM166" s="1">
        <v>0</v>
      </c>
      <c r="HN166" s="1">
        <v>0</v>
      </c>
      <c r="HO166" s="1">
        <v>0</v>
      </c>
      <c r="HP166" s="1">
        <v>0</v>
      </c>
      <c r="HQ166" s="1">
        <v>0</v>
      </c>
      <c r="HR166" s="1">
        <v>0</v>
      </c>
      <c r="HS166" s="1">
        <v>0</v>
      </c>
      <c r="HT166" s="1">
        <v>0</v>
      </c>
      <c r="HU166" s="1">
        <v>417.6</v>
      </c>
      <c r="HV166" s="1">
        <v>303.88</v>
      </c>
      <c r="HW166" s="1">
        <v>0</v>
      </c>
      <c r="HX166" s="1">
        <v>0</v>
      </c>
      <c r="HY166" s="1">
        <v>0</v>
      </c>
      <c r="HZ166" s="1">
        <v>0</v>
      </c>
      <c r="IA166" s="1">
        <v>0</v>
      </c>
      <c r="IB166" s="1">
        <v>0</v>
      </c>
      <c r="IC166" s="1">
        <v>0</v>
      </c>
      <c r="ID166" s="1">
        <v>0</v>
      </c>
      <c r="IE166" s="1">
        <v>0</v>
      </c>
      <c r="IF166" s="1">
        <v>0</v>
      </c>
      <c r="IG166" s="1">
        <v>0</v>
      </c>
      <c r="IH166" s="1">
        <v>0</v>
      </c>
      <c r="II166" s="1">
        <v>0</v>
      </c>
      <c r="IJ166" s="1">
        <v>0</v>
      </c>
      <c r="IK166" s="1">
        <v>0</v>
      </c>
      <c r="IL166" s="1">
        <v>0</v>
      </c>
      <c r="IM166" s="1">
        <v>0</v>
      </c>
      <c r="IN166" s="1">
        <v>0</v>
      </c>
      <c r="IO166" s="1">
        <v>645.98</v>
      </c>
      <c r="IP166" s="1">
        <v>546.77</v>
      </c>
      <c r="IQ166" s="1">
        <v>653.21999999999991</v>
      </c>
      <c r="IR166" s="1">
        <v>755.47</v>
      </c>
      <c r="IS166" s="1">
        <v>0</v>
      </c>
      <c r="IT166" s="1">
        <v>0</v>
      </c>
      <c r="IU166" s="1">
        <v>0</v>
      </c>
      <c r="IV166" s="1">
        <v>0</v>
      </c>
      <c r="IW166" s="1">
        <v>645.98</v>
      </c>
      <c r="IX166" s="1">
        <v>546.77</v>
      </c>
      <c r="IY166" s="1">
        <v>653.21999999999991</v>
      </c>
      <c r="IZ166" s="1">
        <v>755.47</v>
      </c>
      <c r="JA166" s="1">
        <v>0</v>
      </c>
      <c r="JB166" s="1">
        <v>0</v>
      </c>
      <c r="JC166" s="1">
        <v>0</v>
      </c>
      <c r="JD166" s="1">
        <v>0</v>
      </c>
      <c r="JE166" s="1">
        <v>0</v>
      </c>
      <c r="JF166" s="1">
        <v>0</v>
      </c>
      <c r="JG166" s="1">
        <v>0</v>
      </c>
      <c r="JH166" s="1">
        <v>0</v>
      </c>
      <c r="JI166" s="1">
        <v>0</v>
      </c>
      <c r="JJ166" s="1">
        <v>0</v>
      </c>
      <c r="JK166" s="1">
        <v>0</v>
      </c>
      <c r="JL166" s="1">
        <v>0</v>
      </c>
      <c r="JM166" s="1">
        <v>0</v>
      </c>
      <c r="JN166" s="1">
        <v>0</v>
      </c>
      <c r="JO166" s="1">
        <v>0</v>
      </c>
      <c r="JP166" s="1">
        <v>0</v>
      </c>
      <c r="JQ166" s="9"/>
      <c r="JR166" s="1">
        <f t="shared" si="38"/>
        <v>27387.00072</v>
      </c>
      <c r="JS166" s="1">
        <f t="shared" si="38"/>
        <v>27615.227940000004</v>
      </c>
      <c r="JT166" s="1">
        <f t="shared" si="38"/>
        <v>26337.874410000004</v>
      </c>
      <c r="JU166" s="1">
        <f t="shared" si="36"/>
        <v>26439.27534</v>
      </c>
      <c r="JV166" s="1">
        <f t="shared" si="39"/>
        <v>5071.6668</v>
      </c>
      <c r="JW166" s="1">
        <f t="shared" si="39"/>
        <v>5113.9311000000007</v>
      </c>
      <c r="JX166" s="1">
        <f t="shared" si="39"/>
        <v>4877.3841500000008</v>
      </c>
      <c r="JY166" s="1">
        <f t="shared" si="37"/>
        <v>4896.1621000000005</v>
      </c>
    </row>
    <row r="167" spans="1:285" x14ac:dyDescent="0.35">
      <c r="A167" s="2" t="s">
        <v>174</v>
      </c>
      <c r="B167" s="1">
        <v>133054</v>
      </c>
      <c r="C167" s="1">
        <v>133583</v>
      </c>
      <c r="D167" s="1">
        <v>134255</v>
      </c>
      <c r="E167" s="1">
        <v>135752</v>
      </c>
      <c r="F167" s="1">
        <v>45778.968000000001</v>
      </c>
      <c r="G167" s="1">
        <v>47018.817000000003</v>
      </c>
      <c r="H167" s="1">
        <v>43427.928</v>
      </c>
      <c r="I167" s="1">
        <v>44752.476999999999</v>
      </c>
      <c r="J167" s="1">
        <f t="shared" si="40"/>
        <v>31717.988000000005</v>
      </c>
      <c r="K167" s="1">
        <f t="shared" si="41"/>
        <v>32693.796999999999</v>
      </c>
      <c r="L167" s="1">
        <f t="shared" si="42"/>
        <v>26126.428000000004</v>
      </c>
      <c r="M167" s="1">
        <f t="shared" si="43"/>
        <v>30992.267</v>
      </c>
      <c r="N167" s="1">
        <f t="shared" si="44"/>
        <v>14060.979999999996</v>
      </c>
      <c r="O167" s="1">
        <f t="shared" si="45"/>
        <v>14325.020000000004</v>
      </c>
      <c r="P167" s="1">
        <f t="shared" si="46"/>
        <v>17301.499999999996</v>
      </c>
      <c r="Q167" s="1">
        <f t="shared" si="47"/>
        <v>13760.21</v>
      </c>
      <c r="R167" s="1">
        <v>4202.46</v>
      </c>
      <c r="S167" s="1">
        <v>4823.3999999999996</v>
      </c>
      <c r="T167" s="1">
        <v>1886.93</v>
      </c>
      <c r="U167" s="1">
        <v>5142.66</v>
      </c>
      <c r="V167" s="1">
        <v>4202.46</v>
      </c>
      <c r="W167" s="1">
        <v>0</v>
      </c>
      <c r="X167" s="1">
        <v>0</v>
      </c>
      <c r="Y167" s="1">
        <v>4823.3999999999996</v>
      </c>
      <c r="Z167" s="1">
        <v>0</v>
      </c>
      <c r="AA167" s="1">
        <v>0</v>
      </c>
      <c r="AB167" s="1">
        <v>1886.93</v>
      </c>
      <c r="AC167" s="1">
        <v>0</v>
      </c>
      <c r="AD167" s="1">
        <v>0</v>
      </c>
      <c r="AE167" s="1">
        <v>4211.8999999999996</v>
      </c>
      <c r="AF167" s="1">
        <v>0</v>
      </c>
      <c r="AG167" s="1">
        <v>930.76</v>
      </c>
      <c r="AH167" s="1">
        <v>0</v>
      </c>
      <c r="AI167" s="1">
        <v>0</v>
      </c>
      <c r="AJ167" s="1">
        <v>0</v>
      </c>
      <c r="AK167" s="1">
        <v>0</v>
      </c>
      <c r="AL167" s="1">
        <v>0</v>
      </c>
      <c r="AM167" s="1">
        <v>0</v>
      </c>
      <c r="AN167" s="1">
        <v>0</v>
      </c>
      <c r="AO167" s="1">
        <v>0</v>
      </c>
      <c r="AP167" s="1">
        <v>9017.11</v>
      </c>
      <c r="AQ167" s="1">
        <v>10312.6</v>
      </c>
      <c r="AR167" s="1">
        <v>8440.2800000000007</v>
      </c>
      <c r="AS167" s="1">
        <v>10120.719999999999</v>
      </c>
      <c r="AT167" s="1">
        <v>9017.11</v>
      </c>
      <c r="AU167" s="1">
        <v>0</v>
      </c>
      <c r="AV167" s="1">
        <v>0</v>
      </c>
      <c r="AW167" s="1">
        <v>0</v>
      </c>
      <c r="AX167" s="1">
        <v>10312.6</v>
      </c>
      <c r="AY167" s="1">
        <v>0</v>
      </c>
      <c r="AZ167" s="1">
        <v>0</v>
      </c>
      <c r="BA167" s="1">
        <v>0</v>
      </c>
      <c r="BB167" s="1">
        <v>8440.2800000000007</v>
      </c>
      <c r="BC167" s="1">
        <v>0</v>
      </c>
      <c r="BD167" s="1">
        <v>0</v>
      </c>
      <c r="BE167" s="1">
        <v>10120.719999999999</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9741.8100000000013</v>
      </c>
      <c r="BV167" s="1">
        <v>9730.24</v>
      </c>
      <c r="BW167" s="1">
        <v>9162.92</v>
      </c>
      <c r="BX167" s="1">
        <v>8921.27</v>
      </c>
      <c r="BY167" s="1">
        <v>9741.8100000000013</v>
      </c>
      <c r="BZ167" s="1">
        <v>9730.24</v>
      </c>
      <c r="CA167" s="1">
        <v>9162.92</v>
      </c>
      <c r="CB167" s="1">
        <v>8921.27</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1806.845</v>
      </c>
      <c r="CT167" s="1">
        <v>1621.91</v>
      </c>
      <c r="CU167" s="1">
        <v>1109.77</v>
      </c>
      <c r="CV167" s="1">
        <v>1158.1400000000001</v>
      </c>
      <c r="CW167" s="1">
        <v>1806.845</v>
      </c>
      <c r="CX167" s="1">
        <v>1621.91</v>
      </c>
      <c r="CY167" s="1">
        <v>1109.77</v>
      </c>
      <c r="CZ167" s="1">
        <v>1158.1400000000001</v>
      </c>
      <c r="DA167" s="1">
        <v>0</v>
      </c>
      <c r="DB167" s="1">
        <v>0</v>
      </c>
      <c r="DC167" s="1">
        <v>0</v>
      </c>
      <c r="DD167" s="1">
        <v>0</v>
      </c>
      <c r="DE167" s="1">
        <v>0</v>
      </c>
      <c r="DF167" s="1">
        <v>0</v>
      </c>
      <c r="DG167" s="1">
        <v>0</v>
      </c>
      <c r="DH167" s="1">
        <v>0</v>
      </c>
      <c r="DI167" s="1">
        <v>0</v>
      </c>
      <c r="DJ167" s="1">
        <v>0</v>
      </c>
      <c r="DK167" s="1">
        <v>0</v>
      </c>
      <c r="DL167" s="1">
        <v>0</v>
      </c>
      <c r="DM167" s="1">
        <v>5856.9900000000007</v>
      </c>
      <c r="DN167" s="1">
        <v>5494.82</v>
      </c>
      <c r="DO167" s="1">
        <v>4943.57</v>
      </c>
      <c r="DP167" s="1">
        <v>5110.54</v>
      </c>
      <c r="DQ167" s="1">
        <v>5856.9900000000007</v>
      </c>
      <c r="DR167" s="1">
        <v>5494.82</v>
      </c>
      <c r="DS167" s="1">
        <v>4943.57</v>
      </c>
      <c r="DT167" s="1">
        <v>5110.54</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671.4</v>
      </c>
      <c r="EL167" s="1">
        <v>539.67000000000007</v>
      </c>
      <c r="EM167" s="1">
        <v>555.5</v>
      </c>
      <c r="EN167" s="1">
        <v>516.85</v>
      </c>
      <c r="EO167" s="1">
        <v>671.4</v>
      </c>
      <c r="EP167" s="1">
        <v>539.67000000000007</v>
      </c>
      <c r="EQ167" s="1">
        <v>555.5</v>
      </c>
      <c r="ER167" s="1">
        <v>516.85</v>
      </c>
      <c r="ES167" s="1">
        <v>0</v>
      </c>
      <c r="ET167" s="1">
        <v>0</v>
      </c>
      <c r="EU167" s="1">
        <v>0</v>
      </c>
      <c r="EV167" s="1">
        <v>0</v>
      </c>
      <c r="EW167" s="1">
        <v>0</v>
      </c>
      <c r="EX167" s="1">
        <v>0</v>
      </c>
      <c r="EY167" s="1">
        <v>0</v>
      </c>
      <c r="EZ167" s="1">
        <v>0</v>
      </c>
      <c r="FA167" s="1">
        <v>0</v>
      </c>
      <c r="FB167" s="1">
        <v>0</v>
      </c>
      <c r="FC167" s="1">
        <v>0</v>
      </c>
      <c r="FD167" s="1">
        <v>0</v>
      </c>
      <c r="FE167" s="1">
        <v>1.165</v>
      </c>
      <c r="FF167" s="1">
        <v>0</v>
      </c>
      <c r="FG167" s="1">
        <v>1.738</v>
      </c>
      <c r="FH167" s="1">
        <v>0</v>
      </c>
      <c r="FI167" s="1">
        <v>0.51300000000000001</v>
      </c>
      <c r="FJ167" s="1">
        <v>0</v>
      </c>
      <c r="FK167" s="1">
        <v>0.52400000000000002</v>
      </c>
      <c r="FL167" s="1">
        <v>0</v>
      </c>
      <c r="FM167" s="1">
        <v>0.65200000000000002</v>
      </c>
      <c r="FN167" s="1">
        <v>0</v>
      </c>
      <c r="FO167" s="1">
        <v>1.214</v>
      </c>
      <c r="FP167" s="1">
        <v>0</v>
      </c>
      <c r="FQ167" s="1">
        <v>0</v>
      </c>
      <c r="FR167" s="1">
        <v>0</v>
      </c>
      <c r="FS167" s="1">
        <v>0</v>
      </c>
      <c r="FT167" s="1">
        <v>0</v>
      </c>
      <c r="FU167" s="1">
        <v>0</v>
      </c>
      <c r="FV167" s="1">
        <v>0</v>
      </c>
      <c r="FW167" s="1">
        <v>0</v>
      </c>
      <c r="FX167" s="1">
        <v>0</v>
      </c>
      <c r="FY167" s="1">
        <v>0</v>
      </c>
      <c r="FZ167" s="1">
        <v>0</v>
      </c>
      <c r="GA167" s="1">
        <v>0</v>
      </c>
      <c r="GB167" s="1">
        <v>0</v>
      </c>
      <c r="GC167" s="1">
        <v>26.748000000000001</v>
      </c>
      <c r="GD167" s="1">
        <v>36.697000000000003</v>
      </c>
      <c r="GE167" s="1">
        <v>25.72</v>
      </c>
      <c r="GF167" s="1">
        <v>22.087</v>
      </c>
      <c r="GG167" s="1">
        <v>26.748000000000001</v>
      </c>
      <c r="GH167" s="1">
        <v>36.697000000000003</v>
      </c>
      <c r="GI167" s="1">
        <v>25.72</v>
      </c>
      <c r="GJ167" s="1">
        <v>22.087</v>
      </c>
      <c r="GK167" s="1">
        <v>0</v>
      </c>
      <c r="GL167" s="1">
        <v>0</v>
      </c>
      <c r="GM167" s="1">
        <v>0</v>
      </c>
      <c r="GN167" s="1">
        <v>0</v>
      </c>
      <c r="GO167" s="1">
        <v>0</v>
      </c>
      <c r="GP167" s="1">
        <v>0</v>
      </c>
      <c r="GQ167" s="1">
        <v>0</v>
      </c>
      <c r="GR167" s="1">
        <v>0</v>
      </c>
      <c r="GS167" s="1">
        <v>0</v>
      </c>
      <c r="GT167" s="1">
        <v>0</v>
      </c>
      <c r="GU167" s="1">
        <v>0</v>
      </c>
      <c r="GV167" s="1">
        <v>0</v>
      </c>
      <c r="GW167" s="1">
        <v>0</v>
      </c>
      <c r="GX167" s="1">
        <v>0</v>
      </c>
      <c r="GY167" s="1">
        <v>0</v>
      </c>
      <c r="GZ167" s="1">
        <v>0</v>
      </c>
      <c r="HA167" s="1">
        <v>0</v>
      </c>
      <c r="HB167" s="1">
        <v>0</v>
      </c>
      <c r="HC167" s="1">
        <v>0</v>
      </c>
      <c r="HD167" s="1">
        <v>0</v>
      </c>
      <c r="HE167" s="1">
        <v>0</v>
      </c>
      <c r="HF167" s="1">
        <v>0</v>
      </c>
      <c r="HG167" s="1">
        <v>0</v>
      </c>
      <c r="HH167" s="1">
        <v>0</v>
      </c>
      <c r="HI167" s="1">
        <v>0</v>
      </c>
      <c r="HJ167" s="1">
        <v>0</v>
      </c>
      <c r="HK167" s="1">
        <v>0</v>
      </c>
      <c r="HL167" s="1">
        <v>0</v>
      </c>
      <c r="HM167" s="1">
        <v>0</v>
      </c>
      <c r="HN167" s="1">
        <v>0</v>
      </c>
      <c r="HO167" s="1">
        <v>0</v>
      </c>
      <c r="HP167" s="1">
        <v>0</v>
      </c>
      <c r="HQ167" s="1">
        <v>0</v>
      </c>
      <c r="HR167" s="1">
        <v>0</v>
      </c>
      <c r="HS167" s="1">
        <v>0</v>
      </c>
      <c r="HT167" s="1">
        <v>0</v>
      </c>
      <c r="HU167" s="1">
        <v>0</v>
      </c>
      <c r="HV167" s="1">
        <v>0</v>
      </c>
      <c r="HW167" s="1">
        <v>0</v>
      </c>
      <c r="HX167" s="1">
        <v>0</v>
      </c>
      <c r="HY167" s="1">
        <v>0</v>
      </c>
      <c r="HZ167" s="1">
        <v>0</v>
      </c>
      <c r="IA167" s="1">
        <v>0</v>
      </c>
      <c r="IB167" s="1">
        <v>0</v>
      </c>
      <c r="IC167" s="1">
        <v>0</v>
      </c>
      <c r="ID167" s="1">
        <v>0</v>
      </c>
      <c r="IE167" s="1">
        <v>0</v>
      </c>
      <c r="IF167" s="1">
        <v>0</v>
      </c>
      <c r="IG167" s="1">
        <v>0</v>
      </c>
      <c r="IH167" s="1">
        <v>0</v>
      </c>
      <c r="II167" s="1">
        <v>0</v>
      </c>
      <c r="IJ167" s="1">
        <v>0</v>
      </c>
      <c r="IK167" s="1">
        <v>0</v>
      </c>
      <c r="IL167" s="1">
        <v>0</v>
      </c>
      <c r="IM167" s="1">
        <v>0</v>
      </c>
      <c r="IN167" s="1">
        <v>0</v>
      </c>
      <c r="IO167" s="1">
        <v>393.46</v>
      </c>
      <c r="IP167" s="1">
        <v>134.46</v>
      </c>
      <c r="IQ167" s="1">
        <v>0</v>
      </c>
      <c r="IR167" s="1">
        <v>0</v>
      </c>
      <c r="IS167" s="1">
        <v>393.46</v>
      </c>
      <c r="IT167" s="1">
        <v>134.46</v>
      </c>
      <c r="IU167" s="1">
        <v>0</v>
      </c>
      <c r="IV167" s="1">
        <v>0</v>
      </c>
      <c r="IW167" s="1">
        <v>0</v>
      </c>
      <c r="IX167" s="1">
        <v>0</v>
      </c>
      <c r="IY167" s="1">
        <v>0</v>
      </c>
      <c r="IZ167" s="1">
        <v>0</v>
      </c>
      <c r="JA167" s="1">
        <v>0</v>
      </c>
      <c r="JB167" s="1">
        <v>0</v>
      </c>
      <c r="JC167" s="1">
        <v>0</v>
      </c>
      <c r="JD167" s="1">
        <v>0</v>
      </c>
      <c r="JE167" s="1">
        <v>0</v>
      </c>
      <c r="JF167" s="1">
        <v>0</v>
      </c>
      <c r="JG167" s="1">
        <v>0</v>
      </c>
      <c r="JH167" s="1">
        <v>0</v>
      </c>
      <c r="JI167" s="1">
        <v>0</v>
      </c>
      <c r="JJ167" s="1">
        <v>0</v>
      </c>
      <c r="JK167" s="1">
        <v>0</v>
      </c>
      <c r="JL167" s="1">
        <v>0</v>
      </c>
      <c r="JM167" s="1">
        <v>0</v>
      </c>
      <c r="JN167" s="1">
        <v>0</v>
      </c>
      <c r="JO167" s="1">
        <v>0</v>
      </c>
      <c r="JP167" s="1">
        <v>0</v>
      </c>
      <c r="JQ167" s="9"/>
      <c r="JR167" s="1">
        <f t="shared" si="38"/>
        <v>3796.4645999999993</v>
      </c>
      <c r="JS167" s="1">
        <f t="shared" si="38"/>
        <v>3867.7554000000014</v>
      </c>
      <c r="JT167" s="1">
        <f t="shared" si="38"/>
        <v>4671.4049999999997</v>
      </c>
      <c r="JU167" s="1">
        <f t="shared" si="36"/>
        <v>3715.2566999999999</v>
      </c>
      <c r="JV167" s="1">
        <f t="shared" si="39"/>
        <v>703.04899999999986</v>
      </c>
      <c r="JW167" s="1">
        <f t="shared" si="39"/>
        <v>716.2510000000002</v>
      </c>
      <c r="JX167" s="1">
        <f t="shared" si="39"/>
        <v>865.07499999999982</v>
      </c>
      <c r="JY167" s="1">
        <f t="shared" si="37"/>
        <v>688.01049999999998</v>
      </c>
    </row>
    <row r="168" spans="1:285" x14ac:dyDescent="0.35">
      <c r="A168" s="2" t="s">
        <v>175</v>
      </c>
      <c r="B168" s="1">
        <v>117057</v>
      </c>
      <c r="C168" s="1">
        <v>118502</v>
      </c>
      <c r="D168" s="1">
        <v>119799</v>
      </c>
      <c r="E168" s="1">
        <v>121115</v>
      </c>
      <c r="F168" s="1">
        <v>45634.7</v>
      </c>
      <c r="G168" s="1">
        <v>42470.687999999987</v>
      </c>
      <c r="H168" s="1">
        <v>28663.124</v>
      </c>
      <c r="I168" s="1">
        <v>29840.196</v>
      </c>
      <c r="J168" s="1">
        <f t="shared" si="40"/>
        <v>22351.500000000007</v>
      </c>
      <c r="K168" s="1">
        <f t="shared" si="41"/>
        <v>22770.958000000002</v>
      </c>
      <c r="L168" s="1">
        <f t="shared" si="42"/>
        <v>20625.424000000003</v>
      </c>
      <c r="M168" s="1">
        <f t="shared" si="43"/>
        <v>21966.335999999999</v>
      </c>
      <c r="N168" s="1">
        <f t="shared" si="44"/>
        <v>23283.19999999999</v>
      </c>
      <c r="O168" s="1">
        <f t="shared" si="45"/>
        <v>19699.729999999985</v>
      </c>
      <c r="P168" s="1">
        <f t="shared" si="46"/>
        <v>8037.6999999999971</v>
      </c>
      <c r="Q168" s="1">
        <f t="shared" si="47"/>
        <v>7873.8600000000006</v>
      </c>
      <c r="R168" s="1">
        <v>0</v>
      </c>
      <c r="S168" s="1">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1">
        <v>0</v>
      </c>
      <c r="AJ168" s="1">
        <v>0</v>
      </c>
      <c r="AK168" s="1">
        <v>0</v>
      </c>
      <c r="AL168" s="1">
        <v>0</v>
      </c>
      <c r="AM168" s="1">
        <v>0</v>
      </c>
      <c r="AN168" s="1">
        <v>0</v>
      </c>
      <c r="AO168" s="1">
        <v>0</v>
      </c>
      <c r="AP168" s="1">
        <v>12650.96</v>
      </c>
      <c r="AQ168" s="1">
        <v>12228.67</v>
      </c>
      <c r="AR168" s="1">
        <v>10546.56</v>
      </c>
      <c r="AS168" s="1">
        <v>12201.509999999998</v>
      </c>
      <c r="AT168" s="1">
        <v>0</v>
      </c>
      <c r="AU168" s="1">
        <v>12650.96</v>
      </c>
      <c r="AV168" s="1">
        <v>0</v>
      </c>
      <c r="AW168" s="1">
        <v>0</v>
      </c>
      <c r="AX168" s="1">
        <v>0</v>
      </c>
      <c r="AY168" s="1">
        <v>12228.67</v>
      </c>
      <c r="AZ168" s="1">
        <v>0</v>
      </c>
      <c r="BA168" s="1">
        <v>0</v>
      </c>
      <c r="BB168" s="1">
        <v>0</v>
      </c>
      <c r="BC168" s="1">
        <v>10546.56</v>
      </c>
      <c r="BD168" s="1">
        <v>0</v>
      </c>
      <c r="BE168" s="1">
        <v>0</v>
      </c>
      <c r="BF168" s="1">
        <v>12201.509999999998</v>
      </c>
      <c r="BG168" s="1">
        <v>0</v>
      </c>
      <c r="BH168" s="1">
        <v>0</v>
      </c>
      <c r="BI168" s="1">
        <v>0</v>
      </c>
      <c r="BJ168" s="1">
        <v>0</v>
      </c>
      <c r="BK168" s="1">
        <v>0</v>
      </c>
      <c r="BL168" s="1">
        <v>0</v>
      </c>
      <c r="BM168" s="1">
        <v>0</v>
      </c>
      <c r="BN168" s="1">
        <v>0</v>
      </c>
      <c r="BO168" s="1">
        <v>0</v>
      </c>
      <c r="BP168" s="1">
        <v>0</v>
      </c>
      <c r="BQ168" s="1">
        <v>0</v>
      </c>
      <c r="BR168" s="1">
        <v>0</v>
      </c>
      <c r="BS168" s="1">
        <v>0</v>
      </c>
      <c r="BT168" s="1">
        <v>0</v>
      </c>
      <c r="BU168" s="1">
        <v>4413.01</v>
      </c>
      <c r="BV168" s="1">
        <v>4866.95</v>
      </c>
      <c r="BW168" s="1">
        <v>4056.21</v>
      </c>
      <c r="BX168" s="1">
        <v>3851.76</v>
      </c>
      <c r="BY168" s="1">
        <v>4413.01</v>
      </c>
      <c r="BZ168" s="1">
        <v>4866.95</v>
      </c>
      <c r="CA168" s="1">
        <v>4056.21</v>
      </c>
      <c r="CB168" s="1">
        <v>3851.76</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1217.08</v>
      </c>
      <c r="CT168" s="1">
        <v>1657.2</v>
      </c>
      <c r="CU168" s="1">
        <v>2193.67</v>
      </c>
      <c r="CV168" s="1">
        <v>2294.9499999999998</v>
      </c>
      <c r="CW168" s="1">
        <v>1217.08</v>
      </c>
      <c r="CX168" s="1">
        <v>1657.2</v>
      </c>
      <c r="CY168" s="1">
        <v>2193.67</v>
      </c>
      <c r="CZ168" s="1">
        <v>2294.9499999999998</v>
      </c>
      <c r="DA168" s="1">
        <v>0</v>
      </c>
      <c r="DB168" s="1">
        <v>0</v>
      </c>
      <c r="DC168" s="1">
        <v>0</v>
      </c>
      <c r="DD168" s="1">
        <v>0</v>
      </c>
      <c r="DE168" s="1">
        <v>0</v>
      </c>
      <c r="DF168" s="1">
        <v>0</v>
      </c>
      <c r="DG168" s="1">
        <v>0</v>
      </c>
      <c r="DH168" s="1">
        <v>0</v>
      </c>
      <c r="DI168" s="1">
        <v>0</v>
      </c>
      <c r="DJ168" s="1">
        <v>0</v>
      </c>
      <c r="DK168" s="1">
        <v>0</v>
      </c>
      <c r="DL168" s="1">
        <v>0</v>
      </c>
      <c r="DM168" s="1">
        <v>2613.9499999999998</v>
      </c>
      <c r="DN168" s="1">
        <v>2276.2379999999998</v>
      </c>
      <c r="DO168" s="1">
        <v>2363.924</v>
      </c>
      <c r="DP168" s="1">
        <v>2147.4259999999999</v>
      </c>
      <c r="DQ168" s="1">
        <v>2613.9499999999998</v>
      </c>
      <c r="DR168" s="1">
        <v>2276.2379999999998</v>
      </c>
      <c r="DS168" s="1">
        <v>2363.924</v>
      </c>
      <c r="DT168" s="1">
        <v>2147.4259999999999</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650.29</v>
      </c>
      <c r="EL168" s="1">
        <v>614.78</v>
      </c>
      <c r="EM168" s="1">
        <v>651.74</v>
      </c>
      <c r="EN168" s="1">
        <v>600.15</v>
      </c>
      <c r="EO168" s="1">
        <v>650.29</v>
      </c>
      <c r="EP168" s="1">
        <v>614.78</v>
      </c>
      <c r="EQ168" s="1">
        <v>651.74</v>
      </c>
      <c r="ER168" s="1">
        <v>600.15</v>
      </c>
      <c r="ES168" s="1">
        <v>0</v>
      </c>
      <c r="ET168" s="1">
        <v>0</v>
      </c>
      <c r="EU168" s="1">
        <v>0</v>
      </c>
      <c r="EV168" s="1">
        <v>0</v>
      </c>
      <c r="EW168" s="1">
        <v>0</v>
      </c>
      <c r="EX168" s="1">
        <v>0</v>
      </c>
      <c r="EY168" s="1">
        <v>0</v>
      </c>
      <c r="EZ168" s="1">
        <v>0</v>
      </c>
      <c r="FA168" s="1">
        <v>0</v>
      </c>
      <c r="FB168" s="1">
        <v>0</v>
      </c>
      <c r="FC168" s="1">
        <v>0</v>
      </c>
      <c r="FD168" s="1">
        <v>0</v>
      </c>
      <c r="FE168" s="1">
        <v>20.25</v>
      </c>
      <c r="FF168" s="1">
        <v>18.989999999999998</v>
      </c>
      <c r="FG168" s="1">
        <v>19.55</v>
      </c>
      <c r="FH168" s="1">
        <v>18.45</v>
      </c>
      <c r="FI168" s="1">
        <v>20.25</v>
      </c>
      <c r="FJ168" s="1">
        <v>18.989999999999998</v>
      </c>
      <c r="FK168" s="1">
        <v>19.55</v>
      </c>
      <c r="FL168" s="1">
        <v>18.45</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v>0</v>
      </c>
      <c r="GC168" s="1">
        <v>114.86</v>
      </c>
      <c r="GD168" s="1">
        <v>117.7</v>
      </c>
      <c r="GE168" s="1">
        <v>91.589999999999989</v>
      </c>
      <c r="GF168" s="1">
        <v>104.86</v>
      </c>
      <c r="GG168" s="1">
        <v>114.86</v>
      </c>
      <c r="GH168" s="1">
        <v>117.7</v>
      </c>
      <c r="GI168" s="1">
        <v>91.589999999999989</v>
      </c>
      <c r="GJ168" s="1">
        <v>104.86</v>
      </c>
      <c r="GK168" s="1">
        <v>0</v>
      </c>
      <c r="GL168" s="1">
        <v>0</v>
      </c>
      <c r="GM168" s="1">
        <v>0</v>
      </c>
      <c r="GN168" s="1">
        <v>0</v>
      </c>
      <c r="GO168" s="1">
        <v>0</v>
      </c>
      <c r="GP168" s="1">
        <v>0</v>
      </c>
      <c r="GQ168" s="1">
        <v>0</v>
      </c>
      <c r="GR168" s="1">
        <v>0</v>
      </c>
      <c r="GS168" s="1">
        <v>0</v>
      </c>
      <c r="GT168" s="1">
        <v>0</v>
      </c>
      <c r="GU168" s="1">
        <v>0</v>
      </c>
      <c r="GV168" s="1">
        <v>0</v>
      </c>
      <c r="GW168" s="1">
        <v>0</v>
      </c>
      <c r="GX168" s="1">
        <v>0</v>
      </c>
      <c r="GY168" s="1">
        <v>0</v>
      </c>
      <c r="GZ168" s="1">
        <v>0</v>
      </c>
      <c r="HA168" s="1">
        <v>0</v>
      </c>
      <c r="HB168" s="1">
        <v>0</v>
      </c>
      <c r="HC168" s="1">
        <v>0</v>
      </c>
      <c r="HD168" s="1">
        <v>0</v>
      </c>
      <c r="HE168" s="1">
        <v>19.2</v>
      </c>
      <c r="HF168" s="1">
        <v>0</v>
      </c>
      <c r="HG168" s="1">
        <v>0</v>
      </c>
      <c r="HH168" s="1">
        <v>0</v>
      </c>
      <c r="HI168" s="1">
        <v>19.2</v>
      </c>
      <c r="HJ168" s="1">
        <v>0</v>
      </c>
      <c r="HK168" s="1">
        <v>0</v>
      </c>
      <c r="HL168" s="1">
        <v>0</v>
      </c>
      <c r="HM168" s="1">
        <v>0</v>
      </c>
      <c r="HN168" s="1">
        <v>0</v>
      </c>
      <c r="HO168" s="1">
        <v>0</v>
      </c>
      <c r="HP168" s="1">
        <v>0</v>
      </c>
      <c r="HQ168" s="1">
        <v>0</v>
      </c>
      <c r="HR168" s="1">
        <v>0</v>
      </c>
      <c r="HS168" s="1">
        <v>0</v>
      </c>
      <c r="HT168" s="1">
        <v>0</v>
      </c>
      <c r="HU168" s="1">
        <v>0</v>
      </c>
      <c r="HV168" s="1">
        <v>0</v>
      </c>
      <c r="HW168" s="1">
        <v>0</v>
      </c>
      <c r="HX168" s="1">
        <v>0</v>
      </c>
      <c r="HY168" s="1">
        <v>0</v>
      </c>
      <c r="HZ168" s="1">
        <v>0</v>
      </c>
      <c r="IA168" s="1">
        <v>0</v>
      </c>
      <c r="IB168" s="1">
        <v>0</v>
      </c>
      <c r="IC168" s="1">
        <v>0</v>
      </c>
      <c r="ID168" s="1">
        <v>0</v>
      </c>
      <c r="IE168" s="1">
        <v>0</v>
      </c>
      <c r="IF168" s="1">
        <v>0</v>
      </c>
      <c r="IG168" s="1">
        <v>0</v>
      </c>
      <c r="IH168" s="1">
        <v>0</v>
      </c>
      <c r="II168" s="1">
        <v>0</v>
      </c>
      <c r="IJ168" s="1">
        <v>0</v>
      </c>
      <c r="IK168" s="1">
        <v>0</v>
      </c>
      <c r="IL168" s="1">
        <v>0</v>
      </c>
      <c r="IM168" s="1">
        <v>0</v>
      </c>
      <c r="IN168" s="1">
        <v>0</v>
      </c>
      <c r="IO168" s="1">
        <v>651.9</v>
      </c>
      <c r="IP168" s="1">
        <v>990.43000000000006</v>
      </c>
      <c r="IQ168" s="1">
        <v>702.18</v>
      </c>
      <c r="IR168" s="1">
        <v>747.23</v>
      </c>
      <c r="IS168" s="1">
        <v>651.9</v>
      </c>
      <c r="IT168" s="1">
        <v>990.43000000000006</v>
      </c>
      <c r="IU168" s="1">
        <v>702.18</v>
      </c>
      <c r="IV168" s="1">
        <v>747.23</v>
      </c>
      <c r="IW168" s="1">
        <v>0</v>
      </c>
      <c r="IX168" s="1">
        <v>0</v>
      </c>
      <c r="IY168" s="1">
        <v>0</v>
      </c>
      <c r="IZ168" s="1">
        <v>0</v>
      </c>
      <c r="JA168" s="1">
        <v>0</v>
      </c>
      <c r="JB168" s="1">
        <v>0</v>
      </c>
      <c r="JC168" s="1">
        <v>0</v>
      </c>
      <c r="JD168" s="1">
        <v>0</v>
      </c>
      <c r="JE168" s="1">
        <v>0</v>
      </c>
      <c r="JF168" s="1">
        <v>0</v>
      </c>
      <c r="JG168" s="1">
        <v>0</v>
      </c>
      <c r="JH168" s="1">
        <v>0</v>
      </c>
      <c r="JI168" s="1">
        <v>0</v>
      </c>
      <c r="JJ168" s="1">
        <v>0</v>
      </c>
      <c r="JK168" s="1">
        <v>0</v>
      </c>
      <c r="JL168" s="1">
        <v>0</v>
      </c>
      <c r="JM168" s="1">
        <v>0</v>
      </c>
      <c r="JN168" s="1">
        <v>0</v>
      </c>
      <c r="JO168" s="1">
        <v>0</v>
      </c>
      <c r="JP168" s="1">
        <v>0</v>
      </c>
      <c r="JQ168" s="9"/>
      <c r="JR168" s="1">
        <f t="shared" si="38"/>
        <v>6286.4639999999972</v>
      </c>
      <c r="JS168" s="1">
        <f t="shared" si="38"/>
        <v>5318.9270999999962</v>
      </c>
      <c r="JT168" s="1">
        <f t="shared" si="38"/>
        <v>2170.1789999999992</v>
      </c>
      <c r="JU168" s="1">
        <f t="shared" si="36"/>
        <v>2125.9422000000004</v>
      </c>
      <c r="JV168" s="1">
        <f t="shared" si="39"/>
        <v>1164.1599999999996</v>
      </c>
      <c r="JW168" s="1">
        <f t="shared" si="39"/>
        <v>984.9864999999993</v>
      </c>
      <c r="JX168" s="1">
        <f t="shared" si="39"/>
        <v>401.88499999999988</v>
      </c>
      <c r="JY168" s="1">
        <f t="shared" si="37"/>
        <v>393.69300000000004</v>
      </c>
    </row>
    <row r="169" spans="1:285" x14ac:dyDescent="0.35">
      <c r="A169" s="2" t="s">
        <v>176</v>
      </c>
      <c r="B169" s="1">
        <v>170034</v>
      </c>
      <c r="C169" s="1">
        <v>169929</v>
      </c>
      <c r="D169" s="1">
        <v>170125</v>
      </c>
      <c r="E169" s="1">
        <v>170477</v>
      </c>
      <c r="F169" s="1">
        <v>196759.26500000001</v>
      </c>
      <c r="G169" s="1">
        <v>198821.304</v>
      </c>
      <c r="H169" s="1">
        <v>182905.378</v>
      </c>
      <c r="I169" s="1">
        <v>183626.15100000001</v>
      </c>
      <c r="J169" s="1">
        <f t="shared" si="40"/>
        <v>51052.515000000007</v>
      </c>
      <c r="K169" s="1">
        <f t="shared" si="41"/>
        <v>48036.094000000005</v>
      </c>
      <c r="L169" s="1">
        <f t="shared" si="42"/>
        <v>42666.317999999992</v>
      </c>
      <c r="M169" s="1">
        <f t="shared" si="43"/>
        <v>45341.502</v>
      </c>
      <c r="N169" s="1">
        <f t="shared" si="44"/>
        <v>145706.75</v>
      </c>
      <c r="O169" s="1">
        <f t="shared" si="45"/>
        <v>150785.21</v>
      </c>
      <c r="P169" s="1">
        <f t="shared" si="46"/>
        <v>140239.06</v>
      </c>
      <c r="Q169" s="1">
        <f t="shared" si="47"/>
        <v>138284.649</v>
      </c>
      <c r="R169" s="1">
        <v>103.164</v>
      </c>
      <c r="S169" s="1">
        <v>140.41</v>
      </c>
      <c r="T169" s="1">
        <v>21.44</v>
      </c>
      <c r="U169" s="1">
        <v>137.57999999999998</v>
      </c>
      <c r="V169" s="1">
        <v>0</v>
      </c>
      <c r="W169" s="1">
        <v>0</v>
      </c>
      <c r="X169" s="1">
        <v>103.164</v>
      </c>
      <c r="Y169" s="1">
        <v>0</v>
      </c>
      <c r="Z169" s="1">
        <v>0</v>
      </c>
      <c r="AA169" s="1">
        <v>140.41</v>
      </c>
      <c r="AB169" s="1">
        <v>0</v>
      </c>
      <c r="AC169" s="1">
        <v>0</v>
      </c>
      <c r="AD169" s="1">
        <v>21.44</v>
      </c>
      <c r="AE169" s="1">
        <v>0</v>
      </c>
      <c r="AF169" s="1">
        <v>0</v>
      </c>
      <c r="AG169" s="1">
        <v>137.57999999999998</v>
      </c>
      <c r="AH169" s="1">
        <v>0</v>
      </c>
      <c r="AI169" s="1">
        <v>0</v>
      </c>
      <c r="AJ169" s="1">
        <v>0</v>
      </c>
      <c r="AK169" s="1">
        <v>0</v>
      </c>
      <c r="AL169" s="1">
        <v>0</v>
      </c>
      <c r="AM169" s="1">
        <v>0</v>
      </c>
      <c r="AN169" s="1">
        <v>0</v>
      </c>
      <c r="AO169" s="1">
        <v>0</v>
      </c>
      <c r="AP169" s="1">
        <v>15372.869000000001</v>
      </c>
      <c r="AQ169" s="1">
        <v>18722.770000000004</v>
      </c>
      <c r="AR169" s="1">
        <v>15963.180000000002</v>
      </c>
      <c r="AS169" s="1">
        <v>18773.11</v>
      </c>
      <c r="AT169" s="1">
        <v>0</v>
      </c>
      <c r="AU169" s="1">
        <v>15372.869000000001</v>
      </c>
      <c r="AV169" s="1">
        <v>0</v>
      </c>
      <c r="AW169" s="1">
        <v>0</v>
      </c>
      <c r="AX169" s="1">
        <v>0</v>
      </c>
      <c r="AY169" s="1">
        <v>18722.770000000004</v>
      </c>
      <c r="AZ169" s="1">
        <v>0</v>
      </c>
      <c r="BA169" s="1">
        <v>0</v>
      </c>
      <c r="BB169" s="1">
        <v>0</v>
      </c>
      <c r="BC169" s="1">
        <v>15963.180000000002</v>
      </c>
      <c r="BD169" s="1">
        <v>0</v>
      </c>
      <c r="BE169" s="1">
        <v>0</v>
      </c>
      <c r="BF169" s="1">
        <v>18773.11</v>
      </c>
      <c r="BG169" s="1">
        <v>0</v>
      </c>
      <c r="BH169" s="1">
        <v>0</v>
      </c>
      <c r="BI169" s="1">
        <v>0</v>
      </c>
      <c r="BJ169" s="1">
        <v>0</v>
      </c>
      <c r="BK169" s="1">
        <v>0</v>
      </c>
      <c r="BL169" s="1">
        <v>0</v>
      </c>
      <c r="BM169" s="1">
        <v>0</v>
      </c>
      <c r="BN169" s="1">
        <v>0</v>
      </c>
      <c r="BO169" s="1">
        <v>0</v>
      </c>
      <c r="BP169" s="1">
        <v>0</v>
      </c>
      <c r="BQ169" s="1">
        <v>0</v>
      </c>
      <c r="BR169" s="1">
        <v>0</v>
      </c>
      <c r="BS169" s="1">
        <v>0</v>
      </c>
      <c r="BT169" s="1">
        <v>0</v>
      </c>
      <c r="BU169" s="1">
        <v>8905.4789999999994</v>
      </c>
      <c r="BV169" s="1">
        <v>8846.84</v>
      </c>
      <c r="BW169" s="1">
        <v>7743.6959999999999</v>
      </c>
      <c r="BX169" s="1">
        <v>7348.0919999999996</v>
      </c>
      <c r="BY169" s="1">
        <v>8905.4789999999994</v>
      </c>
      <c r="BZ169" s="1">
        <v>8846.84</v>
      </c>
      <c r="CA169" s="1">
        <v>7743.6959999999999</v>
      </c>
      <c r="CB169" s="1">
        <v>7348.0919999999996</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4038.902</v>
      </c>
      <c r="CT169" s="1">
        <v>3676.0210000000002</v>
      </c>
      <c r="CU169" s="1">
        <v>3396.01</v>
      </c>
      <c r="CV169" s="1">
        <v>3497.3440000000001</v>
      </c>
      <c r="CW169" s="1">
        <v>4038.902</v>
      </c>
      <c r="CX169" s="1">
        <v>3676.0210000000002</v>
      </c>
      <c r="CY169" s="1">
        <v>3396.01</v>
      </c>
      <c r="CZ169" s="1">
        <v>3497.3440000000001</v>
      </c>
      <c r="DA169" s="1">
        <v>0</v>
      </c>
      <c r="DB169" s="1">
        <v>0</v>
      </c>
      <c r="DC169" s="1">
        <v>0</v>
      </c>
      <c r="DD169" s="1">
        <v>0</v>
      </c>
      <c r="DE169" s="1">
        <v>0</v>
      </c>
      <c r="DF169" s="1">
        <v>0</v>
      </c>
      <c r="DG169" s="1">
        <v>0</v>
      </c>
      <c r="DH169" s="1">
        <v>0</v>
      </c>
      <c r="DI169" s="1">
        <v>0</v>
      </c>
      <c r="DJ169" s="1">
        <v>0</v>
      </c>
      <c r="DK169" s="1">
        <v>0</v>
      </c>
      <c r="DL169" s="1">
        <v>0</v>
      </c>
      <c r="DM169" s="1">
        <v>8362.6509999999998</v>
      </c>
      <c r="DN169" s="1">
        <v>4606.79</v>
      </c>
      <c r="DO169" s="1">
        <v>4147.0069999999996</v>
      </c>
      <c r="DP169" s="1">
        <v>3846.38</v>
      </c>
      <c r="DQ169" s="1">
        <v>8362.6509999999998</v>
      </c>
      <c r="DR169" s="1">
        <v>4606.79</v>
      </c>
      <c r="DS169" s="1">
        <v>4147.0069999999996</v>
      </c>
      <c r="DT169" s="1">
        <v>3846.38</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4432.6019999999999</v>
      </c>
      <c r="EL169" s="1">
        <v>4149.3509999999997</v>
      </c>
      <c r="EM169" s="1">
        <v>4127.3310000000001</v>
      </c>
      <c r="EN169" s="1">
        <v>4326.3900000000003</v>
      </c>
      <c r="EO169" s="1">
        <v>4161.1229999999996</v>
      </c>
      <c r="EP169" s="1">
        <v>3894.9989999999998</v>
      </c>
      <c r="EQ169" s="1">
        <v>3854.6010000000001</v>
      </c>
      <c r="ER169" s="1">
        <v>4265.6940000000004</v>
      </c>
      <c r="ES169" s="1">
        <v>271.47899999999998</v>
      </c>
      <c r="ET169" s="1">
        <v>254.352</v>
      </c>
      <c r="EU169" s="1">
        <v>272.73</v>
      </c>
      <c r="EV169" s="1">
        <v>60.695999999999998</v>
      </c>
      <c r="EW169" s="1">
        <v>0</v>
      </c>
      <c r="EX169" s="1">
        <v>0</v>
      </c>
      <c r="EY169" s="1">
        <v>0</v>
      </c>
      <c r="EZ169" s="1">
        <v>0</v>
      </c>
      <c r="FA169" s="1">
        <v>0</v>
      </c>
      <c r="FB169" s="1">
        <v>0</v>
      </c>
      <c r="FC169" s="1">
        <v>0</v>
      </c>
      <c r="FD169" s="1">
        <v>0</v>
      </c>
      <c r="FE169" s="1">
        <v>265.012</v>
      </c>
      <c r="FF169" s="1">
        <v>307.34199999999998</v>
      </c>
      <c r="FG169" s="1">
        <v>480.57900000000001</v>
      </c>
      <c r="FH169" s="1">
        <v>834.173</v>
      </c>
      <c r="FI169" s="1">
        <v>265.012</v>
      </c>
      <c r="FJ169" s="1">
        <v>302.28300000000002</v>
      </c>
      <c r="FK169" s="1">
        <v>315.26400000000001</v>
      </c>
      <c r="FL169" s="1">
        <v>669.45100000000002</v>
      </c>
      <c r="FM169" s="1">
        <v>0</v>
      </c>
      <c r="FN169" s="1">
        <v>5.0590000000000002</v>
      </c>
      <c r="FO169" s="1">
        <v>165.315</v>
      </c>
      <c r="FP169" s="1">
        <v>164.72200000000001</v>
      </c>
      <c r="FQ169" s="1">
        <v>0</v>
      </c>
      <c r="FR169" s="1">
        <v>0</v>
      </c>
      <c r="FS169" s="1">
        <v>0</v>
      </c>
      <c r="FT169" s="1">
        <v>0</v>
      </c>
      <c r="FU169" s="1">
        <v>0</v>
      </c>
      <c r="FV169" s="1">
        <v>0</v>
      </c>
      <c r="FW169" s="1">
        <v>0</v>
      </c>
      <c r="FX169" s="1">
        <v>0</v>
      </c>
      <c r="FY169" s="1">
        <v>0</v>
      </c>
      <c r="FZ169" s="1">
        <v>0</v>
      </c>
      <c r="GA169" s="1">
        <v>0</v>
      </c>
      <c r="GB169" s="1">
        <v>0</v>
      </c>
      <c r="GC169" s="1">
        <v>2182.002</v>
      </c>
      <c r="GD169" s="1">
        <v>2097.9679999999998</v>
      </c>
      <c r="GE169" s="1">
        <v>2346.9110000000001</v>
      </c>
      <c r="GF169" s="1">
        <v>1919.3240000000001</v>
      </c>
      <c r="GG169" s="1">
        <v>1820.806</v>
      </c>
      <c r="GH169" s="1">
        <v>2033.9459999999999</v>
      </c>
      <c r="GI169" s="1">
        <v>1849.4079999999999</v>
      </c>
      <c r="GJ169" s="1">
        <v>1868.3889999999999</v>
      </c>
      <c r="GK169" s="1">
        <v>361.19600000000003</v>
      </c>
      <c r="GL169" s="1">
        <v>64.021999999999991</v>
      </c>
      <c r="GM169" s="1">
        <v>497.50299999999999</v>
      </c>
      <c r="GN169" s="1">
        <v>50.935000000000002</v>
      </c>
      <c r="GO169" s="1">
        <v>0</v>
      </c>
      <c r="GP169" s="1">
        <v>0</v>
      </c>
      <c r="GQ169" s="1">
        <v>0</v>
      </c>
      <c r="GR169" s="1">
        <v>0</v>
      </c>
      <c r="GS169" s="1">
        <v>0</v>
      </c>
      <c r="GT169" s="1">
        <v>0</v>
      </c>
      <c r="GU169" s="1">
        <v>0</v>
      </c>
      <c r="GV169" s="1">
        <v>0</v>
      </c>
      <c r="GW169" s="1">
        <v>0</v>
      </c>
      <c r="GX169" s="1">
        <v>0</v>
      </c>
      <c r="GY169" s="1">
        <v>0</v>
      </c>
      <c r="GZ169" s="1">
        <v>0</v>
      </c>
      <c r="HA169" s="1">
        <v>0</v>
      </c>
      <c r="HB169" s="1">
        <v>0</v>
      </c>
      <c r="HC169" s="1">
        <v>0</v>
      </c>
      <c r="HD169" s="1">
        <v>0</v>
      </c>
      <c r="HE169" s="1">
        <v>4265.4430000000002</v>
      </c>
      <c r="HF169" s="1">
        <v>4539.7969999999996</v>
      </c>
      <c r="HG169" s="1">
        <v>4040.17</v>
      </c>
      <c r="HH169" s="1">
        <v>4315.25</v>
      </c>
      <c r="HI169" s="1">
        <v>4265.4430000000002</v>
      </c>
      <c r="HJ169" s="1">
        <v>4539.7969999999996</v>
      </c>
      <c r="HK169" s="1">
        <v>4040.17</v>
      </c>
      <c r="HL169" s="1">
        <v>4315.25</v>
      </c>
      <c r="HM169" s="1">
        <v>0</v>
      </c>
      <c r="HN169" s="1">
        <v>0</v>
      </c>
      <c r="HO169" s="1">
        <v>0</v>
      </c>
      <c r="HP169" s="1">
        <v>0</v>
      </c>
      <c r="HQ169" s="1">
        <v>0</v>
      </c>
      <c r="HR169" s="1">
        <v>0</v>
      </c>
      <c r="HS169" s="1">
        <v>0</v>
      </c>
      <c r="HT169" s="1">
        <v>0</v>
      </c>
      <c r="HU169" s="1">
        <v>0</v>
      </c>
      <c r="HV169" s="1">
        <v>0</v>
      </c>
      <c r="HW169" s="1">
        <v>0</v>
      </c>
      <c r="HX169" s="1">
        <v>0</v>
      </c>
      <c r="HY169" s="1">
        <v>0</v>
      </c>
      <c r="HZ169" s="1">
        <v>0</v>
      </c>
      <c r="IA169" s="1">
        <v>0</v>
      </c>
      <c r="IB169" s="1">
        <v>0</v>
      </c>
      <c r="IC169" s="1">
        <v>0</v>
      </c>
      <c r="ID169" s="1">
        <v>0</v>
      </c>
      <c r="IE169" s="1">
        <v>0</v>
      </c>
      <c r="IF169" s="1">
        <v>0</v>
      </c>
      <c r="IG169" s="1">
        <v>0</v>
      </c>
      <c r="IH169" s="1">
        <v>0</v>
      </c>
      <c r="II169" s="1">
        <v>0</v>
      </c>
      <c r="IJ169" s="1">
        <v>0</v>
      </c>
      <c r="IK169" s="1">
        <v>0</v>
      </c>
      <c r="IL169" s="1">
        <v>0</v>
      </c>
      <c r="IM169" s="1">
        <v>0</v>
      </c>
      <c r="IN169" s="1">
        <v>0</v>
      </c>
      <c r="IO169" s="1">
        <v>3124.3910000000001</v>
      </c>
      <c r="IP169" s="1">
        <v>948.80500000000006</v>
      </c>
      <c r="IQ169" s="1">
        <v>399.99400000000003</v>
      </c>
      <c r="IR169" s="1">
        <v>343.85899999999998</v>
      </c>
      <c r="IS169" s="1">
        <v>2940.748</v>
      </c>
      <c r="IT169" s="1">
        <v>859.38499999999999</v>
      </c>
      <c r="IU169" s="1">
        <v>91.414000000000001</v>
      </c>
      <c r="IV169" s="1">
        <v>244.09299999999999</v>
      </c>
      <c r="IW169" s="1">
        <v>183.643</v>
      </c>
      <c r="IX169" s="1">
        <v>89.42</v>
      </c>
      <c r="IY169" s="1">
        <v>308.58</v>
      </c>
      <c r="IZ169" s="1">
        <v>99.765999999999991</v>
      </c>
      <c r="JA169" s="1">
        <v>0</v>
      </c>
      <c r="JB169" s="1">
        <v>0</v>
      </c>
      <c r="JC169" s="1">
        <v>0</v>
      </c>
      <c r="JD169" s="1">
        <v>0</v>
      </c>
      <c r="JE169" s="1">
        <v>0</v>
      </c>
      <c r="JF169" s="1">
        <v>0</v>
      </c>
      <c r="JG169" s="1">
        <v>0</v>
      </c>
      <c r="JH169" s="1">
        <v>0</v>
      </c>
      <c r="JI169" s="1">
        <v>0</v>
      </c>
      <c r="JJ169" s="1">
        <v>0</v>
      </c>
      <c r="JK169" s="1">
        <v>0</v>
      </c>
      <c r="JL169" s="1">
        <v>0</v>
      </c>
      <c r="JM169" s="1">
        <v>0</v>
      </c>
      <c r="JN169" s="1">
        <v>0</v>
      </c>
      <c r="JO169" s="1">
        <v>0</v>
      </c>
      <c r="JP169" s="1">
        <v>0</v>
      </c>
      <c r="JQ169" s="9"/>
      <c r="JR169" s="1">
        <f t="shared" si="38"/>
        <v>39340.822500000002</v>
      </c>
      <c r="JS169" s="1">
        <f t="shared" si="38"/>
        <v>40712.006699999998</v>
      </c>
      <c r="JT169" s="1">
        <f t="shared" si="38"/>
        <v>37864.546200000004</v>
      </c>
      <c r="JU169" s="1">
        <f t="shared" si="36"/>
        <v>37336.855230000001</v>
      </c>
      <c r="JV169" s="1">
        <f t="shared" si="39"/>
        <v>7285.3375000000005</v>
      </c>
      <c r="JW169" s="1">
        <f t="shared" si="39"/>
        <v>7539.2605000000003</v>
      </c>
      <c r="JX169" s="1">
        <f t="shared" si="39"/>
        <v>7011.9530000000004</v>
      </c>
      <c r="JY169" s="1">
        <f t="shared" si="37"/>
        <v>6914.2324500000004</v>
      </c>
    </row>
    <row r="170" spans="1:285" x14ac:dyDescent="0.35">
      <c r="A170" s="2" t="s">
        <v>177</v>
      </c>
      <c r="B170" s="1">
        <v>102064</v>
      </c>
      <c r="C170" s="1">
        <v>103239</v>
      </c>
      <c r="D170" s="1">
        <v>103178</v>
      </c>
      <c r="E170" s="1">
        <v>103280</v>
      </c>
      <c r="F170" s="1">
        <v>49319.652999999998</v>
      </c>
      <c r="G170" s="1">
        <v>49617.656000000003</v>
      </c>
      <c r="H170" s="1">
        <v>46262.720000000001</v>
      </c>
      <c r="I170" s="1">
        <v>50381.63</v>
      </c>
      <c r="J170" s="1">
        <f t="shared" si="40"/>
        <v>30355.102999999996</v>
      </c>
      <c r="K170" s="1">
        <f t="shared" si="41"/>
        <v>30883.332000000002</v>
      </c>
      <c r="L170" s="1">
        <f t="shared" si="42"/>
        <v>28423.179999999997</v>
      </c>
      <c r="M170" s="1">
        <f t="shared" si="43"/>
        <v>33223.759999999995</v>
      </c>
      <c r="N170" s="1">
        <f t="shared" si="44"/>
        <v>18964.550000000003</v>
      </c>
      <c r="O170" s="1">
        <f t="shared" si="45"/>
        <v>18734.324000000001</v>
      </c>
      <c r="P170" s="1">
        <f t="shared" si="46"/>
        <v>17839.540000000005</v>
      </c>
      <c r="Q170" s="1">
        <f t="shared" si="47"/>
        <v>17157.870000000003</v>
      </c>
      <c r="R170" s="1">
        <v>0</v>
      </c>
      <c r="S170" s="1">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1">
        <v>0</v>
      </c>
      <c r="AJ170" s="1">
        <v>0</v>
      </c>
      <c r="AK170" s="1">
        <v>0</v>
      </c>
      <c r="AL170" s="1">
        <v>0</v>
      </c>
      <c r="AM170" s="1">
        <v>0</v>
      </c>
      <c r="AN170" s="1">
        <v>0</v>
      </c>
      <c r="AO170" s="1">
        <v>0</v>
      </c>
      <c r="AP170" s="1">
        <v>10062.449999999999</v>
      </c>
      <c r="AQ170" s="1">
        <v>10335.786000000002</v>
      </c>
      <c r="AR170" s="1">
        <v>7187.46</v>
      </c>
      <c r="AS170" s="1">
        <v>12859.63</v>
      </c>
      <c r="AT170" s="1">
        <v>0</v>
      </c>
      <c r="AU170" s="1">
        <v>10062.449999999999</v>
      </c>
      <c r="AV170" s="1">
        <v>0</v>
      </c>
      <c r="AW170" s="1">
        <v>0</v>
      </c>
      <c r="AX170" s="1">
        <v>0</v>
      </c>
      <c r="AY170" s="1">
        <v>10335.786000000002</v>
      </c>
      <c r="AZ170" s="1">
        <v>0</v>
      </c>
      <c r="BA170" s="1">
        <v>0</v>
      </c>
      <c r="BB170" s="1">
        <v>0</v>
      </c>
      <c r="BC170" s="1">
        <v>7187.46</v>
      </c>
      <c r="BD170" s="1">
        <v>0</v>
      </c>
      <c r="BE170" s="1">
        <v>0</v>
      </c>
      <c r="BF170" s="1">
        <v>12859.63</v>
      </c>
      <c r="BG170" s="1">
        <v>0</v>
      </c>
      <c r="BH170" s="1">
        <v>0</v>
      </c>
      <c r="BI170" s="1">
        <v>0</v>
      </c>
      <c r="BJ170" s="1">
        <v>0</v>
      </c>
      <c r="BK170" s="1">
        <v>0</v>
      </c>
      <c r="BL170" s="1">
        <v>0</v>
      </c>
      <c r="BM170" s="1">
        <v>0</v>
      </c>
      <c r="BN170" s="1">
        <v>0</v>
      </c>
      <c r="BO170" s="1">
        <v>0</v>
      </c>
      <c r="BP170" s="1">
        <v>0</v>
      </c>
      <c r="BQ170" s="1">
        <v>0</v>
      </c>
      <c r="BR170" s="1">
        <v>0</v>
      </c>
      <c r="BS170" s="1">
        <v>0</v>
      </c>
      <c r="BT170" s="1">
        <v>0</v>
      </c>
      <c r="BU170" s="1">
        <v>11937.799000000001</v>
      </c>
      <c r="BV170" s="1">
        <v>10903.186</v>
      </c>
      <c r="BW170" s="1">
        <v>12456.66</v>
      </c>
      <c r="BX170" s="1">
        <v>12196.19</v>
      </c>
      <c r="BY170" s="1">
        <v>11937.799000000001</v>
      </c>
      <c r="BZ170" s="1">
        <v>10903.186</v>
      </c>
      <c r="CA170" s="1">
        <v>12456.66</v>
      </c>
      <c r="CB170" s="1">
        <v>12196.19</v>
      </c>
      <c r="CC170" s="1">
        <v>0</v>
      </c>
      <c r="CD170" s="1">
        <v>0</v>
      </c>
      <c r="CE170" s="1">
        <v>0</v>
      </c>
      <c r="CF170" s="1">
        <v>0</v>
      </c>
      <c r="CG170" s="1">
        <v>0</v>
      </c>
      <c r="CH170" s="1">
        <v>0</v>
      </c>
      <c r="CI170" s="1">
        <v>0</v>
      </c>
      <c r="CJ170" s="1">
        <v>0</v>
      </c>
      <c r="CK170" s="1">
        <v>0</v>
      </c>
      <c r="CL170" s="1">
        <v>0</v>
      </c>
      <c r="CM170" s="1">
        <v>0</v>
      </c>
      <c r="CN170" s="1">
        <v>0</v>
      </c>
      <c r="CO170" s="1">
        <v>0</v>
      </c>
      <c r="CP170" s="1">
        <v>0</v>
      </c>
      <c r="CQ170" s="1">
        <v>0</v>
      </c>
      <c r="CR170" s="1">
        <v>0</v>
      </c>
      <c r="CS170" s="1">
        <v>2702.9789999999998</v>
      </c>
      <c r="CT170" s="1">
        <v>3978.931</v>
      </c>
      <c r="CU170" s="1">
        <v>3372.69</v>
      </c>
      <c r="CV170" s="1">
        <v>2322.5700000000002</v>
      </c>
      <c r="CW170" s="1">
        <v>2702.9789999999998</v>
      </c>
      <c r="CX170" s="1">
        <v>3978.931</v>
      </c>
      <c r="CY170" s="1">
        <v>3372.69</v>
      </c>
      <c r="CZ170" s="1">
        <v>2322.5700000000002</v>
      </c>
      <c r="DA170" s="1">
        <v>0</v>
      </c>
      <c r="DB170" s="1">
        <v>0</v>
      </c>
      <c r="DC170" s="1">
        <v>0</v>
      </c>
      <c r="DD170" s="1">
        <v>0</v>
      </c>
      <c r="DE170" s="1">
        <v>0</v>
      </c>
      <c r="DF170" s="1">
        <v>0</v>
      </c>
      <c r="DG170" s="1">
        <v>0</v>
      </c>
      <c r="DH170" s="1">
        <v>0</v>
      </c>
      <c r="DI170" s="1">
        <v>0</v>
      </c>
      <c r="DJ170" s="1">
        <v>0</v>
      </c>
      <c r="DK170" s="1">
        <v>0</v>
      </c>
      <c r="DL170" s="1">
        <v>0</v>
      </c>
      <c r="DM170" s="1">
        <v>3389.4070000000002</v>
      </c>
      <c r="DN170" s="1">
        <v>3475.3209999999999</v>
      </c>
      <c r="DO170" s="1">
        <v>3510.14</v>
      </c>
      <c r="DP170" s="1">
        <v>3524.53</v>
      </c>
      <c r="DQ170" s="1">
        <v>3389.4070000000002</v>
      </c>
      <c r="DR170" s="1">
        <v>3475.3209999999999</v>
      </c>
      <c r="DS170" s="1">
        <v>3510.14</v>
      </c>
      <c r="DT170" s="1">
        <v>3524.53</v>
      </c>
      <c r="DU170" s="1">
        <v>0</v>
      </c>
      <c r="DV170" s="1">
        <v>0</v>
      </c>
      <c r="DW170" s="1">
        <v>0</v>
      </c>
      <c r="DX170" s="1">
        <v>0</v>
      </c>
      <c r="DY170" s="1">
        <v>0</v>
      </c>
      <c r="DZ170" s="1">
        <v>0</v>
      </c>
      <c r="EA170" s="1">
        <v>0</v>
      </c>
      <c r="EB170" s="1">
        <v>0</v>
      </c>
      <c r="EC170" s="1">
        <v>0</v>
      </c>
      <c r="ED170" s="1">
        <v>0</v>
      </c>
      <c r="EE170" s="1">
        <v>0</v>
      </c>
      <c r="EF170" s="1">
        <v>0</v>
      </c>
      <c r="EG170" s="1">
        <v>0</v>
      </c>
      <c r="EH170" s="1">
        <v>0</v>
      </c>
      <c r="EI170" s="1">
        <v>0</v>
      </c>
      <c r="EJ170" s="1">
        <v>0</v>
      </c>
      <c r="EK170" s="1">
        <v>940.30600000000004</v>
      </c>
      <c r="EL170" s="1">
        <v>1199.9179999999999</v>
      </c>
      <c r="EM170" s="1">
        <v>953.34999999999991</v>
      </c>
      <c r="EN170" s="1">
        <v>1375.62</v>
      </c>
      <c r="EO170" s="1">
        <v>940.30600000000004</v>
      </c>
      <c r="EP170" s="1">
        <v>1199.9179999999999</v>
      </c>
      <c r="EQ170" s="1">
        <v>953.34999999999991</v>
      </c>
      <c r="ER170" s="1">
        <v>1375.62</v>
      </c>
      <c r="ES170" s="1">
        <v>0</v>
      </c>
      <c r="ET170" s="1">
        <v>0</v>
      </c>
      <c r="EU170" s="1">
        <v>0</v>
      </c>
      <c r="EV170" s="1">
        <v>0</v>
      </c>
      <c r="EW170" s="1">
        <v>0</v>
      </c>
      <c r="EX170" s="1">
        <v>0</v>
      </c>
      <c r="EY170" s="1">
        <v>0</v>
      </c>
      <c r="EZ170" s="1">
        <v>0</v>
      </c>
      <c r="FA170" s="1">
        <v>0</v>
      </c>
      <c r="FB170" s="1">
        <v>0</v>
      </c>
      <c r="FC170" s="1">
        <v>0</v>
      </c>
      <c r="FD170" s="1">
        <v>0</v>
      </c>
      <c r="FE170" s="1">
        <v>480.64100000000002</v>
      </c>
      <c r="FF170" s="1">
        <v>201.80699999999999</v>
      </c>
      <c r="FG170" s="1">
        <v>273.07</v>
      </c>
      <c r="FH170" s="1">
        <v>275.43</v>
      </c>
      <c r="FI170" s="1">
        <v>480.64100000000002</v>
      </c>
      <c r="FJ170" s="1">
        <v>201.80699999999999</v>
      </c>
      <c r="FK170" s="1">
        <v>273.07</v>
      </c>
      <c r="FL170" s="1">
        <v>275.43</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v>0</v>
      </c>
      <c r="GC170" s="1">
        <v>76.760000000000005</v>
      </c>
      <c r="GD170" s="1">
        <v>88.46</v>
      </c>
      <c r="GE170" s="1">
        <v>78.38</v>
      </c>
      <c r="GF170" s="1">
        <v>67.48</v>
      </c>
      <c r="GG170" s="1">
        <v>76.760000000000005</v>
      </c>
      <c r="GH170" s="1">
        <v>88.46</v>
      </c>
      <c r="GI170" s="1">
        <v>78.38</v>
      </c>
      <c r="GJ170" s="1">
        <v>67.48</v>
      </c>
      <c r="GK170" s="1">
        <v>0</v>
      </c>
      <c r="GL170" s="1">
        <v>0</v>
      </c>
      <c r="GM170" s="1">
        <v>0</v>
      </c>
      <c r="GN170" s="1">
        <v>0</v>
      </c>
      <c r="GO170" s="1">
        <v>0</v>
      </c>
      <c r="GP170" s="1">
        <v>0</v>
      </c>
      <c r="GQ170" s="1">
        <v>0</v>
      </c>
      <c r="GR170" s="1">
        <v>0</v>
      </c>
      <c r="GS170" s="1">
        <v>0</v>
      </c>
      <c r="GT170" s="1">
        <v>0</v>
      </c>
      <c r="GU170" s="1">
        <v>0</v>
      </c>
      <c r="GV170" s="1">
        <v>0</v>
      </c>
      <c r="GW170" s="1">
        <v>0</v>
      </c>
      <c r="GX170" s="1">
        <v>0</v>
      </c>
      <c r="GY170" s="1">
        <v>0</v>
      </c>
      <c r="GZ170" s="1">
        <v>0</v>
      </c>
      <c r="HA170" s="1">
        <v>0</v>
      </c>
      <c r="HB170" s="1">
        <v>0</v>
      </c>
      <c r="HC170" s="1">
        <v>0</v>
      </c>
      <c r="HD170" s="1">
        <v>0</v>
      </c>
      <c r="HE170" s="1">
        <v>0</v>
      </c>
      <c r="HF170" s="1">
        <v>0</v>
      </c>
      <c r="HG170" s="1">
        <v>0</v>
      </c>
      <c r="HH170" s="1">
        <v>0</v>
      </c>
      <c r="HI170" s="1">
        <v>0</v>
      </c>
      <c r="HJ170" s="1">
        <v>0</v>
      </c>
      <c r="HK170" s="1">
        <v>0</v>
      </c>
      <c r="HL170" s="1">
        <v>0</v>
      </c>
      <c r="HM170" s="1">
        <v>0</v>
      </c>
      <c r="HN170" s="1">
        <v>0</v>
      </c>
      <c r="HO170" s="1">
        <v>0</v>
      </c>
      <c r="HP170" s="1">
        <v>0</v>
      </c>
      <c r="HQ170" s="1">
        <v>0</v>
      </c>
      <c r="HR170" s="1">
        <v>0</v>
      </c>
      <c r="HS170" s="1">
        <v>0</v>
      </c>
      <c r="HT170" s="1">
        <v>0</v>
      </c>
      <c r="HU170" s="1">
        <v>0</v>
      </c>
      <c r="HV170" s="1">
        <v>0</v>
      </c>
      <c r="HW170" s="1">
        <v>0</v>
      </c>
      <c r="HX170" s="1">
        <v>0</v>
      </c>
      <c r="HY170" s="1">
        <v>0</v>
      </c>
      <c r="HZ170" s="1">
        <v>0</v>
      </c>
      <c r="IA170" s="1">
        <v>0</v>
      </c>
      <c r="IB170" s="1">
        <v>0</v>
      </c>
      <c r="IC170" s="1">
        <v>0</v>
      </c>
      <c r="ID170" s="1">
        <v>0</v>
      </c>
      <c r="IE170" s="1">
        <v>0</v>
      </c>
      <c r="IF170" s="1">
        <v>0</v>
      </c>
      <c r="IG170" s="1">
        <v>0</v>
      </c>
      <c r="IH170" s="1">
        <v>0</v>
      </c>
      <c r="II170" s="1">
        <v>0</v>
      </c>
      <c r="IJ170" s="1">
        <v>0</v>
      </c>
      <c r="IK170" s="1">
        <v>0</v>
      </c>
      <c r="IL170" s="1">
        <v>0</v>
      </c>
      <c r="IM170" s="1">
        <v>0</v>
      </c>
      <c r="IN170" s="1">
        <v>0</v>
      </c>
      <c r="IO170" s="1">
        <v>764.76099999999997</v>
      </c>
      <c r="IP170" s="1">
        <v>699.923</v>
      </c>
      <c r="IQ170" s="1">
        <v>591.43000000000006</v>
      </c>
      <c r="IR170" s="1">
        <v>602.31000000000006</v>
      </c>
      <c r="IS170" s="1">
        <v>764.76099999999997</v>
      </c>
      <c r="IT170" s="1">
        <v>699.923</v>
      </c>
      <c r="IU170" s="1">
        <v>591.43000000000006</v>
      </c>
      <c r="IV170" s="1">
        <v>602.31000000000006</v>
      </c>
      <c r="IW170" s="1">
        <v>0</v>
      </c>
      <c r="IX170" s="1">
        <v>0</v>
      </c>
      <c r="IY170" s="1">
        <v>0</v>
      </c>
      <c r="IZ170" s="1">
        <v>0</v>
      </c>
      <c r="JA170" s="1">
        <v>0</v>
      </c>
      <c r="JB170" s="1">
        <v>0</v>
      </c>
      <c r="JC170" s="1">
        <v>0</v>
      </c>
      <c r="JD170" s="1">
        <v>0</v>
      </c>
      <c r="JE170" s="1">
        <v>0</v>
      </c>
      <c r="JF170" s="1">
        <v>0</v>
      </c>
      <c r="JG170" s="1">
        <v>0</v>
      </c>
      <c r="JH170" s="1">
        <v>0</v>
      </c>
      <c r="JI170" s="1">
        <v>0</v>
      </c>
      <c r="JJ170" s="1">
        <v>0</v>
      </c>
      <c r="JK170" s="1">
        <v>0</v>
      </c>
      <c r="JL170" s="1">
        <v>0</v>
      </c>
      <c r="JM170" s="1">
        <v>0</v>
      </c>
      <c r="JN170" s="1">
        <v>0</v>
      </c>
      <c r="JO170" s="1">
        <v>0</v>
      </c>
      <c r="JP170" s="1">
        <v>0</v>
      </c>
      <c r="JQ170" s="9"/>
      <c r="JR170" s="1">
        <f t="shared" si="38"/>
        <v>5120.4285000000009</v>
      </c>
      <c r="JS170" s="1">
        <f t="shared" si="38"/>
        <v>5058.2674800000004</v>
      </c>
      <c r="JT170" s="1">
        <f t="shared" si="38"/>
        <v>4816.6758000000018</v>
      </c>
      <c r="JU170" s="1">
        <f t="shared" si="36"/>
        <v>4632.6249000000007</v>
      </c>
      <c r="JV170" s="1">
        <f t="shared" si="39"/>
        <v>948.22750000000019</v>
      </c>
      <c r="JW170" s="1">
        <f t="shared" si="39"/>
        <v>936.71620000000007</v>
      </c>
      <c r="JX170" s="1">
        <f t="shared" si="39"/>
        <v>891.97700000000032</v>
      </c>
      <c r="JY170" s="1">
        <f t="shared" si="37"/>
        <v>857.89350000000013</v>
      </c>
    </row>
    <row r="171" spans="1:285" s="5" customFormat="1" x14ac:dyDescent="0.35">
      <c r="A171" s="3" t="s">
        <v>178</v>
      </c>
      <c r="B171" s="4">
        <v>356437</v>
      </c>
      <c r="C171" s="4">
        <v>360418</v>
      </c>
      <c r="D171" s="4">
        <v>363174</v>
      </c>
      <c r="E171" s="4">
        <v>368282</v>
      </c>
      <c r="F171" s="4">
        <v>119206.61800000002</v>
      </c>
      <c r="G171" s="4">
        <v>283700.80199999997</v>
      </c>
      <c r="H171" s="4">
        <v>324253.07</v>
      </c>
      <c r="I171" s="4">
        <v>336315.97</v>
      </c>
      <c r="J171" s="4">
        <f t="shared" si="40"/>
        <v>58097.628000000004</v>
      </c>
      <c r="K171" s="4">
        <f t="shared" si="41"/>
        <v>82717.054000000004</v>
      </c>
      <c r="L171" s="4">
        <f t="shared" si="42"/>
        <v>72270.64</v>
      </c>
      <c r="M171" s="4">
        <f t="shared" si="43"/>
        <v>76495.850000000006</v>
      </c>
      <c r="N171" s="4">
        <f t="shared" si="44"/>
        <v>61108.990000000013</v>
      </c>
      <c r="O171" s="4">
        <f t="shared" si="45"/>
        <v>200983.74799999996</v>
      </c>
      <c r="P171" s="4">
        <f t="shared" si="46"/>
        <v>251982.43</v>
      </c>
      <c r="Q171" s="4">
        <f t="shared" si="47"/>
        <v>259820.11999999997</v>
      </c>
      <c r="R171" s="4">
        <v>8445.1659999999993</v>
      </c>
      <c r="S171" s="4">
        <v>10457.59</v>
      </c>
      <c r="T171" s="4">
        <v>3543.08</v>
      </c>
      <c r="U171" s="4">
        <v>3365.6600000000003</v>
      </c>
      <c r="V171" s="4">
        <v>0</v>
      </c>
      <c r="W171" s="4">
        <v>0</v>
      </c>
      <c r="X171" s="4">
        <v>8445.1659999999993</v>
      </c>
      <c r="Y171" s="4">
        <v>0</v>
      </c>
      <c r="Z171" s="4">
        <v>0</v>
      </c>
      <c r="AA171" s="4">
        <v>10457.59</v>
      </c>
      <c r="AB171" s="4">
        <v>0</v>
      </c>
      <c r="AC171" s="4">
        <v>0</v>
      </c>
      <c r="AD171" s="4">
        <v>3543.08</v>
      </c>
      <c r="AE171" s="4">
        <v>0</v>
      </c>
      <c r="AF171" s="4">
        <v>0</v>
      </c>
      <c r="AG171" s="4">
        <v>3365.6600000000003</v>
      </c>
      <c r="AH171" s="4">
        <v>0</v>
      </c>
      <c r="AI171" s="4">
        <v>0</v>
      </c>
      <c r="AJ171" s="4">
        <v>0</v>
      </c>
      <c r="AK171" s="4">
        <v>0</v>
      </c>
      <c r="AL171" s="4">
        <v>0</v>
      </c>
      <c r="AM171" s="4">
        <v>0</v>
      </c>
      <c r="AN171" s="4">
        <v>0</v>
      </c>
      <c r="AO171" s="4">
        <v>0</v>
      </c>
      <c r="AP171" s="4">
        <v>9990.9300000000021</v>
      </c>
      <c r="AQ171" s="4">
        <v>26654.29</v>
      </c>
      <c r="AR171" s="4">
        <v>20770.29</v>
      </c>
      <c r="AS171" s="4">
        <v>22527.39</v>
      </c>
      <c r="AT171" s="4">
        <v>0</v>
      </c>
      <c r="AU171" s="4">
        <v>9990.9300000000021</v>
      </c>
      <c r="AV171" s="4">
        <v>0</v>
      </c>
      <c r="AW171" s="4">
        <v>0</v>
      </c>
      <c r="AX171" s="4">
        <v>0</v>
      </c>
      <c r="AY171" s="4">
        <v>26654.29</v>
      </c>
      <c r="AZ171" s="4">
        <v>0</v>
      </c>
      <c r="BA171" s="4">
        <v>0</v>
      </c>
      <c r="BB171" s="4">
        <v>0</v>
      </c>
      <c r="BC171" s="4">
        <v>19556.370000000003</v>
      </c>
      <c r="BD171" s="4">
        <v>0</v>
      </c>
      <c r="BE171" s="4">
        <v>0</v>
      </c>
      <c r="BF171" s="4">
        <v>22527.39</v>
      </c>
      <c r="BG171" s="4">
        <v>0</v>
      </c>
      <c r="BH171" s="4">
        <v>0</v>
      </c>
      <c r="BI171" s="4">
        <v>0</v>
      </c>
      <c r="BJ171" s="4">
        <v>0</v>
      </c>
      <c r="BK171" s="4">
        <v>0</v>
      </c>
      <c r="BL171" s="4">
        <v>0</v>
      </c>
      <c r="BM171" s="4">
        <v>0</v>
      </c>
      <c r="BN171" s="4">
        <v>0</v>
      </c>
      <c r="BO171" s="4">
        <v>0</v>
      </c>
      <c r="BP171" s="4">
        <v>0</v>
      </c>
      <c r="BQ171" s="4">
        <v>1213.92</v>
      </c>
      <c r="BR171" s="4">
        <v>0</v>
      </c>
      <c r="BS171" s="4">
        <v>0</v>
      </c>
      <c r="BT171" s="4">
        <v>0</v>
      </c>
      <c r="BU171" s="4">
        <v>17825.915000000001</v>
      </c>
      <c r="BV171" s="4">
        <v>17508.243999999999</v>
      </c>
      <c r="BW171" s="4">
        <v>16763.419999999998</v>
      </c>
      <c r="BX171" s="4">
        <v>21367.46</v>
      </c>
      <c r="BY171" s="4">
        <v>17695.620999999999</v>
      </c>
      <c r="BZ171" s="4">
        <v>17486.353999999999</v>
      </c>
      <c r="CA171" s="4">
        <v>16763.419999999998</v>
      </c>
      <c r="CB171" s="4">
        <v>21367.46</v>
      </c>
      <c r="CC171" s="4">
        <v>130.29400000000001</v>
      </c>
      <c r="CD171" s="4">
        <v>21.89</v>
      </c>
      <c r="CE171" s="4">
        <v>0</v>
      </c>
      <c r="CF171" s="4">
        <v>0</v>
      </c>
      <c r="CG171" s="4">
        <v>0</v>
      </c>
      <c r="CH171" s="4">
        <v>0</v>
      </c>
      <c r="CI171" s="4">
        <v>0</v>
      </c>
      <c r="CJ171" s="4">
        <v>0</v>
      </c>
      <c r="CK171" s="4">
        <v>0</v>
      </c>
      <c r="CL171" s="4">
        <v>0</v>
      </c>
      <c r="CM171" s="4">
        <v>0</v>
      </c>
      <c r="CN171" s="4">
        <v>0</v>
      </c>
      <c r="CO171" s="4">
        <v>0</v>
      </c>
      <c r="CP171" s="4">
        <v>0</v>
      </c>
      <c r="CQ171" s="4">
        <v>0</v>
      </c>
      <c r="CR171" s="4">
        <v>0</v>
      </c>
      <c r="CS171" s="4">
        <v>5785.0519999999997</v>
      </c>
      <c r="CT171" s="4">
        <v>5267.1580000000004</v>
      </c>
      <c r="CU171" s="4">
        <v>5287.29</v>
      </c>
      <c r="CV171" s="4">
        <v>5307.03</v>
      </c>
      <c r="CW171" s="4">
        <v>5785.0519999999997</v>
      </c>
      <c r="CX171" s="4">
        <v>5267.1580000000004</v>
      </c>
      <c r="CY171" s="4">
        <v>5287.29</v>
      </c>
      <c r="CZ171" s="4">
        <v>5307.03</v>
      </c>
      <c r="DA171" s="4">
        <v>0</v>
      </c>
      <c r="DB171" s="4">
        <v>0</v>
      </c>
      <c r="DC171" s="4">
        <v>0</v>
      </c>
      <c r="DD171" s="4">
        <v>0</v>
      </c>
      <c r="DE171" s="4">
        <v>0</v>
      </c>
      <c r="DF171" s="4">
        <v>0</v>
      </c>
      <c r="DG171" s="4">
        <v>0</v>
      </c>
      <c r="DH171" s="4">
        <v>0</v>
      </c>
      <c r="DI171" s="4">
        <v>0</v>
      </c>
      <c r="DJ171" s="4">
        <v>0</v>
      </c>
      <c r="DK171" s="4">
        <v>0</v>
      </c>
      <c r="DL171" s="4">
        <v>0</v>
      </c>
      <c r="DM171" s="4">
        <v>10794.698</v>
      </c>
      <c r="DN171" s="4">
        <v>11980.045</v>
      </c>
      <c r="DO171" s="4">
        <v>10470.43</v>
      </c>
      <c r="DP171" s="4">
        <v>8028.0400000000009</v>
      </c>
      <c r="DQ171" s="4">
        <v>6687.44</v>
      </c>
      <c r="DR171" s="4">
        <v>10420.460999999999</v>
      </c>
      <c r="DS171" s="4">
        <v>10470.43</v>
      </c>
      <c r="DT171" s="4">
        <v>8028.0400000000009</v>
      </c>
      <c r="DU171" s="4">
        <v>0</v>
      </c>
      <c r="DV171" s="4">
        <v>0</v>
      </c>
      <c r="DW171" s="4">
        <v>0</v>
      </c>
      <c r="DX171" s="4">
        <v>0</v>
      </c>
      <c r="DY171" s="4">
        <v>0</v>
      </c>
      <c r="DZ171" s="4">
        <v>0</v>
      </c>
      <c r="EA171" s="4">
        <v>0</v>
      </c>
      <c r="EB171" s="4">
        <v>0</v>
      </c>
      <c r="EC171" s="4">
        <v>0</v>
      </c>
      <c r="ED171" s="4">
        <v>0</v>
      </c>
      <c r="EE171" s="4">
        <v>0</v>
      </c>
      <c r="EF171" s="4">
        <v>0</v>
      </c>
      <c r="EG171" s="4">
        <v>0</v>
      </c>
      <c r="EH171" s="4">
        <v>0</v>
      </c>
      <c r="EI171" s="4">
        <v>0</v>
      </c>
      <c r="EJ171" s="4">
        <v>0</v>
      </c>
      <c r="EK171" s="4">
        <v>4523.0730000000003</v>
      </c>
      <c r="EL171" s="4">
        <v>5752.405999999999</v>
      </c>
      <c r="EM171" s="4">
        <v>8834.39</v>
      </c>
      <c r="EN171" s="4">
        <v>8866.31</v>
      </c>
      <c r="EO171" s="4">
        <v>4523.0730000000003</v>
      </c>
      <c r="EP171" s="4">
        <v>5720.0259999999998</v>
      </c>
      <c r="EQ171" s="4">
        <v>8807.77</v>
      </c>
      <c r="ER171" s="4">
        <v>8848.8499999999985</v>
      </c>
      <c r="ES171" s="4">
        <v>0</v>
      </c>
      <c r="ET171" s="4">
        <v>32.380000000000003</v>
      </c>
      <c r="EU171" s="4">
        <v>26.62</v>
      </c>
      <c r="EV171" s="4">
        <v>17.46</v>
      </c>
      <c r="EW171" s="4">
        <v>0</v>
      </c>
      <c r="EX171" s="4">
        <v>0</v>
      </c>
      <c r="EY171" s="4">
        <v>0</v>
      </c>
      <c r="EZ171" s="4">
        <v>0</v>
      </c>
      <c r="FA171" s="4">
        <v>0</v>
      </c>
      <c r="FB171" s="4">
        <v>0</v>
      </c>
      <c r="FC171" s="4">
        <v>0</v>
      </c>
      <c r="FD171" s="4">
        <v>0</v>
      </c>
      <c r="FE171" s="4">
        <v>579.14799999999991</v>
      </c>
      <c r="FF171" s="4">
        <v>724.351</v>
      </c>
      <c r="FG171" s="4">
        <v>1851.86</v>
      </c>
      <c r="FH171" s="4">
        <v>1881.09</v>
      </c>
      <c r="FI171" s="4">
        <v>176.73399999999998</v>
      </c>
      <c r="FJ171" s="4">
        <v>598.02499999999998</v>
      </c>
      <c r="FK171" s="4">
        <v>1662.85</v>
      </c>
      <c r="FL171" s="4">
        <v>1881.09</v>
      </c>
      <c r="FM171" s="4">
        <v>402.41399999999999</v>
      </c>
      <c r="FN171" s="4">
        <v>126.32599999999999</v>
      </c>
      <c r="FO171" s="4">
        <v>189.01</v>
      </c>
      <c r="FP171" s="4">
        <v>0</v>
      </c>
      <c r="FQ171" s="4">
        <v>0</v>
      </c>
      <c r="FR171" s="4">
        <v>0</v>
      </c>
      <c r="FS171" s="4">
        <v>0</v>
      </c>
      <c r="FT171" s="4">
        <v>0</v>
      </c>
      <c r="FU171" s="4">
        <v>0</v>
      </c>
      <c r="FV171" s="4">
        <v>0</v>
      </c>
      <c r="FW171" s="4">
        <v>0</v>
      </c>
      <c r="FX171" s="4">
        <v>0</v>
      </c>
      <c r="FY171" s="4">
        <v>0</v>
      </c>
      <c r="FZ171" s="4">
        <v>0</v>
      </c>
      <c r="GA171" s="4">
        <v>0</v>
      </c>
      <c r="GB171" s="4">
        <v>0</v>
      </c>
      <c r="GC171" s="4">
        <v>8.5999999999999993E-2</v>
      </c>
      <c r="GD171" s="4">
        <v>3004.71</v>
      </c>
      <c r="GE171" s="4">
        <v>3599.97</v>
      </c>
      <c r="GF171" s="4">
        <v>3930.98</v>
      </c>
      <c r="GG171" s="4">
        <v>8.6000000000000007E-2</v>
      </c>
      <c r="GH171" s="4">
        <v>3004.71</v>
      </c>
      <c r="GI171" s="4">
        <v>3599.97</v>
      </c>
      <c r="GJ171" s="4">
        <v>3930.98</v>
      </c>
      <c r="GK171" s="4">
        <v>0</v>
      </c>
      <c r="GL171" s="4">
        <v>0</v>
      </c>
      <c r="GM171" s="4">
        <v>0</v>
      </c>
      <c r="GN171" s="4">
        <v>0</v>
      </c>
      <c r="GO171" s="4">
        <v>0</v>
      </c>
      <c r="GP171" s="4">
        <v>0</v>
      </c>
      <c r="GQ171" s="4">
        <v>0</v>
      </c>
      <c r="GR171" s="4">
        <v>0</v>
      </c>
      <c r="GS171" s="4">
        <v>0</v>
      </c>
      <c r="GT171" s="4">
        <v>0</v>
      </c>
      <c r="GU171" s="4">
        <v>0</v>
      </c>
      <c r="GV171" s="4">
        <v>0</v>
      </c>
      <c r="GW171" s="4">
        <v>0</v>
      </c>
      <c r="GX171" s="4">
        <v>0</v>
      </c>
      <c r="GY171" s="4">
        <v>0</v>
      </c>
      <c r="GZ171" s="4">
        <v>0</v>
      </c>
      <c r="HA171" s="4">
        <v>0</v>
      </c>
      <c r="HB171" s="4">
        <v>0</v>
      </c>
      <c r="HC171" s="4">
        <v>0</v>
      </c>
      <c r="HD171" s="4">
        <v>0</v>
      </c>
      <c r="HE171" s="4">
        <v>128.88</v>
      </c>
      <c r="HF171" s="4">
        <v>72.31</v>
      </c>
      <c r="HG171" s="4">
        <v>68.34</v>
      </c>
      <c r="HH171" s="4">
        <v>65.069999999999993</v>
      </c>
      <c r="HI171" s="4">
        <v>0</v>
      </c>
      <c r="HJ171" s="4">
        <v>0</v>
      </c>
      <c r="HK171" s="4">
        <v>68.34</v>
      </c>
      <c r="HL171" s="4">
        <v>65.069999999999993</v>
      </c>
      <c r="HM171" s="4">
        <v>0</v>
      </c>
      <c r="HN171" s="4">
        <v>0</v>
      </c>
      <c r="HO171" s="4">
        <v>0</v>
      </c>
      <c r="HP171" s="4">
        <v>0</v>
      </c>
      <c r="HQ171" s="4">
        <v>0</v>
      </c>
      <c r="HR171" s="4">
        <v>0</v>
      </c>
      <c r="HS171" s="4">
        <v>0</v>
      </c>
      <c r="HT171" s="4">
        <v>0</v>
      </c>
      <c r="HU171" s="4">
        <v>0</v>
      </c>
      <c r="HV171" s="4">
        <v>0</v>
      </c>
      <c r="HW171" s="4">
        <v>0</v>
      </c>
      <c r="HX171" s="4">
        <v>0</v>
      </c>
      <c r="HY171" s="4">
        <v>0</v>
      </c>
      <c r="HZ171" s="4">
        <v>0</v>
      </c>
      <c r="IA171" s="4">
        <v>0</v>
      </c>
      <c r="IB171" s="4">
        <v>0</v>
      </c>
      <c r="IC171" s="4">
        <v>0</v>
      </c>
      <c r="ID171" s="4">
        <v>0</v>
      </c>
      <c r="IE171" s="4">
        <v>0</v>
      </c>
      <c r="IF171" s="4">
        <v>0</v>
      </c>
      <c r="IG171" s="4">
        <v>0</v>
      </c>
      <c r="IH171" s="4">
        <v>0</v>
      </c>
      <c r="II171" s="4">
        <v>0</v>
      </c>
      <c r="IJ171" s="4">
        <v>0</v>
      </c>
      <c r="IK171" s="4">
        <v>0</v>
      </c>
      <c r="IL171" s="4">
        <v>0</v>
      </c>
      <c r="IM171" s="4">
        <v>0</v>
      </c>
      <c r="IN171" s="4">
        <v>0</v>
      </c>
      <c r="IO171" s="4">
        <v>24.68</v>
      </c>
      <c r="IP171" s="4">
        <v>1295.95</v>
      </c>
      <c r="IQ171" s="4">
        <v>1081.57</v>
      </c>
      <c r="IR171" s="4">
        <v>1156.82</v>
      </c>
      <c r="IS171" s="4">
        <v>24.68</v>
      </c>
      <c r="IT171" s="4">
        <v>785.18000000000006</v>
      </c>
      <c r="IU171" s="4">
        <v>615.14</v>
      </c>
      <c r="IV171" s="4">
        <v>568.63</v>
      </c>
      <c r="IW171" s="4">
        <v>0</v>
      </c>
      <c r="IX171" s="4">
        <v>510.77</v>
      </c>
      <c r="IY171" s="4">
        <v>466.43000000000012</v>
      </c>
      <c r="IZ171" s="4">
        <v>588.19000000000005</v>
      </c>
      <c r="JA171" s="4">
        <v>0</v>
      </c>
      <c r="JB171" s="4">
        <v>0</v>
      </c>
      <c r="JC171" s="4">
        <v>0</v>
      </c>
      <c r="JD171" s="4">
        <v>0</v>
      </c>
      <c r="JE171" s="4">
        <v>0</v>
      </c>
      <c r="JF171" s="4">
        <v>0</v>
      </c>
      <c r="JG171" s="4">
        <v>0</v>
      </c>
      <c r="JH171" s="4">
        <v>0</v>
      </c>
      <c r="JI171" s="4">
        <v>0</v>
      </c>
      <c r="JJ171" s="4">
        <v>0</v>
      </c>
      <c r="JK171" s="4">
        <v>0</v>
      </c>
      <c r="JL171" s="4">
        <v>0</v>
      </c>
      <c r="JM171" s="4">
        <v>0</v>
      </c>
      <c r="JN171" s="4">
        <v>0</v>
      </c>
      <c r="JO171" s="4">
        <v>0</v>
      </c>
      <c r="JP171" s="4">
        <v>0</v>
      </c>
      <c r="JQ171" s="9"/>
      <c r="JR171" s="4">
        <f t="shared" si="38"/>
        <v>16499.427300000003</v>
      </c>
      <c r="JS171" s="4">
        <f t="shared" si="38"/>
        <v>54265.611959999995</v>
      </c>
      <c r="JT171" s="4">
        <f t="shared" si="38"/>
        <v>68035.256099999999</v>
      </c>
      <c r="JU171" s="4">
        <f t="shared" si="36"/>
        <v>70151.432399999991</v>
      </c>
      <c r="JV171" s="4">
        <f t="shared" si="39"/>
        <v>3055.4495000000006</v>
      </c>
      <c r="JW171" s="4">
        <f t="shared" si="39"/>
        <v>10049.187399999999</v>
      </c>
      <c r="JX171" s="4">
        <f t="shared" si="39"/>
        <v>12599.121500000001</v>
      </c>
      <c r="JY171" s="4">
        <f t="shared" si="37"/>
        <v>12991.005999999999</v>
      </c>
    </row>
    <row r="172" spans="1:285" x14ac:dyDescent="0.35">
      <c r="A172" s="2" t="s">
        <v>179</v>
      </c>
      <c r="B172" s="1">
        <v>215850</v>
      </c>
      <c r="C172" s="1">
        <v>217385</v>
      </c>
      <c r="D172" s="1">
        <v>219064</v>
      </c>
      <c r="E172" s="1">
        <v>221927</v>
      </c>
      <c r="F172" s="1">
        <v>164786.26999999999</v>
      </c>
      <c r="G172" s="1">
        <v>189789.22</v>
      </c>
      <c r="H172" s="1">
        <v>169662.56</v>
      </c>
      <c r="I172" s="1">
        <v>182467.66</v>
      </c>
      <c r="J172" s="1">
        <f t="shared" si="40"/>
        <v>67795.710000000006</v>
      </c>
      <c r="K172" s="1">
        <f t="shared" si="41"/>
        <v>79634.690000000017</v>
      </c>
      <c r="L172" s="1">
        <f t="shared" si="42"/>
        <v>79104.570000000022</v>
      </c>
      <c r="M172" s="1">
        <f t="shared" si="43"/>
        <v>89867.28</v>
      </c>
      <c r="N172" s="1">
        <f t="shared" si="44"/>
        <v>96990.559999999983</v>
      </c>
      <c r="O172" s="1">
        <f t="shared" si="45"/>
        <v>110154.52999999998</v>
      </c>
      <c r="P172" s="1">
        <f t="shared" si="46"/>
        <v>90557.989999999976</v>
      </c>
      <c r="Q172" s="1">
        <f t="shared" si="47"/>
        <v>92600.38</v>
      </c>
      <c r="R172" s="1">
        <v>7740.98</v>
      </c>
      <c r="S172" s="1">
        <v>7580.36</v>
      </c>
      <c r="T172" s="1">
        <v>7014.04</v>
      </c>
      <c r="U172" s="1">
        <v>6826.14</v>
      </c>
      <c r="V172" s="1">
        <v>0</v>
      </c>
      <c r="W172" s="1">
        <v>0</v>
      </c>
      <c r="X172" s="1">
        <v>7740.98</v>
      </c>
      <c r="Y172" s="1">
        <v>0</v>
      </c>
      <c r="Z172" s="1">
        <v>0</v>
      </c>
      <c r="AA172" s="1">
        <v>7580.36</v>
      </c>
      <c r="AB172" s="1">
        <v>0</v>
      </c>
      <c r="AC172" s="1">
        <v>0</v>
      </c>
      <c r="AD172" s="1">
        <v>7014.04</v>
      </c>
      <c r="AE172" s="1">
        <v>0</v>
      </c>
      <c r="AF172" s="1">
        <v>0</v>
      </c>
      <c r="AG172" s="1">
        <v>6826.14</v>
      </c>
      <c r="AH172" s="1">
        <v>0</v>
      </c>
      <c r="AI172" s="1">
        <v>0</v>
      </c>
      <c r="AJ172" s="1">
        <v>0</v>
      </c>
      <c r="AK172" s="1">
        <v>0</v>
      </c>
      <c r="AL172" s="1">
        <v>0</v>
      </c>
      <c r="AM172" s="1">
        <v>0</v>
      </c>
      <c r="AN172" s="1">
        <v>0</v>
      </c>
      <c r="AO172" s="1">
        <v>0</v>
      </c>
      <c r="AP172" s="1">
        <v>18746.75</v>
      </c>
      <c r="AQ172" s="1">
        <v>17244.500000000004</v>
      </c>
      <c r="AR172" s="1">
        <v>15472.23</v>
      </c>
      <c r="AS172" s="1">
        <v>17063.690000000002</v>
      </c>
      <c r="AT172" s="1">
        <v>0</v>
      </c>
      <c r="AU172" s="1">
        <v>18746.75</v>
      </c>
      <c r="AV172" s="1">
        <v>0</v>
      </c>
      <c r="AW172" s="1">
        <v>0</v>
      </c>
      <c r="AX172" s="1">
        <v>0</v>
      </c>
      <c r="AY172" s="1">
        <v>17244.500000000004</v>
      </c>
      <c r="AZ172" s="1">
        <v>0</v>
      </c>
      <c r="BA172" s="1">
        <v>0</v>
      </c>
      <c r="BB172" s="1">
        <v>0</v>
      </c>
      <c r="BC172" s="1">
        <v>15472.23</v>
      </c>
      <c r="BD172" s="1">
        <v>0</v>
      </c>
      <c r="BE172" s="1">
        <v>0</v>
      </c>
      <c r="BF172" s="1">
        <v>17063.690000000002</v>
      </c>
      <c r="BG172" s="1">
        <v>0</v>
      </c>
      <c r="BH172" s="1">
        <v>0</v>
      </c>
      <c r="BI172" s="1">
        <v>0</v>
      </c>
      <c r="BJ172" s="1">
        <v>0</v>
      </c>
      <c r="BK172" s="1">
        <v>0</v>
      </c>
      <c r="BL172" s="1">
        <v>0</v>
      </c>
      <c r="BM172" s="1">
        <v>0</v>
      </c>
      <c r="BN172" s="1">
        <v>0</v>
      </c>
      <c r="BO172" s="1">
        <v>0</v>
      </c>
      <c r="BP172" s="1">
        <v>0</v>
      </c>
      <c r="BQ172" s="1">
        <v>0</v>
      </c>
      <c r="BR172" s="1">
        <v>0</v>
      </c>
      <c r="BS172" s="1">
        <v>0</v>
      </c>
      <c r="BT172" s="1">
        <v>0</v>
      </c>
      <c r="BU172" s="1">
        <v>11174.2</v>
      </c>
      <c r="BV172" s="1">
        <v>11559.32</v>
      </c>
      <c r="BW172" s="1">
        <v>16787.47</v>
      </c>
      <c r="BX172" s="1">
        <v>18997.18</v>
      </c>
      <c r="BY172" s="1">
        <v>11174.2</v>
      </c>
      <c r="BZ172" s="1">
        <v>11559.32</v>
      </c>
      <c r="CA172" s="1">
        <v>16787.47</v>
      </c>
      <c r="CB172" s="1">
        <v>18944.54</v>
      </c>
      <c r="CC172" s="1">
        <v>0</v>
      </c>
      <c r="CD172" s="1">
        <v>0</v>
      </c>
      <c r="CE172" s="1">
        <v>0</v>
      </c>
      <c r="CF172" s="1">
        <v>52.64</v>
      </c>
      <c r="CG172" s="1">
        <v>0</v>
      </c>
      <c r="CH172" s="1">
        <v>0</v>
      </c>
      <c r="CI172" s="1">
        <v>0</v>
      </c>
      <c r="CJ172" s="1">
        <v>0</v>
      </c>
      <c r="CK172" s="1">
        <v>0</v>
      </c>
      <c r="CL172" s="1">
        <v>0</v>
      </c>
      <c r="CM172" s="1">
        <v>0</v>
      </c>
      <c r="CN172" s="1">
        <v>0</v>
      </c>
      <c r="CO172" s="1">
        <v>0</v>
      </c>
      <c r="CP172" s="1">
        <v>0</v>
      </c>
      <c r="CQ172" s="1">
        <v>0</v>
      </c>
      <c r="CR172" s="1">
        <v>0</v>
      </c>
      <c r="CS172" s="1">
        <v>5059.5200000000004</v>
      </c>
      <c r="CT172" s="1">
        <v>5830.66</v>
      </c>
      <c r="CU172" s="1">
        <v>6341.19</v>
      </c>
      <c r="CV172" s="1">
        <v>8577.0099999999984</v>
      </c>
      <c r="CW172" s="1">
        <v>5059.5200000000004</v>
      </c>
      <c r="CX172" s="1">
        <v>5805.25</v>
      </c>
      <c r="CY172" s="1">
        <v>6326.97</v>
      </c>
      <c r="CZ172" s="1">
        <v>8576.0099999999984</v>
      </c>
      <c r="DA172" s="1">
        <v>0</v>
      </c>
      <c r="DB172" s="1">
        <v>25.41</v>
      </c>
      <c r="DC172" s="1">
        <v>14.22</v>
      </c>
      <c r="DD172" s="1">
        <v>1</v>
      </c>
      <c r="DE172" s="1">
        <v>0</v>
      </c>
      <c r="DF172" s="1">
        <v>0</v>
      </c>
      <c r="DG172" s="1">
        <v>0</v>
      </c>
      <c r="DH172" s="1">
        <v>0</v>
      </c>
      <c r="DI172" s="1">
        <v>0</v>
      </c>
      <c r="DJ172" s="1">
        <v>0</v>
      </c>
      <c r="DK172" s="1">
        <v>0</v>
      </c>
      <c r="DL172" s="1">
        <v>0</v>
      </c>
      <c r="DM172" s="1">
        <v>7528.54</v>
      </c>
      <c r="DN172" s="1">
        <v>7026.86</v>
      </c>
      <c r="DO172" s="1">
        <v>6474.42</v>
      </c>
      <c r="DP172" s="1">
        <v>7883.3700000000008</v>
      </c>
      <c r="DQ172" s="1">
        <v>7528.54</v>
      </c>
      <c r="DR172" s="1">
        <v>7026.86</v>
      </c>
      <c r="DS172" s="1">
        <v>6474.42</v>
      </c>
      <c r="DT172" s="1">
        <v>7883.3700000000008</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5318.84</v>
      </c>
      <c r="EL172" s="1">
        <v>11370.92</v>
      </c>
      <c r="EM172" s="1">
        <v>14765.44</v>
      </c>
      <c r="EN172" s="1">
        <v>15402.73</v>
      </c>
      <c r="EO172" s="1">
        <v>5308.67</v>
      </c>
      <c r="EP172" s="1">
        <v>11362.01</v>
      </c>
      <c r="EQ172" s="1">
        <v>14754.83</v>
      </c>
      <c r="ER172" s="1">
        <v>15390.42</v>
      </c>
      <c r="ES172" s="1">
        <v>10.17</v>
      </c>
      <c r="ET172" s="1">
        <v>8.91</v>
      </c>
      <c r="EU172" s="1">
        <v>10.61</v>
      </c>
      <c r="EV172" s="1">
        <v>12.31</v>
      </c>
      <c r="EW172" s="1">
        <v>0</v>
      </c>
      <c r="EX172" s="1">
        <v>0</v>
      </c>
      <c r="EY172" s="1">
        <v>0</v>
      </c>
      <c r="EZ172" s="1">
        <v>0</v>
      </c>
      <c r="FA172" s="1">
        <v>0</v>
      </c>
      <c r="FB172" s="1">
        <v>0</v>
      </c>
      <c r="FC172" s="1">
        <v>0</v>
      </c>
      <c r="FD172" s="1">
        <v>0</v>
      </c>
      <c r="FE172" s="1">
        <v>396.37</v>
      </c>
      <c r="FF172" s="1">
        <v>447.11</v>
      </c>
      <c r="FG172" s="1">
        <v>531.38</v>
      </c>
      <c r="FH172" s="1">
        <v>484.45</v>
      </c>
      <c r="FI172" s="1">
        <v>69.25</v>
      </c>
      <c r="FJ172" s="1">
        <v>35.17</v>
      </c>
      <c r="FK172" s="1">
        <v>108.38</v>
      </c>
      <c r="FL172" s="1">
        <v>39.19</v>
      </c>
      <c r="FM172" s="1">
        <v>327.12</v>
      </c>
      <c r="FN172" s="1">
        <v>411.94</v>
      </c>
      <c r="FO172" s="1">
        <v>423</v>
      </c>
      <c r="FP172" s="1">
        <v>445.26</v>
      </c>
      <c r="FQ172" s="1">
        <v>0</v>
      </c>
      <c r="FR172" s="1">
        <v>0</v>
      </c>
      <c r="FS172" s="1">
        <v>0</v>
      </c>
      <c r="FT172" s="1">
        <v>0</v>
      </c>
      <c r="FU172" s="1">
        <v>0</v>
      </c>
      <c r="FV172" s="1">
        <v>0</v>
      </c>
      <c r="FW172" s="1">
        <v>0</v>
      </c>
      <c r="FX172" s="1">
        <v>0</v>
      </c>
      <c r="FY172" s="1">
        <v>0</v>
      </c>
      <c r="FZ172" s="1">
        <v>0</v>
      </c>
      <c r="GA172" s="1">
        <v>0</v>
      </c>
      <c r="GB172" s="1">
        <v>0</v>
      </c>
      <c r="GC172" s="1">
        <v>3965.65</v>
      </c>
      <c r="GD172" s="1">
        <v>3451.54</v>
      </c>
      <c r="GE172" s="1">
        <v>2735.27</v>
      </c>
      <c r="GF172" s="1">
        <v>4654.18</v>
      </c>
      <c r="GG172" s="1">
        <v>3965.65</v>
      </c>
      <c r="GH172" s="1">
        <v>3451.54</v>
      </c>
      <c r="GI172" s="1">
        <v>2735.27</v>
      </c>
      <c r="GJ172" s="1">
        <v>4654.18</v>
      </c>
      <c r="GK172" s="1">
        <v>0</v>
      </c>
      <c r="GL172" s="1">
        <v>0</v>
      </c>
      <c r="GM172" s="1">
        <v>0</v>
      </c>
      <c r="GN172" s="1">
        <v>0</v>
      </c>
      <c r="GO172" s="1">
        <v>0</v>
      </c>
      <c r="GP172" s="1">
        <v>0</v>
      </c>
      <c r="GQ172" s="1">
        <v>0</v>
      </c>
      <c r="GR172" s="1">
        <v>0</v>
      </c>
      <c r="GS172" s="1">
        <v>0</v>
      </c>
      <c r="GT172" s="1">
        <v>0</v>
      </c>
      <c r="GU172" s="1">
        <v>0</v>
      </c>
      <c r="GV172" s="1">
        <v>0</v>
      </c>
      <c r="GW172" s="1">
        <v>0</v>
      </c>
      <c r="GX172" s="1">
        <v>0</v>
      </c>
      <c r="GY172" s="1">
        <v>0</v>
      </c>
      <c r="GZ172" s="1">
        <v>0</v>
      </c>
      <c r="HA172" s="1">
        <v>0</v>
      </c>
      <c r="HB172" s="1">
        <v>0</v>
      </c>
      <c r="HC172" s="1">
        <v>0</v>
      </c>
      <c r="HD172" s="1">
        <v>0</v>
      </c>
      <c r="HE172" s="1">
        <v>4354.3900000000003</v>
      </c>
      <c r="HF172" s="1">
        <v>10183.73</v>
      </c>
      <c r="HG172" s="1">
        <v>5087.6099999999997</v>
      </c>
      <c r="HH172" s="1">
        <v>5978.9299999999994</v>
      </c>
      <c r="HI172" s="1">
        <v>4354.3900000000003</v>
      </c>
      <c r="HJ172" s="1">
        <v>9678.5400000000009</v>
      </c>
      <c r="HK172" s="1">
        <v>4627.26</v>
      </c>
      <c r="HL172" s="1">
        <v>5532.57</v>
      </c>
      <c r="HM172" s="1">
        <v>0</v>
      </c>
      <c r="HN172" s="1">
        <v>0</v>
      </c>
      <c r="HO172" s="1">
        <v>0</v>
      </c>
      <c r="HP172" s="1">
        <v>0</v>
      </c>
      <c r="HQ172" s="1">
        <v>0</v>
      </c>
      <c r="HR172" s="1">
        <v>0</v>
      </c>
      <c r="HS172" s="1">
        <v>0</v>
      </c>
      <c r="HT172" s="1">
        <v>0</v>
      </c>
      <c r="HU172" s="1">
        <v>0</v>
      </c>
      <c r="HV172" s="1">
        <v>0</v>
      </c>
      <c r="HW172" s="1">
        <v>0</v>
      </c>
      <c r="HX172" s="1">
        <v>0</v>
      </c>
      <c r="HY172" s="1">
        <v>0</v>
      </c>
      <c r="HZ172" s="1">
        <v>0</v>
      </c>
      <c r="IA172" s="1">
        <v>0</v>
      </c>
      <c r="IB172" s="1">
        <v>0</v>
      </c>
      <c r="IC172" s="1">
        <v>0</v>
      </c>
      <c r="ID172" s="1">
        <v>505.19</v>
      </c>
      <c r="IE172" s="1">
        <v>460.35</v>
      </c>
      <c r="IF172" s="1">
        <v>446.36</v>
      </c>
      <c r="IG172" s="1">
        <v>0</v>
      </c>
      <c r="IH172" s="1">
        <v>0</v>
      </c>
      <c r="II172" s="1">
        <v>0</v>
      </c>
      <c r="IJ172" s="1">
        <v>0</v>
      </c>
      <c r="IK172" s="1">
        <v>0</v>
      </c>
      <c r="IL172" s="1">
        <v>0</v>
      </c>
      <c r="IM172" s="1">
        <v>0</v>
      </c>
      <c r="IN172" s="1">
        <v>0</v>
      </c>
      <c r="IO172" s="1">
        <v>3510.47</v>
      </c>
      <c r="IP172" s="1">
        <v>4939.6900000000014</v>
      </c>
      <c r="IQ172" s="1">
        <v>3895.52</v>
      </c>
      <c r="IR172" s="1">
        <v>3999.6</v>
      </c>
      <c r="IS172" s="1">
        <v>3483.16</v>
      </c>
      <c r="IT172" s="1">
        <v>4907.76</v>
      </c>
      <c r="IU172" s="1">
        <v>3862.33</v>
      </c>
      <c r="IV172" s="1">
        <v>3937.74</v>
      </c>
      <c r="IW172" s="1">
        <v>27.31</v>
      </c>
      <c r="IX172" s="1">
        <v>31.93</v>
      </c>
      <c r="IY172" s="1">
        <v>33.19</v>
      </c>
      <c r="IZ172" s="1">
        <v>28.96</v>
      </c>
      <c r="JA172" s="1">
        <v>0</v>
      </c>
      <c r="JB172" s="1">
        <v>0</v>
      </c>
      <c r="JC172" s="1">
        <v>0</v>
      </c>
      <c r="JD172" s="1">
        <v>0</v>
      </c>
      <c r="JE172" s="1">
        <v>0</v>
      </c>
      <c r="JF172" s="1">
        <v>0</v>
      </c>
      <c r="JG172" s="1">
        <v>0</v>
      </c>
      <c r="JH172" s="1">
        <v>32.9</v>
      </c>
      <c r="JI172" s="1">
        <v>0</v>
      </c>
      <c r="JJ172" s="1">
        <v>0</v>
      </c>
      <c r="JK172" s="1">
        <v>0</v>
      </c>
      <c r="JL172" s="1">
        <v>0</v>
      </c>
      <c r="JM172" s="1">
        <v>0</v>
      </c>
      <c r="JN172" s="1">
        <v>0</v>
      </c>
      <c r="JO172" s="1">
        <v>0</v>
      </c>
      <c r="JP172" s="1">
        <v>0</v>
      </c>
      <c r="JQ172" s="9"/>
      <c r="JR172" s="1">
        <f t="shared" si="38"/>
        <v>26187.451199999996</v>
      </c>
      <c r="JS172" s="1">
        <f t="shared" si="38"/>
        <v>29741.723099999999</v>
      </c>
      <c r="JT172" s="1">
        <f t="shared" si="38"/>
        <v>24450.657299999995</v>
      </c>
      <c r="JU172" s="1">
        <f t="shared" si="36"/>
        <v>25002.102600000002</v>
      </c>
      <c r="JV172" s="1">
        <f t="shared" si="39"/>
        <v>4849.5279999999993</v>
      </c>
      <c r="JW172" s="1">
        <f t="shared" si="39"/>
        <v>5507.7264999999998</v>
      </c>
      <c r="JX172" s="1">
        <f t="shared" si="39"/>
        <v>4527.8994999999986</v>
      </c>
      <c r="JY172" s="1">
        <f t="shared" si="37"/>
        <v>4630.0190000000002</v>
      </c>
    </row>
    <row r="173" spans="1:285" x14ac:dyDescent="0.35">
      <c r="A173" s="2" t="s">
        <v>180</v>
      </c>
      <c r="B173" s="1">
        <v>208015</v>
      </c>
      <c r="C173" s="1">
        <v>209128</v>
      </c>
      <c r="D173" s="1">
        <v>210772</v>
      </c>
      <c r="E173" s="1">
        <v>212705</v>
      </c>
      <c r="F173" s="1">
        <v>177323.08</v>
      </c>
      <c r="G173" s="1">
        <v>184493.83</v>
      </c>
      <c r="H173" s="1">
        <v>166018.73000000001</v>
      </c>
      <c r="I173" s="1">
        <v>174630.85</v>
      </c>
      <c r="J173" s="1">
        <f t="shared" si="40"/>
        <v>38697.040000000001</v>
      </c>
      <c r="K173" s="1">
        <f t="shared" si="41"/>
        <v>48051.960000000006</v>
      </c>
      <c r="L173" s="1">
        <f t="shared" si="42"/>
        <v>34823.67</v>
      </c>
      <c r="M173" s="1">
        <f t="shared" si="43"/>
        <v>42789.599999999999</v>
      </c>
      <c r="N173" s="1">
        <f t="shared" si="44"/>
        <v>138626.03999999998</v>
      </c>
      <c r="O173" s="1">
        <f t="shared" si="45"/>
        <v>136441.87</v>
      </c>
      <c r="P173" s="1">
        <f t="shared" si="46"/>
        <v>131195.06</v>
      </c>
      <c r="Q173" s="1">
        <f t="shared" si="47"/>
        <v>131841.25</v>
      </c>
      <c r="R173" s="1">
        <v>0</v>
      </c>
      <c r="S173" s="1">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1">
        <v>0</v>
      </c>
      <c r="AJ173" s="1">
        <v>0</v>
      </c>
      <c r="AK173" s="1">
        <v>0</v>
      </c>
      <c r="AL173" s="1">
        <v>0</v>
      </c>
      <c r="AM173" s="1">
        <v>0</v>
      </c>
      <c r="AN173" s="1">
        <v>0</v>
      </c>
      <c r="AO173" s="1">
        <v>0</v>
      </c>
      <c r="AP173" s="1">
        <v>8569.4299999999985</v>
      </c>
      <c r="AQ173" s="1">
        <v>13127.8</v>
      </c>
      <c r="AR173" s="1">
        <v>9861.0399999999991</v>
      </c>
      <c r="AS173" s="1">
        <v>11270.519999999999</v>
      </c>
      <c r="AT173" s="1">
        <v>0</v>
      </c>
      <c r="AU173" s="1">
        <v>8569.4299999999985</v>
      </c>
      <c r="AV173" s="1">
        <v>0</v>
      </c>
      <c r="AW173" s="1">
        <v>0</v>
      </c>
      <c r="AX173" s="1">
        <v>0</v>
      </c>
      <c r="AY173" s="1">
        <v>13127.8</v>
      </c>
      <c r="AZ173" s="1">
        <v>0</v>
      </c>
      <c r="BA173" s="1">
        <v>0</v>
      </c>
      <c r="BB173" s="1">
        <v>0</v>
      </c>
      <c r="BC173" s="1">
        <v>9861.0399999999991</v>
      </c>
      <c r="BD173" s="1">
        <v>0</v>
      </c>
      <c r="BE173" s="1">
        <v>0</v>
      </c>
      <c r="BF173" s="1">
        <v>11270.519999999999</v>
      </c>
      <c r="BG173" s="1">
        <v>0</v>
      </c>
      <c r="BH173" s="1">
        <v>0</v>
      </c>
      <c r="BI173" s="1">
        <v>0</v>
      </c>
      <c r="BJ173" s="1">
        <v>0</v>
      </c>
      <c r="BK173" s="1">
        <v>0</v>
      </c>
      <c r="BL173" s="1">
        <v>0</v>
      </c>
      <c r="BM173" s="1">
        <v>0</v>
      </c>
      <c r="BN173" s="1">
        <v>0</v>
      </c>
      <c r="BO173" s="1">
        <v>0</v>
      </c>
      <c r="BP173" s="1">
        <v>0</v>
      </c>
      <c r="BQ173" s="1">
        <v>0</v>
      </c>
      <c r="BR173" s="1">
        <v>0</v>
      </c>
      <c r="BS173" s="1">
        <v>0</v>
      </c>
      <c r="BT173" s="1">
        <v>0</v>
      </c>
      <c r="BU173" s="1">
        <v>11064.2</v>
      </c>
      <c r="BV173" s="1">
        <v>12460.88</v>
      </c>
      <c r="BW173" s="1">
        <v>9244.02</v>
      </c>
      <c r="BX173" s="1">
        <v>8684.33</v>
      </c>
      <c r="BY173" s="1">
        <v>11064.2</v>
      </c>
      <c r="BZ173" s="1">
        <v>12460.88</v>
      </c>
      <c r="CA173" s="1">
        <v>9244.02</v>
      </c>
      <c r="CB173" s="1">
        <v>8684.33</v>
      </c>
      <c r="CC173" s="1">
        <v>0</v>
      </c>
      <c r="CD173" s="1">
        <v>0</v>
      </c>
      <c r="CE173" s="1">
        <v>0</v>
      </c>
      <c r="CF173" s="1">
        <v>0</v>
      </c>
      <c r="CG173" s="1">
        <v>0</v>
      </c>
      <c r="CH173" s="1">
        <v>0</v>
      </c>
      <c r="CI173" s="1">
        <v>0</v>
      </c>
      <c r="CJ173" s="1">
        <v>0</v>
      </c>
      <c r="CK173" s="1">
        <v>0</v>
      </c>
      <c r="CL173" s="1">
        <v>0</v>
      </c>
      <c r="CM173" s="1">
        <v>0</v>
      </c>
      <c r="CN173" s="1">
        <v>0</v>
      </c>
      <c r="CO173" s="1">
        <v>0</v>
      </c>
      <c r="CP173" s="1">
        <v>0</v>
      </c>
      <c r="CQ173" s="1">
        <v>0</v>
      </c>
      <c r="CR173" s="1">
        <v>0</v>
      </c>
      <c r="CS173" s="1">
        <v>2390.13</v>
      </c>
      <c r="CT173" s="1">
        <v>1958.08</v>
      </c>
      <c r="CU173" s="1">
        <v>1669</v>
      </c>
      <c r="CV173" s="1">
        <v>2597.4899999999998</v>
      </c>
      <c r="CW173" s="1">
        <v>2390.13</v>
      </c>
      <c r="CX173" s="1">
        <v>1958.08</v>
      </c>
      <c r="CY173" s="1">
        <v>1669</v>
      </c>
      <c r="CZ173" s="1">
        <v>2597.4899999999998</v>
      </c>
      <c r="DA173" s="1">
        <v>0</v>
      </c>
      <c r="DB173" s="1">
        <v>0</v>
      </c>
      <c r="DC173" s="1">
        <v>0</v>
      </c>
      <c r="DD173" s="1">
        <v>0</v>
      </c>
      <c r="DE173" s="1">
        <v>0</v>
      </c>
      <c r="DF173" s="1">
        <v>0</v>
      </c>
      <c r="DG173" s="1">
        <v>0</v>
      </c>
      <c r="DH173" s="1">
        <v>0</v>
      </c>
      <c r="DI173" s="1">
        <v>0</v>
      </c>
      <c r="DJ173" s="1">
        <v>0</v>
      </c>
      <c r="DK173" s="1">
        <v>0</v>
      </c>
      <c r="DL173" s="1">
        <v>0</v>
      </c>
      <c r="DM173" s="1">
        <v>7429.06</v>
      </c>
      <c r="DN173" s="1">
        <v>6816.17</v>
      </c>
      <c r="DO173" s="1">
        <v>6833.35</v>
      </c>
      <c r="DP173" s="1">
        <v>7238.5</v>
      </c>
      <c r="DQ173" s="1">
        <v>7429.06</v>
      </c>
      <c r="DR173" s="1">
        <v>6816.17</v>
      </c>
      <c r="DS173" s="1">
        <v>6833.35</v>
      </c>
      <c r="DT173" s="1">
        <v>7238.5</v>
      </c>
      <c r="DU173" s="1">
        <v>0</v>
      </c>
      <c r="DV173" s="1">
        <v>0</v>
      </c>
      <c r="DW173" s="1">
        <v>0</v>
      </c>
      <c r="DX173" s="1">
        <v>0</v>
      </c>
      <c r="DY173" s="1">
        <v>0</v>
      </c>
      <c r="DZ173" s="1">
        <v>0</v>
      </c>
      <c r="EA173" s="1">
        <v>0</v>
      </c>
      <c r="EB173" s="1">
        <v>0</v>
      </c>
      <c r="EC173" s="1">
        <v>0</v>
      </c>
      <c r="ED173" s="1">
        <v>0</v>
      </c>
      <c r="EE173" s="1">
        <v>0</v>
      </c>
      <c r="EF173" s="1">
        <v>0</v>
      </c>
      <c r="EG173" s="1">
        <v>0</v>
      </c>
      <c r="EH173" s="1">
        <v>0</v>
      </c>
      <c r="EI173" s="1">
        <v>0</v>
      </c>
      <c r="EJ173" s="1">
        <v>0</v>
      </c>
      <c r="EK173" s="1">
        <v>4264.3999999999996</v>
      </c>
      <c r="EL173" s="1">
        <v>7417.57</v>
      </c>
      <c r="EM173" s="1">
        <v>3001.01</v>
      </c>
      <c r="EN173" s="1">
        <v>10218.82</v>
      </c>
      <c r="EO173" s="1">
        <v>4254.9399999999996</v>
      </c>
      <c r="EP173" s="1">
        <v>7398.02</v>
      </c>
      <c r="EQ173" s="1">
        <v>2983.49</v>
      </c>
      <c r="ER173" s="1">
        <v>10192.06</v>
      </c>
      <c r="ES173" s="1">
        <v>9.4600000000000009</v>
      </c>
      <c r="ET173" s="1">
        <v>19.55</v>
      </c>
      <c r="EU173" s="1">
        <v>17.52</v>
      </c>
      <c r="EV173" s="1">
        <v>26.76</v>
      </c>
      <c r="EW173" s="1">
        <v>0</v>
      </c>
      <c r="EX173" s="1">
        <v>0</v>
      </c>
      <c r="EY173" s="1">
        <v>0</v>
      </c>
      <c r="EZ173" s="1">
        <v>0</v>
      </c>
      <c r="FA173" s="1">
        <v>0</v>
      </c>
      <c r="FB173" s="1">
        <v>0</v>
      </c>
      <c r="FC173" s="1">
        <v>0</v>
      </c>
      <c r="FD173" s="1">
        <v>0</v>
      </c>
      <c r="FE173" s="1">
        <v>362.89</v>
      </c>
      <c r="FF173" s="1">
        <v>501.04</v>
      </c>
      <c r="FG173" s="1">
        <v>620.68999999999994</v>
      </c>
      <c r="FH173" s="1">
        <v>319</v>
      </c>
      <c r="FI173" s="1">
        <v>362.89</v>
      </c>
      <c r="FJ173" s="1">
        <v>501.04</v>
      </c>
      <c r="FK173" s="1">
        <v>620.31999999999994</v>
      </c>
      <c r="FL173" s="1">
        <v>319</v>
      </c>
      <c r="FM173" s="1">
        <v>0</v>
      </c>
      <c r="FN173" s="1">
        <v>0</v>
      </c>
      <c r="FO173" s="1">
        <v>0.37</v>
      </c>
      <c r="FP173" s="1">
        <v>0</v>
      </c>
      <c r="FQ173" s="1">
        <v>0</v>
      </c>
      <c r="FR173" s="1">
        <v>0</v>
      </c>
      <c r="FS173" s="1">
        <v>0</v>
      </c>
      <c r="FT173" s="1">
        <v>0</v>
      </c>
      <c r="FU173" s="1">
        <v>0</v>
      </c>
      <c r="FV173" s="1">
        <v>0</v>
      </c>
      <c r="FW173" s="1">
        <v>0</v>
      </c>
      <c r="FX173" s="1">
        <v>0</v>
      </c>
      <c r="FY173" s="1">
        <v>0</v>
      </c>
      <c r="FZ173" s="1">
        <v>0</v>
      </c>
      <c r="GA173" s="1">
        <v>0</v>
      </c>
      <c r="GB173" s="1">
        <v>0</v>
      </c>
      <c r="GC173" s="1">
        <v>1497.94</v>
      </c>
      <c r="GD173" s="1">
        <v>3596.26</v>
      </c>
      <c r="GE173" s="1">
        <v>3591.45</v>
      </c>
      <c r="GF173" s="1">
        <v>2460.34</v>
      </c>
      <c r="GG173" s="1">
        <v>1497.94</v>
      </c>
      <c r="GH173" s="1">
        <v>3596.26</v>
      </c>
      <c r="GI173" s="1">
        <v>3591.45</v>
      </c>
      <c r="GJ173" s="1">
        <v>2460.34</v>
      </c>
      <c r="GK173" s="1">
        <v>0</v>
      </c>
      <c r="GL173" s="1">
        <v>0</v>
      </c>
      <c r="GM173" s="1">
        <v>0</v>
      </c>
      <c r="GN173" s="1">
        <v>0</v>
      </c>
      <c r="GO173" s="1">
        <v>0</v>
      </c>
      <c r="GP173" s="1">
        <v>0</v>
      </c>
      <c r="GQ173" s="1">
        <v>0</v>
      </c>
      <c r="GR173" s="1">
        <v>0</v>
      </c>
      <c r="GS173" s="1">
        <v>0</v>
      </c>
      <c r="GT173" s="1">
        <v>0</v>
      </c>
      <c r="GU173" s="1">
        <v>0</v>
      </c>
      <c r="GV173" s="1">
        <v>0</v>
      </c>
      <c r="GW173" s="1">
        <v>0</v>
      </c>
      <c r="GX173" s="1">
        <v>0</v>
      </c>
      <c r="GY173" s="1">
        <v>0</v>
      </c>
      <c r="GZ173" s="1">
        <v>0</v>
      </c>
      <c r="HA173" s="1">
        <v>0</v>
      </c>
      <c r="HB173" s="1">
        <v>0</v>
      </c>
      <c r="HC173" s="1">
        <v>0</v>
      </c>
      <c r="HD173" s="1">
        <v>0</v>
      </c>
      <c r="HE173" s="1">
        <v>3118.99</v>
      </c>
      <c r="HF173" s="1">
        <v>2173.36</v>
      </c>
      <c r="HG173" s="1">
        <v>3.03</v>
      </c>
      <c r="HH173" s="1">
        <v>0.6</v>
      </c>
      <c r="HI173" s="1">
        <v>15.71</v>
      </c>
      <c r="HJ173" s="1">
        <v>8.92</v>
      </c>
      <c r="HK173" s="1">
        <v>3.03</v>
      </c>
      <c r="HL173" s="1">
        <v>0.6</v>
      </c>
      <c r="HM173" s="1">
        <v>0</v>
      </c>
      <c r="HN173" s="1">
        <v>0</v>
      </c>
      <c r="HO173" s="1">
        <v>0</v>
      </c>
      <c r="HP173" s="1">
        <v>0</v>
      </c>
      <c r="HQ173" s="1">
        <v>0</v>
      </c>
      <c r="HR173" s="1">
        <v>0</v>
      </c>
      <c r="HS173" s="1">
        <v>0</v>
      </c>
      <c r="HT173" s="1">
        <v>0</v>
      </c>
      <c r="HU173" s="1">
        <v>3103.28</v>
      </c>
      <c r="HV173" s="1">
        <v>2164.44</v>
      </c>
      <c r="HW173" s="1">
        <v>0</v>
      </c>
      <c r="HX173" s="1">
        <v>0</v>
      </c>
      <c r="HY173" s="1">
        <v>0</v>
      </c>
      <c r="HZ173" s="1">
        <v>0</v>
      </c>
      <c r="IA173" s="1">
        <v>0</v>
      </c>
      <c r="IB173" s="1">
        <v>0</v>
      </c>
      <c r="IC173" s="1">
        <v>0</v>
      </c>
      <c r="ID173" s="1">
        <v>0</v>
      </c>
      <c r="IE173" s="1">
        <v>0</v>
      </c>
      <c r="IF173" s="1">
        <v>0</v>
      </c>
      <c r="IG173" s="1">
        <v>0</v>
      </c>
      <c r="IH173" s="1">
        <v>0</v>
      </c>
      <c r="II173" s="1">
        <v>0</v>
      </c>
      <c r="IJ173" s="1">
        <v>0</v>
      </c>
      <c r="IK173" s="1">
        <v>0</v>
      </c>
      <c r="IL173" s="1">
        <v>0</v>
      </c>
      <c r="IM173" s="1">
        <v>0</v>
      </c>
      <c r="IN173" s="1">
        <v>0</v>
      </c>
      <c r="IO173" s="1">
        <v>0</v>
      </c>
      <c r="IP173" s="1">
        <v>0.8</v>
      </c>
      <c r="IQ173" s="1">
        <v>0.08</v>
      </c>
      <c r="IR173" s="1">
        <v>0</v>
      </c>
      <c r="IS173" s="1">
        <v>0</v>
      </c>
      <c r="IT173" s="1">
        <v>0.8</v>
      </c>
      <c r="IU173" s="1">
        <v>0.08</v>
      </c>
      <c r="IV173" s="1">
        <v>0</v>
      </c>
      <c r="IW173" s="1">
        <v>0</v>
      </c>
      <c r="IX173" s="1">
        <v>0</v>
      </c>
      <c r="IY173" s="1">
        <v>0</v>
      </c>
      <c r="IZ173" s="1">
        <v>0</v>
      </c>
      <c r="JA173" s="1">
        <v>0</v>
      </c>
      <c r="JB173" s="1">
        <v>0</v>
      </c>
      <c r="JC173" s="1">
        <v>0</v>
      </c>
      <c r="JD173" s="1">
        <v>0</v>
      </c>
      <c r="JE173" s="1">
        <v>0</v>
      </c>
      <c r="JF173" s="1">
        <v>0</v>
      </c>
      <c r="JG173" s="1">
        <v>0</v>
      </c>
      <c r="JH173" s="1">
        <v>0</v>
      </c>
      <c r="JI173" s="1">
        <v>0</v>
      </c>
      <c r="JJ173" s="1">
        <v>0</v>
      </c>
      <c r="JK173" s="1">
        <v>0</v>
      </c>
      <c r="JL173" s="1">
        <v>0</v>
      </c>
      <c r="JM173" s="1">
        <v>0</v>
      </c>
      <c r="JN173" s="1">
        <v>0</v>
      </c>
      <c r="JO173" s="1">
        <v>0</v>
      </c>
      <c r="JP173" s="1">
        <v>0</v>
      </c>
      <c r="JQ173" s="9"/>
      <c r="JR173" s="1">
        <f t="shared" si="38"/>
        <v>37429.030799999993</v>
      </c>
      <c r="JS173" s="1">
        <f t="shared" si="38"/>
        <v>36839.304900000003</v>
      </c>
      <c r="JT173" s="1">
        <f t="shared" si="38"/>
        <v>35422.6662</v>
      </c>
      <c r="JU173" s="1">
        <f t="shared" si="36"/>
        <v>35597.137500000004</v>
      </c>
      <c r="JV173" s="1">
        <f t="shared" si="39"/>
        <v>6931.3019999999997</v>
      </c>
      <c r="JW173" s="1">
        <f t="shared" si="39"/>
        <v>6822.0934999999999</v>
      </c>
      <c r="JX173" s="1">
        <f t="shared" si="39"/>
        <v>6559.7530000000006</v>
      </c>
      <c r="JY173" s="1">
        <f t="shared" si="37"/>
        <v>6592.0625</v>
      </c>
    </row>
    <row r="174" spans="1:285" x14ac:dyDescent="0.35">
      <c r="A174" s="2" t="s">
        <v>181</v>
      </c>
      <c r="B174" s="1">
        <v>64271</v>
      </c>
      <c r="C174" s="1">
        <v>65338</v>
      </c>
      <c r="D174" s="1">
        <v>66035</v>
      </c>
      <c r="E174" s="1">
        <v>66356</v>
      </c>
      <c r="F174" s="1">
        <v>21872.653999999999</v>
      </c>
      <c r="G174" s="1">
        <v>20510.024000000001</v>
      </c>
      <c r="H174" s="1">
        <v>18427.725999999999</v>
      </c>
      <c r="I174" s="1">
        <v>20313.07</v>
      </c>
      <c r="J174" s="1">
        <f t="shared" si="40"/>
        <v>12576.91</v>
      </c>
      <c r="K174" s="1">
        <f t="shared" si="41"/>
        <v>10031.924000000001</v>
      </c>
      <c r="L174" s="1">
        <f t="shared" si="42"/>
        <v>9359.2750000000015</v>
      </c>
      <c r="M174" s="1">
        <f t="shared" si="43"/>
        <v>12038.34</v>
      </c>
      <c r="N174" s="1">
        <f t="shared" si="44"/>
        <v>9295.7439999999988</v>
      </c>
      <c r="O174" s="1">
        <f t="shared" si="45"/>
        <v>10478.1</v>
      </c>
      <c r="P174" s="1">
        <f t="shared" si="46"/>
        <v>9068.4509999999973</v>
      </c>
      <c r="Q174" s="1">
        <f t="shared" si="47"/>
        <v>8274.73</v>
      </c>
      <c r="R174" s="1">
        <v>0</v>
      </c>
      <c r="S174" s="1">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1">
        <v>0</v>
      </c>
      <c r="AJ174" s="1">
        <v>0</v>
      </c>
      <c r="AK174" s="1">
        <v>0</v>
      </c>
      <c r="AL174" s="1">
        <v>0</v>
      </c>
      <c r="AM174" s="1">
        <v>0</v>
      </c>
      <c r="AN174" s="1">
        <v>0</v>
      </c>
      <c r="AO174" s="1">
        <v>0</v>
      </c>
      <c r="AP174" s="1">
        <v>6987.37</v>
      </c>
      <c r="AQ174" s="1">
        <v>5994.08</v>
      </c>
      <c r="AR174" s="1">
        <v>4790.8100000000004</v>
      </c>
      <c r="AS174" s="1">
        <v>6048.9</v>
      </c>
      <c r="AT174" s="1">
        <v>6987.37</v>
      </c>
      <c r="AU174" s="1">
        <v>0</v>
      </c>
      <c r="AV174" s="1">
        <v>0</v>
      </c>
      <c r="AW174" s="1">
        <v>0</v>
      </c>
      <c r="AX174" s="1">
        <v>5994.08</v>
      </c>
      <c r="AY174" s="1">
        <v>0</v>
      </c>
      <c r="AZ174" s="1">
        <v>0</v>
      </c>
      <c r="BA174" s="1">
        <v>0</v>
      </c>
      <c r="BB174" s="1">
        <v>4790.8100000000004</v>
      </c>
      <c r="BC174" s="1">
        <v>0</v>
      </c>
      <c r="BD174" s="1">
        <v>0</v>
      </c>
      <c r="BE174" s="1">
        <v>6048.9</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1909.038</v>
      </c>
      <c r="BV174" s="1">
        <v>1343.577</v>
      </c>
      <c r="BW174" s="1">
        <v>1591.26</v>
      </c>
      <c r="BX174" s="1">
        <v>2517.75</v>
      </c>
      <c r="BY174" s="1">
        <v>1909.038</v>
      </c>
      <c r="BZ174" s="1">
        <v>1343.577</v>
      </c>
      <c r="CA174" s="1">
        <v>1591.26</v>
      </c>
      <c r="CB174" s="1">
        <v>2517.75</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649.1</v>
      </c>
      <c r="CT174" s="1">
        <v>571.44600000000003</v>
      </c>
      <c r="CU174" s="1">
        <v>245.88</v>
      </c>
      <c r="CV174" s="1">
        <v>311.89</v>
      </c>
      <c r="CW174" s="1">
        <v>649.1</v>
      </c>
      <c r="CX174" s="1">
        <v>571.44600000000003</v>
      </c>
      <c r="CY174" s="1">
        <v>245.88</v>
      </c>
      <c r="CZ174" s="1">
        <v>311.89</v>
      </c>
      <c r="DA174" s="1">
        <v>0</v>
      </c>
      <c r="DB174" s="1">
        <v>0</v>
      </c>
      <c r="DC174" s="1">
        <v>0</v>
      </c>
      <c r="DD174" s="1">
        <v>0</v>
      </c>
      <c r="DE174" s="1">
        <v>0</v>
      </c>
      <c r="DF174" s="1">
        <v>0</v>
      </c>
      <c r="DG174" s="1">
        <v>0</v>
      </c>
      <c r="DH174" s="1">
        <v>0</v>
      </c>
      <c r="DI174" s="1">
        <v>0</v>
      </c>
      <c r="DJ174" s="1">
        <v>0</v>
      </c>
      <c r="DK174" s="1">
        <v>0</v>
      </c>
      <c r="DL174" s="1">
        <v>0</v>
      </c>
      <c r="DM174" s="1">
        <v>1872.6479999999999</v>
      </c>
      <c r="DN174" s="1">
        <v>1428.3579999999999</v>
      </c>
      <c r="DO174" s="1">
        <v>1456.94</v>
      </c>
      <c r="DP174" s="1">
        <v>1464.92</v>
      </c>
      <c r="DQ174" s="1">
        <v>1872.6479999999999</v>
      </c>
      <c r="DR174" s="1">
        <v>1428.3579999999999</v>
      </c>
      <c r="DS174" s="1">
        <v>1456.94</v>
      </c>
      <c r="DT174" s="1">
        <v>1464.92</v>
      </c>
      <c r="DU174" s="1">
        <v>0</v>
      </c>
      <c r="DV174" s="1">
        <v>0</v>
      </c>
      <c r="DW174" s="1">
        <v>0</v>
      </c>
      <c r="DX174" s="1">
        <v>0</v>
      </c>
      <c r="DY174" s="1">
        <v>0</v>
      </c>
      <c r="DZ174" s="1">
        <v>0</v>
      </c>
      <c r="EA174" s="1">
        <v>0</v>
      </c>
      <c r="EB174" s="1">
        <v>0</v>
      </c>
      <c r="EC174" s="1">
        <v>0</v>
      </c>
      <c r="ED174" s="1">
        <v>0</v>
      </c>
      <c r="EE174" s="1">
        <v>0</v>
      </c>
      <c r="EF174" s="1">
        <v>0</v>
      </c>
      <c r="EG174" s="1">
        <v>0</v>
      </c>
      <c r="EH174" s="1">
        <v>0</v>
      </c>
      <c r="EI174" s="1">
        <v>0</v>
      </c>
      <c r="EJ174" s="1">
        <v>0</v>
      </c>
      <c r="EK174" s="1">
        <v>657.90000000000009</v>
      </c>
      <c r="EL174" s="1">
        <v>301.995</v>
      </c>
      <c r="EM174" s="1">
        <v>1117.44</v>
      </c>
      <c r="EN174" s="1">
        <v>1367.01</v>
      </c>
      <c r="EO174" s="1">
        <v>657.90000000000009</v>
      </c>
      <c r="EP174" s="1">
        <v>301.995</v>
      </c>
      <c r="EQ174" s="1">
        <v>1117.44</v>
      </c>
      <c r="ER174" s="1">
        <v>1367.01</v>
      </c>
      <c r="ES174" s="1">
        <v>0</v>
      </c>
      <c r="ET174" s="1">
        <v>0</v>
      </c>
      <c r="EU174" s="1">
        <v>0</v>
      </c>
      <c r="EV174" s="1">
        <v>0</v>
      </c>
      <c r="EW174" s="1">
        <v>0</v>
      </c>
      <c r="EX174" s="1">
        <v>0</v>
      </c>
      <c r="EY174" s="1">
        <v>0</v>
      </c>
      <c r="EZ174" s="1">
        <v>0</v>
      </c>
      <c r="FA174" s="1">
        <v>0</v>
      </c>
      <c r="FB174" s="1">
        <v>0</v>
      </c>
      <c r="FC174" s="1">
        <v>0</v>
      </c>
      <c r="FD174" s="1">
        <v>0</v>
      </c>
      <c r="FE174" s="1">
        <v>0.217</v>
      </c>
      <c r="FF174" s="1">
        <v>2.1000000000000001E-2</v>
      </c>
      <c r="FG174" s="1">
        <v>0.46500000000000008</v>
      </c>
      <c r="FH174" s="1">
        <v>0.2</v>
      </c>
      <c r="FI174" s="1">
        <v>0.217</v>
      </c>
      <c r="FJ174" s="1">
        <v>2.1000000000000001E-2</v>
      </c>
      <c r="FK174" s="1">
        <v>0.46500000000000008</v>
      </c>
      <c r="FL174" s="1">
        <v>0.2</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v>0</v>
      </c>
      <c r="GC174" s="1">
        <v>0</v>
      </c>
      <c r="GD174" s="1">
        <v>0</v>
      </c>
      <c r="GE174" s="1">
        <v>0</v>
      </c>
      <c r="GF174" s="1">
        <v>0</v>
      </c>
      <c r="GG174" s="1">
        <v>0</v>
      </c>
      <c r="GH174" s="1">
        <v>0</v>
      </c>
      <c r="GI174" s="1">
        <v>0</v>
      </c>
      <c r="GJ174" s="1">
        <v>0</v>
      </c>
      <c r="GK174" s="1">
        <v>0</v>
      </c>
      <c r="GL174" s="1">
        <v>0</v>
      </c>
      <c r="GM174" s="1">
        <v>0</v>
      </c>
      <c r="GN174" s="1">
        <v>0</v>
      </c>
      <c r="GO174" s="1">
        <v>0</v>
      </c>
      <c r="GP174" s="1">
        <v>0</v>
      </c>
      <c r="GQ174" s="1">
        <v>0</v>
      </c>
      <c r="GR174" s="1">
        <v>0</v>
      </c>
      <c r="GS174" s="1">
        <v>0</v>
      </c>
      <c r="GT174" s="1">
        <v>0</v>
      </c>
      <c r="GU174" s="1">
        <v>0</v>
      </c>
      <c r="GV174" s="1">
        <v>0</v>
      </c>
      <c r="GW174" s="1">
        <v>0</v>
      </c>
      <c r="GX174" s="1">
        <v>0</v>
      </c>
      <c r="GY174" s="1">
        <v>0</v>
      </c>
      <c r="GZ174" s="1">
        <v>0</v>
      </c>
      <c r="HA174" s="1">
        <v>0</v>
      </c>
      <c r="HB174" s="1">
        <v>0</v>
      </c>
      <c r="HC174" s="1">
        <v>0</v>
      </c>
      <c r="HD174" s="1">
        <v>0</v>
      </c>
      <c r="HE174" s="1">
        <v>0</v>
      </c>
      <c r="HF174" s="1">
        <v>0</v>
      </c>
      <c r="HG174" s="1">
        <v>0</v>
      </c>
      <c r="HH174" s="1">
        <v>0</v>
      </c>
      <c r="HI174" s="1">
        <v>0</v>
      </c>
      <c r="HJ174" s="1">
        <v>0</v>
      </c>
      <c r="HK174" s="1">
        <v>0</v>
      </c>
      <c r="HL174" s="1">
        <v>0</v>
      </c>
      <c r="HM174" s="1">
        <v>0</v>
      </c>
      <c r="HN174" s="1">
        <v>0</v>
      </c>
      <c r="HO174" s="1">
        <v>0</v>
      </c>
      <c r="HP174" s="1">
        <v>0</v>
      </c>
      <c r="HQ174" s="1">
        <v>0</v>
      </c>
      <c r="HR174" s="1">
        <v>0</v>
      </c>
      <c r="HS174" s="1">
        <v>0</v>
      </c>
      <c r="HT174" s="1">
        <v>0</v>
      </c>
      <c r="HU174" s="1">
        <v>0</v>
      </c>
      <c r="HV174" s="1">
        <v>0</v>
      </c>
      <c r="HW174" s="1">
        <v>0</v>
      </c>
      <c r="HX174" s="1">
        <v>0</v>
      </c>
      <c r="HY174" s="1">
        <v>0</v>
      </c>
      <c r="HZ174" s="1">
        <v>0</v>
      </c>
      <c r="IA174" s="1">
        <v>0</v>
      </c>
      <c r="IB174" s="1">
        <v>0</v>
      </c>
      <c r="IC174" s="1">
        <v>0</v>
      </c>
      <c r="ID174" s="1">
        <v>0</v>
      </c>
      <c r="IE174" s="1">
        <v>0</v>
      </c>
      <c r="IF174" s="1">
        <v>0</v>
      </c>
      <c r="IG174" s="1">
        <v>0</v>
      </c>
      <c r="IH174" s="1">
        <v>0</v>
      </c>
      <c r="II174" s="1">
        <v>0</v>
      </c>
      <c r="IJ174" s="1">
        <v>0</v>
      </c>
      <c r="IK174" s="1">
        <v>0</v>
      </c>
      <c r="IL174" s="1">
        <v>0</v>
      </c>
      <c r="IM174" s="1">
        <v>0</v>
      </c>
      <c r="IN174" s="1">
        <v>0</v>
      </c>
      <c r="IO174" s="1">
        <v>500.637</v>
      </c>
      <c r="IP174" s="1">
        <v>392.447</v>
      </c>
      <c r="IQ174" s="1">
        <v>156.47999999999999</v>
      </c>
      <c r="IR174" s="1">
        <v>327.67</v>
      </c>
      <c r="IS174" s="1">
        <v>500.637</v>
      </c>
      <c r="IT174" s="1">
        <v>392.447</v>
      </c>
      <c r="IU174" s="1">
        <v>156.47999999999999</v>
      </c>
      <c r="IV174" s="1">
        <v>327.67</v>
      </c>
      <c r="IW174" s="1">
        <v>0</v>
      </c>
      <c r="IX174" s="1">
        <v>0</v>
      </c>
      <c r="IY174" s="1">
        <v>0</v>
      </c>
      <c r="IZ174" s="1">
        <v>0</v>
      </c>
      <c r="JA174" s="1">
        <v>0</v>
      </c>
      <c r="JB174" s="1">
        <v>0</v>
      </c>
      <c r="JC174" s="1">
        <v>0</v>
      </c>
      <c r="JD174" s="1">
        <v>0</v>
      </c>
      <c r="JE174" s="1">
        <v>0</v>
      </c>
      <c r="JF174" s="1">
        <v>0</v>
      </c>
      <c r="JG174" s="1">
        <v>0</v>
      </c>
      <c r="JH174" s="1">
        <v>0</v>
      </c>
      <c r="JI174" s="1">
        <v>0</v>
      </c>
      <c r="JJ174" s="1">
        <v>0</v>
      </c>
      <c r="JK174" s="1">
        <v>0</v>
      </c>
      <c r="JL174" s="1">
        <v>0</v>
      </c>
      <c r="JM174" s="1">
        <v>0</v>
      </c>
      <c r="JN174" s="1">
        <v>0</v>
      </c>
      <c r="JO174" s="1">
        <v>0</v>
      </c>
      <c r="JP174" s="1">
        <v>0</v>
      </c>
      <c r="JQ174" s="9"/>
      <c r="JR174" s="1">
        <f t="shared" si="38"/>
        <v>2509.85088</v>
      </c>
      <c r="JS174" s="1">
        <f t="shared" si="38"/>
        <v>2829.0870000000004</v>
      </c>
      <c r="JT174" s="1">
        <f t="shared" si="38"/>
        <v>2448.4817699999994</v>
      </c>
      <c r="JU174" s="1">
        <f t="shared" si="36"/>
        <v>2234.1770999999999</v>
      </c>
      <c r="JV174" s="1">
        <f t="shared" si="39"/>
        <v>464.78719999999998</v>
      </c>
      <c r="JW174" s="1">
        <f t="shared" si="39"/>
        <v>523.90500000000009</v>
      </c>
      <c r="JX174" s="1">
        <f t="shared" si="39"/>
        <v>453.42254999999989</v>
      </c>
      <c r="JY174" s="1">
        <f t="shared" si="37"/>
        <v>413.73649999999998</v>
      </c>
    </row>
    <row r="175" spans="1:285" x14ac:dyDescent="0.35">
      <c r="A175" s="2" t="s">
        <v>182</v>
      </c>
      <c r="B175" s="1">
        <v>103344</v>
      </c>
      <c r="C175" s="1">
        <v>105004</v>
      </c>
      <c r="D175" s="1">
        <v>107739</v>
      </c>
      <c r="E175" s="1">
        <v>110203</v>
      </c>
      <c r="F175" s="1">
        <v>21884.463</v>
      </c>
      <c r="G175" s="1">
        <v>22615.58</v>
      </c>
      <c r="H175" s="1">
        <v>21519.896000000001</v>
      </c>
      <c r="I175" s="1">
        <v>24138.918000000001</v>
      </c>
      <c r="J175" s="1">
        <f t="shared" si="40"/>
        <v>19204.902999999998</v>
      </c>
      <c r="K175" s="1">
        <f t="shared" si="41"/>
        <v>20785.323000000004</v>
      </c>
      <c r="L175" s="1">
        <f t="shared" si="42"/>
        <v>20290.667000000001</v>
      </c>
      <c r="M175" s="1">
        <f t="shared" si="43"/>
        <v>22803.344000000001</v>
      </c>
      <c r="N175" s="1">
        <f t="shared" si="44"/>
        <v>2679.5600000000013</v>
      </c>
      <c r="O175" s="1">
        <f t="shared" si="45"/>
        <v>1830.2569999999978</v>
      </c>
      <c r="P175" s="1">
        <f t="shared" si="46"/>
        <v>1229.2289999999994</v>
      </c>
      <c r="Q175" s="1">
        <f t="shared" si="47"/>
        <v>1335.5740000000005</v>
      </c>
      <c r="R175" s="1">
        <v>61.72</v>
      </c>
      <c r="S175" s="1">
        <v>158.38999999999999</v>
      </c>
      <c r="T175" s="1">
        <v>193.47399999999999</v>
      </c>
      <c r="U175" s="1">
        <v>201.76</v>
      </c>
      <c r="V175" s="1">
        <v>0</v>
      </c>
      <c r="W175" s="1">
        <v>30.86</v>
      </c>
      <c r="X175" s="1">
        <v>30.86</v>
      </c>
      <c r="Y175" s="1">
        <v>0</v>
      </c>
      <c r="Z175" s="1">
        <v>0</v>
      </c>
      <c r="AA175" s="1">
        <v>158.38999999999999</v>
      </c>
      <c r="AB175" s="1">
        <v>0</v>
      </c>
      <c r="AC175" s="1">
        <v>0</v>
      </c>
      <c r="AD175" s="1">
        <v>193.47399999999999</v>
      </c>
      <c r="AE175" s="1">
        <v>0</v>
      </c>
      <c r="AF175" s="1">
        <v>0</v>
      </c>
      <c r="AG175" s="1">
        <v>201.76</v>
      </c>
      <c r="AH175" s="1">
        <v>0</v>
      </c>
      <c r="AI175" s="1">
        <v>0</v>
      </c>
      <c r="AJ175" s="1">
        <v>0</v>
      </c>
      <c r="AK175" s="1">
        <v>0</v>
      </c>
      <c r="AL175" s="1">
        <v>0</v>
      </c>
      <c r="AM175" s="1">
        <v>0</v>
      </c>
      <c r="AN175" s="1">
        <v>0</v>
      </c>
      <c r="AO175" s="1">
        <v>0</v>
      </c>
      <c r="AP175" s="1">
        <v>9197.08</v>
      </c>
      <c r="AQ175" s="1">
        <v>10391.44</v>
      </c>
      <c r="AR175" s="1">
        <v>8902.3599999999988</v>
      </c>
      <c r="AS175" s="1">
        <v>10207.02</v>
      </c>
      <c r="AT175" s="1">
        <v>0</v>
      </c>
      <c r="AU175" s="1">
        <v>9197.08</v>
      </c>
      <c r="AV175" s="1">
        <v>0</v>
      </c>
      <c r="AW175" s="1">
        <v>0</v>
      </c>
      <c r="AX175" s="1">
        <v>0</v>
      </c>
      <c r="AY175" s="1">
        <v>10391.44</v>
      </c>
      <c r="AZ175" s="1">
        <v>0</v>
      </c>
      <c r="BA175" s="1">
        <v>0</v>
      </c>
      <c r="BB175" s="1">
        <v>0</v>
      </c>
      <c r="BC175" s="1">
        <v>8902.3599999999988</v>
      </c>
      <c r="BD175" s="1">
        <v>0</v>
      </c>
      <c r="BE175" s="1">
        <v>0</v>
      </c>
      <c r="BF175" s="1">
        <v>10207.02</v>
      </c>
      <c r="BG175" s="1">
        <v>0</v>
      </c>
      <c r="BH175" s="1">
        <v>0</v>
      </c>
      <c r="BI175" s="1">
        <v>0</v>
      </c>
      <c r="BJ175" s="1">
        <v>0</v>
      </c>
      <c r="BK175" s="1">
        <v>0</v>
      </c>
      <c r="BL175" s="1">
        <v>0</v>
      </c>
      <c r="BM175" s="1">
        <v>0</v>
      </c>
      <c r="BN175" s="1">
        <v>0</v>
      </c>
      <c r="BO175" s="1">
        <v>0</v>
      </c>
      <c r="BP175" s="1">
        <v>0</v>
      </c>
      <c r="BQ175" s="1">
        <v>0</v>
      </c>
      <c r="BR175" s="1">
        <v>0</v>
      </c>
      <c r="BS175" s="1">
        <v>0</v>
      </c>
      <c r="BT175" s="1">
        <v>0</v>
      </c>
      <c r="BU175" s="1">
        <v>2981.1</v>
      </c>
      <c r="BV175" s="1">
        <v>3595.1239999999998</v>
      </c>
      <c r="BW175" s="1">
        <v>3357.37</v>
      </c>
      <c r="BX175" s="1">
        <v>3558.7</v>
      </c>
      <c r="BY175" s="1">
        <v>2981.1</v>
      </c>
      <c r="BZ175" s="1">
        <v>3595.1239999999998</v>
      </c>
      <c r="CA175" s="1">
        <v>3357.37</v>
      </c>
      <c r="CB175" s="1">
        <v>3558.7</v>
      </c>
      <c r="CC175" s="1">
        <v>0</v>
      </c>
      <c r="CD175" s="1">
        <v>0</v>
      </c>
      <c r="CE175" s="1">
        <v>0</v>
      </c>
      <c r="CF175" s="1">
        <v>0</v>
      </c>
      <c r="CG175" s="1">
        <v>0</v>
      </c>
      <c r="CH175" s="1">
        <v>0</v>
      </c>
      <c r="CI175" s="1">
        <v>0</v>
      </c>
      <c r="CJ175" s="1">
        <v>0</v>
      </c>
      <c r="CK175" s="1">
        <v>0</v>
      </c>
      <c r="CL175" s="1">
        <v>0</v>
      </c>
      <c r="CM175" s="1">
        <v>0</v>
      </c>
      <c r="CN175" s="1">
        <v>0</v>
      </c>
      <c r="CO175" s="1">
        <v>0</v>
      </c>
      <c r="CP175" s="1">
        <v>0</v>
      </c>
      <c r="CQ175" s="1">
        <v>0</v>
      </c>
      <c r="CR175" s="1">
        <v>0</v>
      </c>
      <c r="CS175" s="1">
        <v>1234.5650000000001</v>
      </c>
      <c r="CT175" s="1">
        <v>1348.31</v>
      </c>
      <c r="CU175" s="1">
        <v>2355.1170000000002</v>
      </c>
      <c r="CV175" s="1">
        <v>2767.152</v>
      </c>
      <c r="CW175" s="1">
        <v>1234.5650000000001</v>
      </c>
      <c r="CX175" s="1">
        <v>1348.31</v>
      </c>
      <c r="CY175" s="1">
        <v>2355.1170000000002</v>
      </c>
      <c r="CZ175" s="1">
        <v>2767.152</v>
      </c>
      <c r="DA175" s="1">
        <v>0</v>
      </c>
      <c r="DB175" s="1">
        <v>0</v>
      </c>
      <c r="DC175" s="1">
        <v>0</v>
      </c>
      <c r="DD175" s="1">
        <v>0</v>
      </c>
      <c r="DE175" s="1">
        <v>0</v>
      </c>
      <c r="DF175" s="1">
        <v>0</v>
      </c>
      <c r="DG175" s="1">
        <v>0</v>
      </c>
      <c r="DH175" s="1">
        <v>0</v>
      </c>
      <c r="DI175" s="1">
        <v>0</v>
      </c>
      <c r="DJ175" s="1">
        <v>0</v>
      </c>
      <c r="DK175" s="1">
        <v>0</v>
      </c>
      <c r="DL175" s="1">
        <v>0</v>
      </c>
      <c r="DM175" s="1">
        <v>3634.57</v>
      </c>
      <c r="DN175" s="1">
        <v>3349.0230000000001</v>
      </c>
      <c r="DO175" s="1">
        <v>4181.2199999999993</v>
      </c>
      <c r="DP175" s="1">
        <v>3606.93</v>
      </c>
      <c r="DQ175" s="1">
        <v>3634.57</v>
      </c>
      <c r="DR175" s="1">
        <v>3349.0230000000001</v>
      </c>
      <c r="DS175" s="1">
        <v>4181.2199999999993</v>
      </c>
      <c r="DT175" s="1">
        <v>3606.93</v>
      </c>
      <c r="DU175" s="1">
        <v>0</v>
      </c>
      <c r="DV175" s="1">
        <v>0</v>
      </c>
      <c r="DW175" s="1">
        <v>0</v>
      </c>
      <c r="DX175" s="1">
        <v>0</v>
      </c>
      <c r="DY175" s="1">
        <v>0</v>
      </c>
      <c r="DZ175" s="1">
        <v>0</v>
      </c>
      <c r="EA175" s="1">
        <v>0</v>
      </c>
      <c r="EB175" s="1">
        <v>0</v>
      </c>
      <c r="EC175" s="1">
        <v>0</v>
      </c>
      <c r="ED175" s="1">
        <v>0</v>
      </c>
      <c r="EE175" s="1">
        <v>0</v>
      </c>
      <c r="EF175" s="1">
        <v>0</v>
      </c>
      <c r="EG175" s="1">
        <v>0</v>
      </c>
      <c r="EH175" s="1">
        <v>0</v>
      </c>
      <c r="EI175" s="1">
        <v>0</v>
      </c>
      <c r="EJ175" s="1">
        <v>0</v>
      </c>
      <c r="EK175" s="1">
        <v>987.88800000000003</v>
      </c>
      <c r="EL175" s="1">
        <v>967.48900000000003</v>
      </c>
      <c r="EM175" s="1">
        <v>970.02399999999989</v>
      </c>
      <c r="EN175" s="1">
        <v>2145.75</v>
      </c>
      <c r="EO175" s="1">
        <v>987.88800000000003</v>
      </c>
      <c r="EP175" s="1">
        <v>967.48900000000003</v>
      </c>
      <c r="EQ175" s="1">
        <v>970.02399999999989</v>
      </c>
      <c r="ER175" s="1">
        <v>2145.75</v>
      </c>
      <c r="ES175" s="1">
        <v>0</v>
      </c>
      <c r="ET175" s="1">
        <v>0</v>
      </c>
      <c r="EU175" s="1">
        <v>0</v>
      </c>
      <c r="EV175" s="1">
        <v>0</v>
      </c>
      <c r="EW175" s="1">
        <v>0</v>
      </c>
      <c r="EX175" s="1">
        <v>0</v>
      </c>
      <c r="EY175" s="1">
        <v>0</v>
      </c>
      <c r="EZ175" s="1">
        <v>0</v>
      </c>
      <c r="FA175" s="1">
        <v>0</v>
      </c>
      <c r="FB175" s="1">
        <v>0</v>
      </c>
      <c r="FC175" s="1">
        <v>0</v>
      </c>
      <c r="FD175" s="1">
        <v>0</v>
      </c>
      <c r="FE175" s="1">
        <v>19.82</v>
      </c>
      <c r="FF175" s="1">
        <v>12.016</v>
      </c>
      <c r="FG175" s="1">
        <v>9.6150000000000002</v>
      </c>
      <c r="FH175" s="1">
        <v>7.5960000000000001</v>
      </c>
      <c r="FI175" s="1">
        <v>18.352</v>
      </c>
      <c r="FJ175" s="1">
        <v>11.624000000000001</v>
      </c>
      <c r="FK175" s="1">
        <v>9.5310000000000006</v>
      </c>
      <c r="FL175" s="1">
        <v>7.5960000000000001</v>
      </c>
      <c r="FM175" s="1">
        <v>1.468</v>
      </c>
      <c r="FN175" s="1">
        <v>0.39200000000000002</v>
      </c>
      <c r="FO175" s="1">
        <v>8.4000000000000005E-2</v>
      </c>
      <c r="FP175" s="1">
        <v>0</v>
      </c>
      <c r="FQ175" s="1">
        <v>0</v>
      </c>
      <c r="FR175" s="1">
        <v>0</v>
      </c>
      <c r="FS175" s="1">
        <v>0</v>
      </c>
      <c r="FT175" s="1">
        <v>0</v>
      </c>
      <c r="FU175" s="1">
        <v>0</v>
      </c>
      <c r="FV175" s="1">
        <v>0</v>
      </c>
      <c r="FW175" s="1">
        <v>0</v>
      </c>
      <c r="FX175" s="1">
        <v>0</v>
      </c>
      <c r="FY175" s="1">
        <v>0</v>
      </c>
      <c r="FZ175" s="1">
        <v>0</v>
      </c>
      <c r="GA175" s="1">
        <v>0</v>
      </c>
      <c r="GB175" s="1">
        <v>0</v>
      </c>
      <c r="GC175" s="1">
        <v>61.863</v>
      </c>
      <c r="GD175" s="1">
        <v>73.955000000000013</v>
      </c>
      <c r="GE175" s="1">
        <v>52.358999999999988</v>
      </c>
      <c r="GF175" s="1">
        <v>56.713000000000001</v>
      </c>
      <c r="GG175" s="1">
        <v>61.863</v>
      </c>
      <c r="GH175" s="1">
        <v>73.955000000000013</v>
      </c>
      <c r="GI175" s="1">
        <v>52.358999999999988</v>
      </c>
      <c r="GJ175" s="1">
        <v>56.713000000000001</v>
      </c>
      <c r="GK175" s="1">
        <v>0</v>
      </c>
      <c r="GL175" s="1">
        <v>0</v>
      </c>
      <c r="GM175" s="1">
        <v>0</v>
      </c>
      <c r="GN175" s="1">
        <v>0</v>
      </c>
      <c r="GO175" s="1">
        <v>0</v>
      </c>
      <c r="GP175" s="1">
        <v>0</v>
      </c>
      <c r="GQ175" s="1">
        <v>0</v>
      </c>
      <c r="GR175" s="1">
        <v>0</v>
      </c>
      <c r="GS175" s="1">
        <v>0</v>
      </c>
      <c r="GT175" s="1">
        <v>0</v>
      </c>
      <c r="GU175" s="1">
        <v>0</v>
      </c>
      <c r="GV175" s="1">
        <v>0</v>
      </c>
      <c r="GW175" s="1">
        <v>0</v>
      </c>
      <c r="GX175" s="1">
        <v>0</v>
      </c>
      <c r="GY175" s="1">
        <v>0</v>
      </c>
      <c r="GZ175" s="1">
        <v>0</v>
      </c>
      <c r="HA175" s="1">
        <v>0</v>
      </c>
      <c r="HB175" s="1">
        <v>0</v>
      </c>
      <c r="HC175" s="1">
        <v>0</v>
      </c>
      <c r="HD175" s="1">
        <v>0</v>
      </c>
      <c r="HE175" s="1">
        <v>28.652999999999999</v>
      </c>
      <c r="HF175" s="1">
        <v>52.033000000000001</v>
      </c>
      <c r="HG175" s="1">
        <v>3.226999999999999</v>
      </c>
      <c r="HH175" s="1">
        <v>0.217</v>
      </c>
      <c r="HI175" s="1">
        <v>28.652999999999999</v>
      </c>
      <c r="HJ175" s="1">
        <v>52.033000000000001</v>
      </c>
      <c r="HK175" s="1">
        <v>3.226999999999999</v>
      </c>
      <c r="HL175" s="1">
        <v>0.217</v>
      </c>
      <c r="HM175" s="1">
        <v>0</v>
      </c>
      <c r="HN175" s="1">
        <v>0</v>
      </c>
      <c r="HO175" s="1">
        <v>0</v>
      </c>
      <c r="HP175" s="1">
        <v>0</v>
      </c>
      <c r="HQ175" s="1">
        <v>0</v>
      </c>
      <c r="HR175" s="1">
        <v>0</v>
      </c>
      <c r="HS175" s="1">
        <v>0</v>
      </c>
      <c r="HT175" s="1">
        <v>0</v>
      </c>
      <c r="HU175" s="1">
        <v>0</v>
      </c>
      <c r="HV175" s="1">
        <v>0</v>
      </c>
      <c r="HW175" s="1">
        <v>0</v>
      </c>
      <c r="HX175" s="1">
        <v>0</v>
      </c>
      <c r="HY175" s="1">
        <v>0</v>
      </c>
      <c r="HZ175" s="1">
        <v>0</v>
      </c>
      <c r="IA175" s="1">
        <v>0</v>
      </c>
      <c r="IB175" s="1">
        <v>0</v>
      </c>
      <c r="IC175" s="1">
        <v>0</v>
      </c>
      <c r="ID175" s="1">
        <v>0</v>
      </c>
      <c r="IE175" s="1">
        <v>0</v>
      </c>
      <c r="IF175" s="1">
        <v>0</v>
      </c>
      <c r="IG175" s="1">
        <v>0</v>
      </c>
      <c r="IH175" s="1">
        <v>0</v>
      </c>
      <c r="II175" s="1">
        <v>0</v>
      </c>
      <c r="IJ175" s="1">
        <v>0</v>
      </c>
      <c r="IK175" s="1">
        <v>0</v>
      </c>
      <c r="IL175" s="1">
        <v>0</v>
      </c>
      <c r="IM175" s="1">
        <v>0</v>
      </c>
      <c r="IN175" s="1">
        <v>0</v>
      </c>
      <c r="IO175" s="1">
        <v>997.64399999999989</v>
      </c>
      <c r="IP175" s="1">
        <v>837.54300000000001</v>
      </c>
      <c r="IQ175" s="1">
        <v>265.90100000000001</v>
      </c>
      <c r="IR175" s="1">
        <v>251.506</v>
      </c>
      <c r="IS175" s="1">
        <v>997.64399999999989</v>
      </c>
      <c r="IT175" s="1">
        <v>837.54300000000001</v>
      </c>
      <c r="IU175" s="1">
        <v>265.90100000000001</v>
      </c>
      <c r="IV175" s="1">
        <v>251.506</v>
      </c>
      <c r="IW175" s="1">
        <v>0</v>
      </c>
      <c r="IX175" s="1">
        <v>0</v>
      </c>
      <c r="IY175" s="1">
        <v>0</v>
      </c>
      <c r="IZ175" s="1">
        <v>0</v>
      </c>
      <c r="JA175" s="1">
        <v>0</v>
      </c>
      <c r="JB175" s="1">
        <v>0</v>
      </c>
      <c r="JC175" s="1">
        <v>0</v>
      </c>
      <c r="JD175" s="1">
        <v>0</v>
      </c>
      <c r="JE175" s="1">
        <v>0</v>
      </c>
      <c r="JF175" s="1">
        <v>0</v>
      </c>
      <c r="JG175" s="1">
        <v>0</v>
      </c>
      <c r="JH175" s="1">
        <v>0</v>
      </c>
      <c r="JI175" s="1">
        <v>0</v>
      </c>
      <c r="JJ175" s="1">
        <v>0</v>
      </c>
      <c r="JK175" s="1">
        <v>0</v>
      </c>
      <c r="JL175" s="1">
        <v>0</v>
      </c>
      <c r="JM175" s="1">
        <v>0</v>
      </c>
      <c r="JN175" s="1">
        <v>0</v>
      </c>
      <c r="JO175" s="1">
        <v>0</v>
      </c>
      <c r="JP175" s="1">
        <v>0</v>
      </c>
      <c r="JQ175" s="9"/>
      <c r="JR175" s="1">
        <f t="shared" si="38"/>
        <v>723.4812000000004</v>
      </c>
      <c r="JS175" s="1">
        <f t="shared" si="38"/>
        <v>494.16938999999945</v>
      </c>
      <c r="JT175" s="1">
        <f t="shared" si="38"/>
        <v>331.89182999999986</v>
      </c>
      <c r="JU175" s="1">
        <f t="shared" si="36"/>
        <v>360.60498000000018</v>
      </c>
      <c r="JV175" s="1">
        <f t="shared" si="39"/>
        <v>133.97800000000007</v>
      </c>
      <c r="JW175" s="1">
        <f t="shared" si="39"/>
        <v>91.512849999999901</v>
      </c>
      <c r="JX175" s="1">
        <f t="shared" si="39"/>
        <v>61.461449999999971</v>
      </c>
      <c r="JY175" s="1">
        <f t="shared" si="37"/>
        <v>66.778700000000029</v>
      </c>
    </row>
    <row r="176" spans="1:285" s="5" customFormat="1" x14ac:dyDescent="0.35">
      <c r="A176" s="3" t="s">
        <v>183</v>
      </c>
      <c r="B176" s="4">
        <v>610899</v>
      </c>
      <c r="C176" s="4">
        <v>618627</v>
      </c>
      <c r="D176" s="4">
        <v>624055</v>
      </c>
      <c r="E176" s="4">
        <v>628846</v>
      </c>
      <c r="F176" s="4">
        <v>609732.69299999997</v>
      </c>
      <c r="G176" s="4">
        <v>645954.56400000001</v>
      </c>
      <c r="H176" s="4">
        <v>700001.41</v>
      </c>
      <c r="I176" s="4">
        <v>647506.71299999999</v>
      </c>
      <c r="J176" s="4">
        <f t="shared" si="40"/>
        <v>211216.75200000001</v>
      </c>
      <c r="K176" s="4">
        <f t="shared" si="41"/>
        <v>224961.96299999996</v>
      </c>
      <c r="L176" s="4">
        <f t="shared" si="42"/>
        <v>209809.81199999998</v>
      </c>
      <c r="M176" s="4">
        <f t="shared" si="43"/>
        <v>184669.21800000002</v>
      </c>
      <c r="N176" s="4">
        <f t="shared" si="44"/>
        <v>398515.94099999999</v>
      </c>
      <c r="O176" s="4">
        <f t="shared" si="45"/>
        <v>420992.60100000002</v>
      </c>
      <c r="P176" s="4">
        <f t="shared" si="46"/>
        <v>490191.59800000006</v>
      </c>
      <c r="Q176" s="4">
        <f t="shared" si="47"/>
        <v>462837.495</v>
      </c>
      <c r="R176" s="4">
        <v>0</v>
      </c>
      <c r="S176" s="4">
        <v>0</v>
      </c>
      <c r="T176" s="4">
        <v>0</v>
      </c>
      <c r="U176" s="4">
        <v>0</v>
      </c>
      <c r="V176" s="4">
        <v>0</v>
      </c>
      <c r="W176" s="4">
        <v>0</v>
      </c>
      <c r="X176" s="4">
        <v>0</v>
      </c>
      <c r="Y176" s="4">
        <v>0</v>
      </c>
      <c r="Z176" s="4">
        <v>0</v>
      </c>
      <c r="AA176" s="4">
        <v>0</v>
      </c>
      <c r="AB176" s="4">
        <v>0</v>
      </c>
      <c r="AC176" s="4">
        <v>0</v>
      </c>
      <c r="AD176" s="4">
        <v>0</v>
      </c>
      <c r="AE176" s="4">
        <v>0</v>
      </c>
      <c r="AF176" s="4">
        <v>0</v>
      </c>
      <c r="AG176" s="4">
        <v>0</v>
      </c>
      <c r="AH176" s="4">
        <v>0</v>
      </c>
      <c r="AI176" s="4">
        <v>0</v>
      </c>
      <c r="AJ176" s="4">
        <v>0</v>
      </c>
      <c r="AK176" s="4">
        <v>0</v>
      </c>
      <c r="AL176" s="4">
        <v>0</v>
      </c>
      <c r="AM176" s="4">
        <v>0</v>
      </c>
      <c r="AN176" s="4">
        <v>0</v>
      </c>
      <c r="AO176" s="4">
        <v>0</v>
      </c>
      <c r="AP176" s="4">
        <v>57820.768000000018</v>
      </c>
      <c r="AQ176" s="4">
        <v>57431.112999999968</v>
      </c>
      <c r="AR176" s="4">
        <v>48719.679999999993</v>
      </c>
      <c r="AS176" s="4">
        <v>56904.341</v>
      </c>
      <c r="AT176" s="4">
        <v>0</v>
      </c>
      <c r="AU176" s="4">
        <v>57820.768000000018</v>
      </c>
      <c r="AV176" s="4">
        <v>0</v>
      </c>
      <c r="AW176" s="4">
        <v>0</v>
      </c>
      <c r="AX176" s="4">
        <v>0</v>
      </c>
      <c r="AY176" s="4">
        <v>57431.112999999968</v>
      </c>
      <c r="AZ176" s="4">
        <v>0</v>
      </c>
      <c r="BA176" s="4">
        <v>0</v>
      </c>
      <c r="BB176" s="4">
        <v>0</v>
      </c>
      <c r="BC176" s="4">
        <v>48719.679999999993</v>
      </c>
      <c r="BD176" s="4">
        <v>0</v>
      </c>
      <c r="BE176" s="4">
        <v>0</v>
      </c>
      <c r="BF176" s="4">
        <v>56904.341</v>
      </c>
      <c r="BG176" s="4">
        <v>0</v>
      </c>
      <c r="BH176" s="4">
        <v>0</v>
      </c>
      <c r="BI176" s="4">
        <v>0</v>
      </c>
      <c r="BJ176" s="4">
        <v>0</v>
      </c>
      <c r="BK176" s="4">
        <v>0</v>
      </c>
      <c r="BL176" s="4">
        <v>0</v>
      </c>
      <c r="BM176" s="4">
        <v>0</v>
      </c>
      <c r="BN176" s="4">
        <v>0</v>
      </c>
      <c r="BO176" s="4">
        <v>0</v>
      </c>
      <c r="BP176" s="4">
        <v>0</v>
      </c>
      <c r="BQ176" s="4">
        <v>0</v>
      </c>
      <c r="BR176" s="4">
        <v>0</v>
      </c>
      <c r="BS176" s="4">
        <v>0</v>
      </c>
      <c r="BT176" s="4">
        <v>0</v>
      </c>
      <c r="BU176" s="4">
        <v>47775.370999999999</v>
      </c>
      <c r="BV176" s="4">
        <v>47169.856</v>
      </c>
      <c r="BW176" s="4">
        <v>40584.035000000003</v>
      </c>
      <c r="BX176" s="4">
        <v>40581.896999999997</v>
      </c>
      <c r="BY176" s="4">
        <v>47750.331000000013</v>
      </c>
      <c r="BZ176" s="4">
        <v>47149.336000000003</v>
      </c>
      <c r="CA176" s="4">
        <v>40557.464999999997</v>
      </c>
      <c r="CB176" s="4">
        <v>40519.036999999997</v>
      </c>
      <c r="CC176" s="4">
        <v>25.04</v>
      </c>
      <c r="CD176" s="4">
        <v>20.52</v>
      </c>
      <c r="CE176" s="4">
        <v>26.57</v>
      </c>
      <c r="CF176" s="4">
        <v>62.86</v>
      </c>
      <c r="CG176" s="4">
        <v>0</v>
      </c>
      <c r="CH176" s="4">
        <v>0</v>
      </c>
      <c r="CI176" s="4">
        <v>0</v>
      </c>
      <c r="CJ176" s="4">
        <v>0</v>
      </c>
      <c r="CK176" s="4">
        <v>0</v>
      </c>
      <c r="CL176" s="4">
        <v>0</v>
      </c>
      <c r="CM176" s="4">
        <v>0</v>
      </c>
      <c r="CN176" s="4">
        <v>0</v>
      </c>
      <c r="CO176" s="4">
        <v>0</v>
      </c>
      <c r="CP176" s="4">
        <v>0</v>
      </c>
      <c r="CQ176" s="4">
        <v>0</v>
      </c>
      <c r="CR176" s="4">
        <v>0</v>
      </c>
      <c r="CS176" s="4">
        <v>20738.544000000002</v>
      </c>
      <c r="CT176" s="4">
        <v>22283.9</v>
      </c>
      <c r="CU176" s="4">
        <v>19352.116999999998</v>
      </c>
      <c r="CV176" s="4">
        <v>13216.754000000001</v>
      </c>
      <c r="CW176" s="4">
        <v>20738.544000000002</v>
      </c>
      <c r="CX176" s="4">
        <v>22283.9</v>
      </c>
      <c r="CY176" s="4">
        <v>19352.116999999998</v>
      </c>
      <c r="CZ176" s="4">
        <v>13216.754000000001</v>
      </c>
      <c r="DA176" s="4">
        <v>0</v>
      </c>
      <c r="DB176" s="4">
        <v>0</v>
      </c>
      <c r="DC176" s="4">
        <v>0</v>
      </c>
      <c r="DD176" s="4">
        <v>0</v>
      </c>
      <c r="DE176" s="4">
        <v>0</v>
      </c>
      <c r="DF176" s="4">
        <v>0</v>
      </c>
      <c r="DG176" s="4">
        <v>0</v>
      </c>
      <c r="DH176" s="4">
        <v>0</v>
      </c>
      <c r="DI176" s="4">
        <v>0</v>
      </c>
      <c r="DJ176" s="4">
        <v>0</v>
      </c>
      <c r="DK176" s="4">
        <v>0</v>
      </c>
      <c r="DL176" s="4">
        <v>0</v>
      </c>
      <c r="DM176" s="4">
        <v>30542.089</v>
      </c>
      <c r="DN176" s="4">
        <v>30322.846000000001</v>
      </c>
      <c r="DO176" s="4">
        <v>26775.952000000001</v>
      </c>
      <c r="DP176" s="4">
        <v>20067.715</v>
      </c>
      <c r="DQ176" s="4">
        <v>30542.089</v>
      </c>
      <c r="DR176" s="4">
        <v>30322.846000000001</v>
      </c>
      <c r="DS176" s="4">
        <v>26775.952000000001</v>
      </c>
      <c r="DT176" s="4">
        <v>20067.715</v>
      </c>
      <c r="DU176" s="4">
        <v>0</v>
      </c>
      <c r="DV176" s="4">
        <v>0</v>
      </c>
      <c r="DW176" s="4">
        <v>0</v>
      </c>
      <c r="DX176" s="4">
        <v>0</v>
      </c>
      <c r="DY176" s="4">
        <v>0</v>
      </c>
      <c r="DZ176" s="4">
        <v>0</v>
      </c>
      <c r="EA176" s="4">
        <v>0</v>
      </c>
      <c r="EB176" s="4">
        <v>0</v>
      </c>
      <c r="EC176" s="4">
        <v>0</v>
      </c>
      <c r="ED176" s="4">
        <v>0</v>
      </c>
      <c r="EE176" s="4">
        <v>0</v>
      </c>
      <c r="EF176" s="4">
        <v>0</v>
      </c>
      <c r="EG176" s="4">
        <v>0</v>
      </c>
      <c r="EH176" s="4">
        <v>0</v>
      </c>
      <c r="EI176" s="4">
        <v>0</v>
      </c>
      <c r="EJ176" s="4">
        <v>0</v>
      </c>
      <c r="EK176" s="4">
        <v>22184.364000000001</v>
      </c>
      <c r="EL176" s="4">
        <v>25818.696</v>
      </c>
      <c r="EM176" s="4">
        <v>35962.642999999996</v>
      </c>
      <c r="EN176" s="4">
        <v>19274.861000000001</v>
      </c>
      <c r="EO176" s="4">
        <v>22159.774000000001</v>
      </c>
      <c r="EP176" s="4">
        <v>23179.686000000002</v>
      </c>
      <c r="EQ176" s="4">
        <v>35923.142999999996</v>
      </c>
      <c r="ER176" s="4">
        <v>38870.463000000003</v>
      </c>
      <c r="ES176" s="4">
        <v>24.59</v>
      </c>
      <c r="ET176" s="4">
        <v>46.69</v>
      </c>
      <c r="EU176" s="4">
        <v>39.5</v>
      </c>
      <c r="EV176" s="4">
        <v>16.84</v>
      </c>
      <c r="EW176" s="4">
        <v>0</v>
      </c>
      <c r="EX176" s="4">
        <v>2592.3200000000002</v>
      </c>
      <c r="EY176" s="4">
        <v>0</v>
      </c>
      <c r="EZ176" s="4">
        <v>0</v>
      </c>
      <c r="FA176" s="4">
        <v>0</v>
      </c>
      <c r="FB176" s="4">
        <v>0</v>
      </c>
      <c r="FC176" s="4">
        <v>0</v>
      </c>
      <c r="FD176" s="4">
        <v>0</v>
      </c>
      <c r="FE176" s="4">
        <v>3163.9050000000002</v>
      </c>
      <c r="FF176" s="4">
        <v>3269.9490000000001</v>
      </c>
      <c r="FG176" s="4">
        <v>1024.4939999999999</v>
      </c>
      <c r="FH176" s="4">
        <v>1033.241</v>
      </c>
      <c r="FI176" s="4">
        <v>2951.469000000001</v>
      </c>
      <c r="FJ176" s="4">
        <v>2824.8110000000001</v>
      </c>
      <c r="FK176" s="4">
        <v>444.81099999999998</v>
      </c>
      <c r="FL176" s="4">
        <v>867.76300000000003</v>
      </c>
      <c r="FM176" s="4">
        <v>212.43600000000001</v>
      </c>
      <c r="FN176" s="4">
        <v>445.13799999999998</v>
      </c>
      <c r="FO176" s="4">
        <v>579.68299999999999</v>
      </c>
      <c r="FP176" s="4">
        <v>653.21799999999996</v>
      </c>
      <c r="FQ176" s="4">
        <v>0</v>
      </c>
      <c r="FR176" s="4">
        <v>0</v>
      </c>
      <c r="FS176" s="4">
        <v>0</v>
      </c>
      <c r="FT176" s="4">
        <v>0</v>
      </c>
      <c r="FU176" s="4">
        <v>0</v>
      </c>
      <c r="FV176" s="4">
        <v>0</v>
      </c>
      <c r="FW176" s="4">
        <v>0</v>
      </c>
      <c r="FX176" s="4">
        <v>0</v>
      </c>
      <c r="FY176" s="4">
        <v>0</v>
      </c>
      <c r="FZ176" s="4">
        <v>0</v>
      </c>
      <c r="GA176" s="4">
        <v>0</v>
      </c>
      <c r="GB176" s="4">
        <v>0</v>
      </c>
      <c r="GC176" s="4">
        <v>6394.076</v>
      </c>
      <c r="GD176" s="4">
        <v>8965.0810000000001</v>
      </c>
      <c r="GE176" s="4">
        <v>7304.8270000000002</v>
      </c>
      <c r="GF176" s="4">
        <v>7697.95</v>
      </c>
      <c r="GG176" s="4">
        <v>6249.1779999999999</v>
      </c>
      <c r="GH176" s="4">
        <v>8795.7450000000008</v>
      </c>
      <c r="GI176" s="4">
        <v>7205.7030000000004</v>
      </c>
      <c r="GJ176" s="4">
        <v>7697.95</v>
      </c>
      <c r="GK176" s="4">
        <v>144.898</v>
      </c>
      <c r="GL176" s="4">
        <v>169.33600000000001</v>
      </c>
      <c r="GM176" s="4">
        <v>99.123999999999995</v>
      </c>
      <c r="GN176" s="4">
        <v>0</v>
      </c>
      <c r="GO176" s="4">
        <v>0</v>
      </c>
      <c r="GP176" s="4">
        <v>0</v>
      </c>
      <c r="GQ176" s="4">
        <v>0</v>
      </c>
      <c r="GR176" s="4">
        <v>0</v>
      </c>
      <c r="GS176" s="4">
        <v>0</v>
      </c>
      <c r="GT176" s="4">
        <v>0</v>
      </c>
      <c r="GU176" s="4">
        <v>0</v>
      </c>
      <c r="GV176" s="4">
        <v>0</v>
      </c>
      <c r="GW176" s="4">
        <v>0</v>
      </c>
      <c r="GX176" s="4">
        <v>0</v>
      </c>
      <c r="GY176" s="4">
        <v>0</v>
      </c>
      <c r="GZ176" s="4">
        <v>0</v>
      </c>
      <c r="HA176" s="4">
        <v>0</v>
      </c>
      <c r="HB176" s="4">
        <v>0</v>
      </c>
      <c r="HC176" s="4">
        <v>0</v>
      </c>
      <c r="HD176" s="4">
        <v>0</v>
      </c>
      <c r="HE176" s="4">
        <v>19664.8</v>
      </c>
      <c r="HF176" s="4">
        <v>22960.75</v>
      </c>
      <c r="HG176" s="4">
        <v>23705.82</v>
      </c>
      <c r="HH176" s="4">
        <v>24229.670000000002</v>
      </c>
      <c r="HI176" s="4">
        <v>12962.248</v>
      </c>
      <c r="HJ176" s="4">
        <v>15600.41</v>
      </c>
      <c r="HK176" s="4">
        <v>13896.8</v>
      </c>
      <c r="HL176" s="4">
        <v>14538.41</v>
      </c>
      <c r="HM176" s="4">
        <v>0</v>
      </c>
      <c r="HN176" s="4">
        <v>0</v>
      </c>
      <c r="HO176" s="4">
        <v>0</v>
      </c>
      <c r="HP176" s="4">
        <v>0</v>
      </c>
      <c r="HQ176" s="4">
        <v>0</v>
      </c>
      <c r="HR176" s="4">
        <v>0</v>
      </c>
      <c r="HS176" s="4">
        <v>0</v>
      </c>
      <c r="HT176" s="4">
        <v>0</v>
      </c>
      <c r="HU176" s="4">
        <v>0</v>
      </c>
      <c r="HV176" s="4">
        <v>0</v>
      </c>
      <c r="HW176" s="4">
        <v>555.01</v>
      </c>
      <c r="HX176" s="4">
        <v>0</v>
      </c>
      <c r="HY176" s="4">
        <v>0</v>
      </c>
      <c r="HZ176" s="4">
        <v>0</v>
      </c>
      <c r="IA176" s="4">
        <v>0</v>
      </c>
      <c r="IB176" s="4">
        <v>0</v>
      </c>
      <c r="IC176" s="4">
        <v>6702.5519999999997</v>
      </c>
      <c r="ID176" s="4">
        <v>7360.34</v>
      </c>
      <c r="IE176" s="4">
        <v>9254.01</v>
      </c>
      <c r="IF176" s="4">
        <v>9691.26</v>
      </c>
      <c r="IG176" s="4">
        <v>0</v>
      </c>
      <c r="IH176" s="4">
        <v>0</v>
      </c>
      <c r="II176" s="4">
        <v>0</v>
      </c>
      <c r="IJ176" s="4">
        <v>0</v>
      </c>
      <c r="IK176" s="4">
        <v>0</v>
      </c>
      <c r="IL176" s="4">
        <v>0</v>
      </c>
      <c r="IM176" s="4">
        <v>0</v>
      </c>
      <c r="IN176" s="4">
        <v>0</v>
      </c>
      <c r="IO176" s="4">
        <v>2932.835</v>
      </c>
      <c r="IP176" s="4">
        <v>6739.7719999999999</v>
      </c>
      <c r="IQ176" s="4">
        <v>6380.2439999999997</v>
      </c>
      <c r="IR176" s="4">
        <v>1662.789</v>
      </c>
      <c r="IS176" s="4">
        <v>2745.7150000000001</v>
      </c>
      <c r="IT176" s="4">
        <v>6521.112000000001</v>
      </c>
      <c r="IU176" s="4">
        <v>6227.2440000000006</v>
      </c>
      <c r="IV176" s="4">
        <v>1527.989</v>
      </c>
      <c r="IW176" s="4">
        <v>187.12</v>
      </c>
      <c r="IX176" s="4">
        <v>218.66</v>
      </c>
      <c r="IY176" s="4">
        <v>153</v>
      </c>
      <c r="IZ176" s="4">
        <v>134.79999999999998</v>
      </c>
      <c r="JA176" s="4">
        <v>0</v>
      </c>
      <c r="JB176" s="4">
        <v>0</v>
      </c>
      <c r="JC176" s="4">
        <v>0</v>
      </c>
      <c r="JD176" s="4">
        <v>0</v>
      </c>
      <c r="JE176" s="4">
        <v>0</v>
      </c>
      <c r="JF176" s="4">
        <v>0</v>
      </c>
      <c r="JG176" s="4">
        <v>0</v>
      </c>
      <c r="JH176" s="4">
        <v>0</v>
      </c>
      <c r="JI176" s="4">
        <v>0</v>
      </c>
      <c r="JJ176" s="4">
        <v>0</v>
      </c>
      <c r="JK176" s="4">
        <v>0</v>
      </c>
      <c r="JL176" s="4">
        <v>0</v>
      </c>
      <c r="JM176" s="4">
        <v>0</v>
      </c>
      <c r="JN176" s="4">
        <v>0</v>
      </c>
      <c r="JO176" s="4">
        <v>0</v>
      </c>
      <c r="JP176" s="4">
        <v>0</v>
      </c>
      <c r="JQ176" s="9"/>
      <c r="JR176" s="4">
        <f t="shared" si="38"/>
        <v>107599.30407</v>
      </c>
      <c r="JS176" s="4">
        <f t="shared" si="38"/>
        <v>113668.00227000001</v>
      </c>
      <c r="JT176" s="4">
        <f t="shared" si="38"/>
        <v>132351.73146000001</v>
      </c>
      <c r="JU176" s="4">
        <f t="shared" si="36"/>
        <v>124966.12365000001</v>
      </c>
      <c r="JV176" s="4">
        <f t="shared" si="39"/>
        <v>19925.797050000001</v>
      </c>
      <c r="JW176" s="4">
        <f t="shared" si="39"/>
        <v>21049.630050000003</v>
      </c>
      <c r="JX176" s="4">
        <f t="shared" si="39"/>
        <v>24509.579900000004</v>
      </c>
      <c r="JY176" s="4">
        <f t="shared" si="37"/>
        <v>23141.874750000003</v>
      </c>
    </row>
    <row r="177" spans="1:285" x14ac:dyDescent="0.35">
      <c r="A177" s="2" t="s">
        <v>184</v>
      </c>
      <c r="B177" s="1">
        <v>318490</v>
      </c>
      <c r="C177" s="1">
        <v>321532</v>
      </c>
      <c r="D177" s="1">
        <v>324627</v>
      </c>
      <c r="E177" s="1">
        <v>327865</v>
      </c>
      <c r="F177" s="1">
        <v>310764.79999999999</v>
      </c>
      <c r="G177" s="1">
        <v>340066.7</v>
      </c>
      <c r="H177" s="1">
        <v>327525.73</v>
      </c>
      <c r="I177" s="1">
        <v>327054.23</v>
      </c>
      <c r="J177" s="1">
        <f t="shared" si="40"/>
        <v>81890.3</v>
      </c>
      <c r="K177" s="1">
        <f t="shared" si="41"/>
        <v>92978.3</v>
      </c>
      <c r="L177" s="1">
        <f t="shared" si="42"/>
        <v>90370.73</v>
      </c>
      <c r="M177" s="1">
        <f t="shared" si="43"/>
        <v>95191.329999999987</v>
      </c>
      <c r="N177" s="1">
        <f t="shared" si="44"/>
        <v>228874.5</v>
      </c>
      <c r="O177" s="1">
        <f t="shared" si="45"/>
        <v>247088.40000000002</v>
      </c>
      <c r="P177" s="1">
        <f t="shared" si="46"/>
        <v>237155</v>
      </c>
      <c r="Q177" s="1">
        <f t="shared" si="47"/>
        <v>231862.9</v>
      </c>
      <c r="R177" s="1">
        <v>0</v>
      </c>
      <c r="S177" s="1">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1">
        <v>0</v>
      </c>
      <c r="AJ177" s="1">
        <v>0</v>
      </c>
      <c r="AK177" s="1">
        <v>0</v>
      </c>
      <c r="AL177" s="1">
        <v>0</v>
      </c>
      <c r="AM177" s="1">
        <v>0</v>
      </c>
      <c r="AN177" s="1">
        <v>0</v>
      </c>
      <c r="AO177" s="1">
        <v>0</v>
      </c>
      <c r="AP177" s="1">
        <v>18252.8</v>
      </c>
      <c r="AQ177" s="1">
        <v>19271.7</v>
      </c>
      <c r="AR177" s="1">
        <v>18265.2</v>
      </c>
      <c r="AS177" s="1">
        <v>20731.129999999997</v>
      </c>
      <c r="AT177" s="1">
        <v>0</v>
      </c>
      <c r="AU177" s="1">
        <v>18252.8</v>
      </c>
      <c r="AV177" s="1">
        <v>0</v>
      </c>
      <c r="AW177" s="1">
        <v>0</v>
      </c>
      <c r="AX177" s="1">
        <v>0</v>
      </c>
      <c r="AY177" s="1">
        <v>19271.7</v>
      </c>
      <c r="AZ177" s="1">
        <v>0</v>
      </c>
      <c r="BA177" s="1">
        <v>0</v>
      </c>
      <c r="BB177" s="1">
        <v>0</v>
      </c>
      <c r="BC177" s="1">
        <v>18265.2</v>
      </c>
      <c r="BD177" s="1">
        <v>0</v>
      </c>
      <c r="BE177" s="1">
        <v>0</v>
      </c>
      <c r="BF177" s="1">
        <v>20731.129999999997</v>
      </c>
      <c r="BG177" s="1">
        <v>0</v>
      </c>
      <c r="BH177" s="1">
        <v>0</v>
      </c>
      <c r="BI177" s="1">
        <v>0</v>
      </c>
      <c r="BJ177" s="1">
        <v>0</v>
      </c>
      <c r="BK177" s="1">
        <v>0</v>
      </c>
      <c r="BL177" s="1">
        <v>0</v>
      </c>
      <c r="BM177" s="1">
        <v>0</v>
      </c>
      <c r="BN177" s="1">
        <v>0</v>
      </c>
      <c r="BO177" s="1">
        <v>0</v>
      </c>
      <c r="BP177" s="1">
        <v>0</v>
      </c>
      <c r="BQ177" s="1">
        <v>0</v>
      </c>
      <c r="BR177" s="1">
        <v>0</v>
      </c>
      <c r="BS177" s="1">
        <v>0</v>
      </c>
      <c r="BT177" s="1">
        <v>0</v>
      </c>
      <c r="BU177" s="1">
        <v>19700.599999999999</v>
      </c>
      <c r="BV177" s="1">
        <v>20884.400000000001</v>
      </c>
      <c r="BW177" s="1">
        <v>21046.83</v>
      </c>
      <c r="BX177" s="1">
        <v>19379.3</v>
      </c>
      <c r="BY177" s="1">
        <v>19643</v>
      </c>
      <c r="BZ177" s="1">
        <v>20799.8</v>
      </c>
      <c r="CA177" s="1">
        <v>20943.53</v>
      </c>
      <c r="CB177" s="1">
        <v>19180.400000000001</v>
      </c>
      <c r="CC177" s="1">
        <v>57.599999999999987</v>
      </c>
      <c r="CD177" s="1">
        <v>84.6</v>
      </c>
      <c r="CE177" s="1">
        <v>103.3</v>
      </c>
      <c r="CF177" s="1">
        <v>198.9</v>
      </c>
      <c r="CG177" s="1">
        <v>0</v>
      </c>
      <c r="CH177" s="1">
        <v>0</v>
      </c>
      <c r="CI177" s="1">
        <v>0</v>
      </c>
      <c r="CJ177" s="1">
        <v>0</v>
      </c>
      <c r="CK177" s="1">
        <v>0</v>
      </c>
      <c r="CL177" s="1">
        <v>0</v>
      </c>
      <c r="CM177" s="1">
        <v>0</v>
      </c>
      <c r="CN177" s="1">
        <v>0</v>
      </c>
      <c r="CO177" s="1">
        <v>0</v>
      </c>
      <c r="CP177" s="1">
        <v>0</v>
      </c>
      <c r="CQ177" s="1">
        <v>0</v>
      </c>
      <c r="CR177" s="1">
        <v>0</v>
      </c>
      <c r="CS177" s="1">
        <v>2269.8000000000002</v>
      </c>
      <c r="CT177" s="1">
        <v>2378.1</v>
      </c>
      <c r="CU177" s="1">
        <v>3201.2</v>
      </c>
      <c r="CV177" s="1">
        <v>2921.4</v>
      </c>
      <c r="CW177" s="1">
        <v>2269.8000000000002</v>
      </c>
      <c r="CX177" s="1">
        <v>2378.1</v>
      </c>
      <c r="CY177" s="1">
        <v>3201.2</v>
      </c>
      <c r="CZ177" s="1">
        <v>2921.4</v>
      </c>
      <c r="DA177" s="1">
        <v>0</v>
      </c>
      <c r="DB177" s="1">
        <v>0</v>
      </c>
      <c r="DC177" s="1">
        <v>0</v>
      </c>
      <c r="DD177" s="1">
        <v>0</v>
      </c>
      <c r="DE177" s="1">
        <v>0</v>
      </c>
      <c r="DF177" s="1">
        <v>0</v>
      </c>
      <c r="DG177" s="1">
        <v>0</v>
      </c>
      <c r="DH177" s="1">
        <v>0</v>
      </c>
      <c r="DI177" s="1">
        <v>0</v>
      </c>
      <c r="DJ177" s="1">
        <v>0</v>
      </c>
      <c r="DK177" s="1">
        <v>0</v>
      </c>
      <c r="DL177" s="1">
        <v>0</v>
      </c>
      <c r="DM177" s="1">
        <v>7075.4</v>
      </c>
      <c r="DN177" s="1">
        <v>7456.2</v>
      </c>
      <c r="DO177" s="1">
        <v>6895.2</v>
      </c>
      <c r="DP177" s="1">
        <v>6600.5999999999995</v>
      </c>
      <c r="DQ177" s="1">
        <v>7075.4</v>
      </c>
      <c r="DR177" s="1">
        <v>7456.2</v>
      </c>
      <c r="DS177" s="1">
        <v>6895.2</v>
      </c>
      <c r="DT177" s="1">
        <v>6600.5999999999995</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22635.3</v>
      </c>
      <c r="EL177" s="1">
        <v>27917.9</v>
      </c>
      <c r="EM177" s="1">
        <v>27409.9</v>
      </c>
      <c r="EN177" s="1">
        <v>28573.7</v>
      </c>
      <c r="EO177" s="1">
        <v>22590.799999999999</v>
      </c>
      <c r="EP177" s="1">
        <v>27884</v>
      </c>
      <c r="EQ177" s="1">
        <v>27384.6</v>
      </c>
      <c r="ER177" s="1">
        <v>28546.400000000001</v>
      </c>
      <c r="ES177" s="1">
        <v>44.5</v>
      </c>
      <c r="ET177" s="1">
        <v>33.9</v>
      </c>
      <c r="EU177" s="1">
        <v>25.3</v>
      </c>
      <c r="EV177" s="1">
        <v>27.3</v>
      </c>
      <c r="EW177" s="1">
        <v>0</v>
      </c>
      <c r="EX177" s="1">
        <v>0</v>
      </c>
      <c r="EY177" s="1">
        <v>0</v>
      </c>
      <c r="EZ177" s="1">
        <v>0</v>
      </c>
      <c r="FA177" s="1">
        <v>0</v>
      </c>
      <c r="FB177" s="1">
        <v>0</v>
      </c>
      <c r="FC177" s="1">
        <v>0</v>
      </c>
      <c r="FD177" s="1">
        <v>0</v>
      </c>
      <c r="FE177" s="1">
        <v>1573.8</v>
      </c>
      <c r="FF177" s="1">
        <v>1469.7</v>
      </c>
      <c r="FG177" s="1">
        <v>1190.5999999999999</v>
      </c>
      <c r="FH177" s="1">
        <v>1244.2</v>
      </c>
      <c r="FI177" s="1">
        <v>729.3</v>
      </c>
      <c r="FJ177" s="1">
        <v>713.5</v>
      </c>
      <c r="FK177" s="1">
        <v>369.1</v>
      </c>
      <c r="FL177" s="1">
        <v>760</v>
      </c>
      <c r="FM177" s="1">
        <v>496.1</v>
      </c>
      <c r="FN177" s="1">
        <v>628.9</v>
      </c>
      <c r="FO177" s="1">
        <v>757.6</v>
      </c>
      <c r="FP177" s="1">
        <v>454.4</v>
      </c>
      <c r="FQ177" s="1">
        <v>0</v>
      </c>
      <c r="FR177" s="1">
        <v>0</v>
      </c>
      <c r="FS177" s="1">
        <v>25</v>
      </c>
      <c r="FT177" s="1">
        <v>0</v>
      </c>
      <c r="FU177" s="1">
        <v>0</v>
      </c>
      <c r="FV177" s="1">
        <v>0</v>
      </c>
      <c r="FW177" s="1">
        <v>0</v>
      </c>
      <c r="FX177" s="1">
        <v>0</v>
      </c>
      <c r="FY177" s="1">
        <v>348.4</v>
      </c>
      <c r="FZ177" s="1">
        <v>127.3</v>
      </c>
      <c r="GA177" s="1">
        <v>38.900000000000013</v>
      </c>
      <c r="GB177" s="1">
        <v>29.8</v>
      </c>
      <c r="GC177" s="1">
        <v>5276.6</v>
      </c>
      <c r="GD177" s="1">
        <v>5840.2999999999993</v>
      </c>
      <c r="GE177" s="1">
        <v>6121.2000000000007</v>
      </c>
      <c r="GF177" s="1">
        <v>6115.7</v>
      </c>
      <c r="GG177" s="1">
        <v>5276.6</v>
      </c>
      <c r="GH177" s="1">
        <v>5840.2999999999993</v>
      </c>
      <c r="GI177" s="1">
        <v>6121.2000000000007</v>
      </c>
      <c r="GJ177" s="1">
        <v>6115.7</v>
      </c>
      <c r="GK177" s="1">
        <v>0</v>
      </c>
      <c r="GL177" s="1">
        <v>0</v>
      </c>
      <c r="GM177" s="1">
        <v>0</v>
      </c>
      <c r="GN177" s="1">
        <v>0</v>
      </c>
      <c r="GO177" s="1">
        <v>0</v>
      </c>
      <c r="GP177" s="1">
        <v>0</v>
      </c>
      <c r="GQ177" s="1">
        <v>0</v>
      </c>
      <c r="GR177" s="1">
        <v>0</v>
      </c>
      <c r="GS177" s="1">
        <v>0</v>
      </c>
      <c r="GT177" s="1">
        <v>0</v>
      </c>
      <c r="GU177" s="1">
        <v>0</v>
      </c>
      <c r="GV177" s="1">
        <v>0</v>
      </c>
      <c r="GW177" s="1">
        <v>0</v>
      </c>
      <c r="GX177" s="1">
        <v>0</v>
      </c>
      <c r="GY177" s="1">
        <v>0</v>
      </c>
      <c r="GZ177" s="1">
        <v>0</v>
      </c>
      <c r="HA177" s="1">
        <v>0</v>
      </c>
      <c r="HB177" s="1">
        <v>0</v>
      </c>
      <c r="HC177" s="1">
        <v>0</v>
      </c>
      <c r="HD177" s="1">
        <v>0</v>
      </c>
      <c r="HE177" s="1">
        <v>4939.3</v>
      </c>
      <c r="HF177" s="1">
        <v>7519.6</v>
      </c>
      <c r="HG177" s="1">
        <v>6013.5</v>
      </c>
      <c r="HH177" s="1">
        <v>9433.1999999999989</v>
      </c>
      <c r="HI177" s="1">
        <v>4939.3</v>
      </c>
      <c r="HJ177" s="1">
        <v>4569.5</v>
      </c>
      <c r="HK177" s="1">
        <v>6013.5</v>
      </c>
      <c r="HL177" s="1">
        <v>9433.1999999999989</v>
      </c>
      <c r="HM177" s="1">
        <v>0</v>
      </c>
      <c r="HN177" s="1">
        <v>0</v>
      </c>
      <c r="HO177" s="1">
        <v>0</v>
      </c>
      <c r="HP177" s="1">
        <v>0</v>
      </c>
      <c r="HQ177" s="1">
        <v>0</v>
      </c>
      <c r="HR177" s="1">
        <v>0</v>
      </c>
      <c r="HS177" s="1">
        <v>0</v>
      </c>
      <c r="HT177" s="1">
        <v>0</v>
      </c>
      <c r="HU177" s="1">
        <v>0</v>
      </c>
      <c r="HV177" s="1">
        <v>0</v>
      </c>
      <c r="HW177" s="1">
        <v>0</v>
      </c>
      <c r="HX177" s="1">
        <v>0</v>
      </c>
      <c r="HY177" s="1">
        <v>0</v>
      </c>
      <c r="HZ177" s="1">
        <v>0</v>
      </c>
      <c r="IA177" s="1">
        <v>0</v>
      </c>
      <c r="IB177" s="1">
        <v>0</v>
      </c>
      <c r="IC177" s="1">
        <v>0</v>
      </c>
      <c r="ID177" s="1">
        <v>2950.1</v>
      </c>
      <c r="IE177" s="1">
        <v>0</v>
      </c>
      <c r="IF177" s="1">
        <v>0</v>
      </c>
      <c r="IG177" s="1">
        <v>0</v>
      </c>
      <c r="IH177" s="1">
        <v>0</v>
      </c>
      <c r="II177" s="1">
        <v>0</v>
      </c>
      <c r="IJ177" s="1">
        <v>0</v>
      </c>
      <c r="IK177" s="1">
        <v>0</v>
      </c>
      <c r="IL177" s="1">
        <v>0</v>
      </c>
      <c r="IM177" s="1">
        <v>0</v>
      </c>
      <c r="IN177" s="1">
        <v>0</v>
      </c>
      <c r="IO177" s="1">
        <v>166.7</v>
      </c>
      <c r="IP177" s="1">
        <v>240.4</v>
      </c>
      <c r="IQ177" s="1">
        <v>227.1</v>
      </c>
      <c r="IR177" s="1">
        <v>192.1</v>
      </c>
      <c r="IS177" s="1">
        <v>0</v>
      </c>
      <c r="IT177" s="1">
        <v>0</v>
      </c>
      <c r="IU177" s="1">
        <v>0</v>
      </c>
      <c r="IV177" s="1">
        <v>0</v>
      </c>
      <c r="IW177" s="1">
        <v>166.7</v>
      </c>
      <c r="IX177" s="1">
        <v>240.4</v>
      </c>
      <c r="IY177" s="1">
        <v>227.1</v>
      </c>
      <c r="IZ177" s="1">
        <v>192.1</v>
      </c>
      <c r="JA177" s="1">
        <v>0</v>
      </c>
      <c r="JB177" s="1">
        <v>0</v>
      </c>
      <c r="JC177" s="1">
        <v>0</v>
      </c>
      <c r="JD177" s="1">
        <v>0</v>
      </c>
      <c r="JE177" s="1">
        <v>0</v>
      </c>
      <c r="JF177" s="1">
        <v>0</v>
      </c>
      <c r="JG177" s="1">
        <v>0</v>
      </c>
      <c r="JH177" s="1">
        <v>0</v>
      </c>
      <c r="JI177" s="1">
        <v>0</v>
      </c>
      <c r="JJ177" s="1">
        <v>0</v>
      </c>
      <c r="JK177" s="1">
        <v>0</v>
      </c>
      <c r="JL177" s="1">
        <v>0</v>
      </c>
      <c r="JM177" s="1">
        <v>0</v>
      </c>
      <c r="JN177" s="1">
        <v>0</v>
      </c>
      <c r="JO177" s="1">
        <v>0</v>
      </c>
      <c r="JP177" s="1">
        <v>0</v>
      </c>
      <c r="JQ177" s="9"/>
      <c r="JR177" s="1">
        <f t="shared" si="38"/>
        <v>61796.115000000005</v>
      </c>
      <c r="JS177" s="1">
        <f t="shared" si="38"/>
        <v>66713.868000000017</v>
      </c>
      <c r="JT177" s="1">
        <f t="shared" si="38"/>
        <v>64031.850000000006</v>
      </c>
      <c r="JU177" s="1">
        <f t="shared" si="36"/>
        <v>62602.983</v>
      </c>
      <c r="JV177" s="1">
        <f t="shared" si="39"/>
        <v>11443.725</v>
      </c>
      <c r="JW177" s="1">
        <f t="shared" si="39"/>
        <v>12354.420000000002</v>
      </c>
      <c r="JX177" s="1">
        <f t="shared" si="39"/>
        <v>11857.75</v>
      </c>
      <c r="JY177" s="1">
        <f t="shared" si="37"/>
        <v>11593.145</v>
      </c>
    </row>
    <row r="178" spans="1:285" x14ac:dyDescent="0.35">
      <c r="A178" s="2" t="s">
        <v>185</v>
      </c>
      <c r="B178" s="1">
        <v>143935</v>
      </c>
      <c r="C178" s="1">
        <v>143217</v>
      </c>
      <c r="D178" s="1">
        <v>144956</v>
      </c>
      <c r="E178" s="1">
        <v>146404</v>
      </c>
      <c r="F178" s="1">
        <v>45369.082999999999</v>
      </c>
      <c r="G178" s="1">
        <v>47594.824000000001</v>
      </c>
      <c r="H178" s="1">
        <v>45081.902999999998</v>
      </c>
      <c r="I178" s="1">
        <v>44444.069999999992</v>
      </c>
      <c r="J178" s="1">
        <f t="shared" si="40"/>
        <v>25791.54</v>
      </c>
      <c r="K178" s="1">
        <f t="shared" si="41"/>
        <v>28513.012999999999</v>
      </c>
      <c r="L178" s="1">
        <f t="shared" si="42"/>
        <v>27381.603000000003</v>
      </c>
      <c r="M178" s="1">
        <f t="shared" si="43"/>
        <v>27201.769999999997</v>
      </c>
      <c r="N178" s="1">
        <f t="shared" si="44"/>
        <v>19577.542999999998</v>
      </c>
      <c r="O178" s="1">
        <f t="shared" si="45"/>
        <v>19081.811000000002</v>
      </c>
      <c r="P178" s="1">
        <f t="shared" si="46"/>
        <v>17700.299999999996</v>
      </c>
      <c r="Q178" s="1">
        <f t="shared" si="47"/>
        <v>17242.299999999996</v>
      </c>
      <c r="R178" s="1">
        <v>3683.0360000000001</v>
      </c>
      <c r="S178" s="1">
        <v>3421.1680000000001</v>
      </c>
      <c r="T178" s="1">
        <v>3225.31</v>
      </c>
      <c r="U178" s="1">
        <v>3148.83</v>
      </c>
      <c r="V178" s="1">
        <v>0</v>
      </c>
      <c r="W178" s="1">
        <v>0</v>
      </c>
      <c r="X178" s="1">
        <v>3683.0360000000001</v>
      </c>
      <c r="Y178" s="1">
        <v>0</v>
      </c>
      <c r="Z178" s="1">
        <v>0</v>
      </c>
      <c r="AA178" s="1">
        <v>3421.1680000000001</v>
      </c>
      <c r="AB178" s="1">
        <v>0</v>
      </c>
      <c r="AC178" s="1">
        <v>0</v>
      </c>
      <c r="AD178" s="1">
        <v>3225.31</v>
      </c>
      <c r="AE178" s="1">
        <v>0</v>
      </c>
      <c r="AF178" s="1">
        <v>0</v>
      </c>
      <c r="AG178" s="1">
        <v>3148.83</v>
      </c>
      <c r="AH178" s="1">
        <v>0</v>
      </c>
      <c r="AI178" s="1">
        <v>0</v>
      </c>
      <c r="AJ178" s="1">
        <v>0</v>
      </c>
      <c r="AK178" s="1">
        <v>0</v>
      </c>
      <c r="AL178" s="1">
        <v>0</v>
      </c>
      <c r="AM178" s="1">
        <v>0</v>
      </c>
      <c r="AN178" s="1">
        <v>0</v>
      </c>
      <c r="AO178" s="1">
        <v>0</v>
      </c>
      <c r="AP178" s="1">
        <v>3943.62</v>
      </c>
      <c r="AQ178" s="1">
        <v>4367</v>
      </c>
      <c r="AR178" s="1">
        <v>3357</v>
      </c>
      <c r="AS178" s="1">
        <v>4108.0599999999995</v>
      </c>
      <c r="AT178" s="1">
        <v>3943.62</v>
      </c>
      <c r="AU178" s="1">
        <v>0</v>
      </c>
      <c r="AV178" s="1">
        <v>0</v>
      </c>
      <c r="AW178" s="1">
        <v>0</v>
      </c>
      <c r="AX178" s="1">
        <v>4367</v>
      </c>
      <c r="AY178" s="1">
        <v>0</v>
      </c>
      <c r="AZ178" s="1">
        <v>0</v>
      </c>
      <c r="BA178" s="1">
        <v>0</v>
      </c>
      <c r="BB178" s="1">
        <v>1832.6599999999999</v>
      </c>
      <c r="BC178" s="1">
        <v>1010</v>
      </c>
      <c r="BD178" s="1">
        <v>0</v>
      </c>
      <c r="BE178" s="1">
        <v>0</v>
      </c>
      <c r="BF178" s="1">
        <v>4108.0599999999995</v>
      </c>
      <c r="BG178" s="1">
        <v>0</v>
      </c>
      <c r="BH178" s="1">
        <v>0</v>
      </c>
      <c r="BI178" s="1">
        <v>0</v>
      </c>
      <c r="BJ178" s="1">
        <v>0</v>
      </c>
      <c r="BK178" s="1">
        <v>0</v>
      </c>
      <c r="BL178" s="1">
        <v>0</v>
      </c>
      <c r="BM178" s="1">
        <v>0</v>
      </c>
      <c r="BN178" s="1">
        <v>0</v>
      </c>
      <c r="BO178" s="1">
        <v>0</v>
      </c>
      <c r="BP178" s="1">
        <v>0</v>
      </c>
      <c r="BQ178" s="1">
        <v>0</v>
      </c>
      <c r="BR178" s="1">
        <v>0</v>
      </c>
      <c r="BS178" s="1">
        <v>0</v>
      </c>
      <c r="BT178" s="1">
        <v>0</v>
      </c>
      <c r="BU178" s="1">
        <v>7427.4979999999996</v>
      </c>
      <c r="BV178" s="1">
        <v>11006.109</v>
      </c>
      <c r="BW178" s="1">
        <v>12118.28</v>
      </c>
      <c r="BX178" s="1">
        <v>11718.17</v>
      </c>
      <c r="BY178" s="1">
        <v>7427.4979999999996</v>
      </c>
      <c r="BZ178" s="1">
        <v>11006.109</v>
      </c>
      <c r="CA178" s="1">
        <v>12118.28</v>
      </c>
      <c r="CB178" s="1">
        <v>11718.17</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4117.6670000000004</v>
      </c>
      <c r="CT178" s="1">
        <v>4093.9189999999999</v>
      </c>
      <c r="CU178" s="1">
        <v>3277.48</v>
      </c>
      <c r="CV178" s="1">
        <v>2358.16</v>
      </c>
      <c r="CW178" s="1">
        <v>4117.6670000000004</v>
      </c>
      <c r="CX178" s="1">
        <v>4093.9189999999999</v>
      </c>
      <c r="CY178" s="1">
        <v>3277.48</v>
      </c>
      <c r="CZ178" s="1">
        <v>2358.16</v>
      </c>
      <c r="DA178" s="1">
        <v>0</v>
      </c>
      <c r="DB178" s="1">
        <v>0</v>
      </c>
      <c r="DC178" s="1">
        <v>0</v>
      </c>
      <c r="DD178" s="1">
        <v>0</v>
      </c>
      <c r="DE178" s="1">
        <v>0</v>
      </c>
      <c r="DF178" s="1">
        <v>0</v>
      </c>
      <c r="DG178" s="1">
        <v>0</v>
      </c>
      <c r="DH178" s="1">
        <v>0</v>
      </c>
      <c r="DI178" s="1">
        <v>0</v>
      </c>
      <c r="DJ178" s="1">
        <v>0</v>
      </c>
      <c r="DK178" s="1">
        <v>0</v>
      </c>
      <c r="DL178" s="1">
        <v>0</v>
      </c>
      <c r="DM178" s="1">
        <v>3729.047</v>
      </c>
      <c r="DN178" s="1">
        <v>3387.6</v>
      </c>
      <c r="DO178" s="1">
        <v>3199.8629999999998</v>
      </c>
      <c r="DP178" s="1">
        <v>3264.28</v>
      </c>
      <c r="DQ178" s="1">
        <v>3729.047</v>
      </c>
      <c r="DR178" s="1">
        <v>3387.6</v>
      </c>
      <c r="DS178" s="1">
        <v>3199.8629999999998</v>
      </c>
      <c r="DT178" s="1">
        <v>3264.28</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972.68599999999992</v>
      </c>
      <c r="EL178" s="1">
        <v>1024.3689999999999</v>
      </c>
      <c r="EM178" s="1">
        <v>963.75</v>
      </c>
      <c r="EN178" s="1">
        <v>1049.47</v>
      </c>
      <c r="EO178" s="1">
        <v>972.68599999999992</v>
      </c>
      <c r="EP178" s="1">
        <v>1024.3689999999999</v>
      </c>
      <c r="EQ178" s="1">
        <v>963.75</v>
      </c>
      <c r="ER178" s="1">
        <v>1049.47</v>
      </c>
      <c r="ES178" s="1">
        <v>0</v>
      </c>
      <c r="ET178" s="1">
        <v>0</v>
      </c>
      <c r="EU178" s="1">
        <v>0</v>
      </c>
      <c r="EV178" s="1">
        <v>0</v>
      </c>
      <c r="EW178" s="1">
        <v>0</v>
      </c>
      <c r="EX178" s="1">
        <v>0</v>
      </c>
      <c r="EY178" s="1">
        <v>0</v>
      </c>
      <c r="EZ178" s="1">
        <v>0</v>
      </c>
      <c r="FA178" s="1">
        <v>0</v>
      </c>
      <c r="FB178" s="1">
        <v>0</v>
      </c>
      <c r="FC178" s="1">
        <v>0</v>
      </c>
      <c r="FD178" s="1">
        <v>0</v>
      </c>
      <c r="FE178" s="1">
        <v>1062.828</v>
      </c>
      <c r="FF178" s="1">
        <v>308.33199999999999</v>
      </c>
      <c r="FG178" s="1">
        <v>375.79</v>
      </c>
      <c r="FH178" s="1">
        <v>688.71</v>
      </c>
      <c r="FI178" s="1">
        <v>1062.828</v>
      </c>
      <c r="FJ178" s="1">
        <v>308.33199999999999</v>
      </c>
      <c r="FK178" s="1">
        <v>375.79</v>
      </c>
      <c r="FL178" s="1">
        <v>688.71</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v>0</v>
      </c>
      <c r="GC178" s="1">
        <v>51.84</v>
      </c>
      <c r="GD178" s="1">
        <v>122.52</v>
      </c>
      <c r="GE178" s="1">
        <v>101.24</v>
      </c>
      <c r="GF178" s="1">
        <v>122.12</v>
      </c>
      <c r="GG178" s="1">
        <v>51.84</v>
      </c>
      <c r="GH178" s="1">
        <v>122.52</v>
      </c>
      <c r="GI178" s="1">
        <v>101.24</v>
      </c>
      <c r="GJ178" s="1">
        <v>122.12</v>
      </c>
      <c r="GK178" s="1">
        <v>0</v>
      </c>
      <c r="GL178" s="1">
        <v>0</v>
      </c>
      <c r="GM178" s="1">
        <v>0</v>
      </c>
      <c r="GN178" s="1">
        <v>0</v>
      </c>
      <c r="GO178" s="1">
        <v>0</v>
      </c>
      <c r="GP178" s="1">
        <v>0</v>
      </c>
      <c r="GQ178" s="1">
        <v>0</v>
      </c>
      <c r="GR178" s="1">
        <v>0</v>
      </c>
      <c r="GS178" s="1">
        <v>0</v>
      </c>
      <c r="GT178" s="1">
        <v>0</v>
      </c>
      <c r="GU178" s="1">
        <v>0</v>
      </c>
      <c r="GV178" s="1">
        <v>0</v>
      </c>
      <c r="GW178" s="1">
        <v>0</v>
      </c>
      <c r="GX178" s="1">
        <v>0</v>
      </c>
      <c r="GY178" s="1">
        <v>0</v>
      </c>
      <c r="GZ178" s="1">
        <v>0</v>
      </c>
      <c r="HA178" s="1">
        <v>0</v>
      </c>
      <c r="HB178" s="1">
        <v>0</v>
      </c>
      <c r="HC178" s="1">
        <v>0</v>
      </c>
      <c r="HD178" s="1">
        <v>0</v>
      </c>
      <c r="HE178" s="1">
        <v>0</v>
      </c>
      <c r="HF178" s="1">
        <v>0</v>
      </c>
      <c r="HG178" s="1">
        <v>0</v>
      </c>
      <c r="HH178" s="1">
        <v>0</v>
      </c>
      <c r="HI178" s="1">
        <v>0</v>
      </c>
      <c r="HJ178" s="1">
        <v>0</v>
      </c>
      <c r="HK178" s="1">
        <v>0</v>
      </c>
      <c r="HL178" s="1">
        <v>0</v>
      </c>
      <c r="HM178" s="1">
        <v>0</v>
      </c>
      <c r="HN178" s="1">
        <v>0</v>
      </c>
      <c r="HO178" s="1">
        <v>0</v>
      </c>
      <c r="HP178" s="1">
        <v>0</v>
      </c>
      <c r="HQ178" s="1">
        <v>0</v>
      </c>
      <c r="HR178" s="1">
        <v>0</v>
      </c>
      <c r="HS178" s="1">
        <v>0</v>
      </c>
      <c r="HT178" s="1">
        <v>0</v>
      </c>
      <c r="HU178" s="1">
        <v>0</v>
      </c>
      <c r="HV178" s="1">
        <v>0</v>
      </c>
      <c r="HW178" s="1">
        <v>0</v>
      </c>
      <c r="HX178" s="1">
        <v>0</v>
      </c>
      <c r="HY178" s="1">
        <v>0</v>
      </c>
      <c r="HZ178" s="1">
        <v>0</v>
      </c>
      <c r="IA178" s="1">
        <v>0</v>
      </c>
      <c r="IB178" s="1">
        <v>0</v>
      </c>
      <c r="IC178" s="1">
        <v>0</v>
      </c>
      <c r="ID178" s="1">
        <v>0</v>
      </c>
      <c r="IE178" s="1">
        <v>0</v>
      </c>
      <c r="IF178" s="1">
        <v>0</v>
      </c>
      <c r="IG178" s="1">
        <v>0</v>
      </c>
      <c r="IH178" s="1">
        <v>0</v>
      </c>
      <c r="II178" s="1">
        <v>0</v>
      </c>
      <c r="IJ178" s="1">
        <v>0</v>
      </c>
      <c r="IK178" s="1">
        <v>0</v>
      </c>
      <c r="IL178" s="1">
        <v>0</v>
      </c>
      <c r="IM178" s="1">
        <v>0</v>
      </c>
      <c r="IN178" s="1">
        <v>0</v>
      </c>
      <c r="IO178" s="1">
        <v>803.31799999999998</v>
      </c>
      <c r="IP178" s="1">
        <v>781.99599999999998</v>
      </c>
      <c r="IQ178" s="1">
        <v>762.88999999999987</v>
      </c>
      <c r="IR178" s="1">
        <v>743.97</v>
      </c>
      <c r="IS178" s="1">
        <v>803.31799999999998</v>
      </c>
      <c r="IT178" s="1">
        <v>781.99599999999998</v>
      </c>
      <c r="IU178" s="1">
        <v>762.88999999999987</v>
      </c>
      <c r="IV178" s="1">
        <v>743.97</v>
      </c>
      <c r="IW178" s="1">
        <v>0</v>
      </c>
      <c r="IX178" s="1">
        <v>0</v>
      </c>
      <c r="IY178" s="1">
        <v>0</v>
      </c>
      <c r="IZ178" s="1">
        <v>0</v>
      </c>
      <c r="JA178" s="1">
        <v>0</v>
      </c>
      <c r="JB178" s="1">
        <v>0</v>
      </c>
      <c r="JC178" s="1">
        <v>0</v>
      </c>
      <c r="JD178" s="1">
        <v>0</v>
      </c>
      <c r="JE178" s="1">
        <v>0</v>
      </c>
      <c r="JF178" s="1">
        <v>0</v>
      </c>
      <c r="JG178" s="1">
        <v>0</v>
      </c>
      <c r="JH178" s="1">
        <v>0</v>
      </c>
      <c r="JI178" s="1">
        <v>0</v>
      </c>
      <c r="JJ178" s="1">
        <v>0</v>
      </c>
      <c r="JK178" s="1">
        <v>0</v>
      </c>
      <c r="JL178" s="1">
        <v>0</v>
      </c>
      <c r="JM178" s="1">
        <v>0</v>
      </c>
      <c r="JN178" s="1">
        <v>0</v>
      </c>
      <c r="JO178" s="1">
        <v>0</v>
      </c>
      <c r="JP178" s="1">
        <v>0</v>
      </c>
      <c r="JQ178" s="9"/>
      <c r="JR178" s="1">
        <f t="shared" si="38"/>
        <v>5285.9366099999997</v>
      </c>
      <c r="JS178" s="1">
        <f t="shared" si="38"/>
        <v>5152.0889700000007</v>
      </c>
      <c r="JT178" s="1">
        <f t="shared" si="38"/>
        <v>4779.0809999999992</v>
      </c>
      <c r="JU178" s="1">
        <f t="shared" si="36"/>
        <v>4655.4209999999994</v>
      </c>
      <c r="JV178" s="1">
        <f t="shared" si="39"/>
        <v>978.87714999999992</v>
      </c>
      <c r="JW178" s="1">
        <f t="shared" si="39"/>
        <v>954.09055000000012</v>
      </c>
      <c r="JX178" s="1">
        <f t="shared" si="39"/>
        <v>885.01499999999987</v>
      </c>
      <c r="JY178" s="1">
        <f t="shared" si="37"/>
        <v>862.11499999999978</v>
      </c>
    </row>
    <row r="179" spans="1:285" x14ac:dyDescent="0.35">
      <c r="A179" s="2" t="s">
        <v>186</v>
      </c>
      <c r="B179" s="1">
        <v>322822</v>
      </c>
      <c r="C179" s="1">
        <v>319978</v>
      </c>
      <c r="D179" s="1">
        <v>326572</v>
      </c>
      <c r="E179" s="1">
        <v>327186</v>
      </c>
      <c r="F179" s="1">
        <v>351182.97</v>
      </c>
      <c r="G179" s="1">
        <v>364489.91</v>
      </c>
      <c r="H179" s="1">
        <v>372544.77</v>
      </c>
      <c r="I179" s="1">
        <v>368580.24</v>
      </c>
      <c r="J179" s="1">
        <f t="shared" si="40"/>
        <v>78345.50999999998</v>
      </c>
      <c r="K179" s="1">
        <f t="shared" si="41"/>
        <v>76146.179999999993</v>
      </c>
      <c r="L179" s="1">
        <f t="shared" si="42"/>
        <v>79649.34</v>
      </c>
      <c r="M179" s="1">
        <f t="shared" si="43"/>
        <v>70347.97</v>
      </c>
      <c r="N179" s="1">
        <f t="shared" si="44"/>
        <v>272837.45999999996</v>
      </c>
      <c r="O179" s="1">
        <f t="shared" si="45"/>
        <v>288343.73</v>
      </c>
      <c r="P179" s="1">
        <f t="shared" si="46"/>
        <v>292895.43000000005</v>
      </c>
      <c r="Q179" s="1">
        <f t="shared" si="47"/>
        <v>298232.27</v>
      </c>
      <c r="R179" s="1">
        <v>0</v>
      </c>
      <c r="S179" s="1">
        <v>0</v>
      </c>
      <c r="T179" s="1">
        <v>0</v>
      </c>
      <c r="U179" s="1">
        <v>64.599999999999994</v>
      </c>
      <c r="V179" s="1">
        <v>0</v>
      </c>
      <c r="W179" s="1">
        <v>0</v>
      </c>
      <c r="X179" s="1">
        <v>0</v>
      </c>
      <c r="Y179" s="1">
        <v>0</v>
      </c>
      <c r="Z179" s="1">
        <v>0</v>
      </c>
      <c r="AA179" s="1">
        <v>0</v>
      </c>
      <c r="AB179" s="1">
        <v>0</v>
      </c>
      <c r="AC179" s="1">
        <v>0</v>
      </c>
      <c r="AD179" s="1">
        <v>0</v>
      </c>
      <c r="AE179" s="1">
        <v>0</v>
      </c>
      <c r="AF179" s="1">
        <v>0</v>
      </c>
      <c r="AG179" s="1">
        <v>64.599999999999994</v>
      </c>
      <c r="AH179" s="1">
        <v>0</v>
      </c>
      <c r="AI179" s="1">
        <v>0</v>
      </c>
      <c r="AJ179" s="1">
        <v>0</v>
      </c>
      <c r="AK179" s="1">
        <v>0</v>
      </c>
      <c r="AL179" s="1">
        <v>0</v>
      </c>
      <c r="AM179" s="1">
        <v>0</v>
      </c>
      <c r="AN179" s="1">
        <v>0</v>
      </c>
      <c r="AO179" s="1">
        <v>0</v>
      </c>
      <c r="AP179" s="1">
        <v>11056.09</v>
      </c>
      <c r="AQ179" s="1">
        <v>11801.14</v>
      </c>
      <c r="AR179" s="1">
        <v>10910.7</v>
      </c>
      <c r="AS179" s="1">
        <v>11080.060000000001</v>
      </c>
      <c r="AT179" s="1">
        <v>0</v>
      </c>
      <c r="AU179" s="1">
        <v>10156.530000000001</v>
      </c>
      <c r="AV179" s="1">
        <v>0</v>
      </c>
      <c r="AW179" s="1">
        <v>0</v>
      </c>
      <c r="AX179" s="1">
        <v>0</v>
      </c>
      <c r="AY179" s="1">
        <v>6070.579999999999</v>
      </c>
      <c r="AZ179" s="1">
        <v>0</v>
      </c>
      <c r="BA179" s="1">
        <v>0</v>
      </c>
      <c r="BB179" s="1">
        <v>0</v>
      </c>
      <c r="BC179" s="1">
        <v>10910.7</v>
      </c>
      <c r="BD179" s="1">
        <v>0</v>
      </c>
      <c r="BE179" s="1">
        <v>0</v>
      </c>
      <c r="BF179" s="1">
        <v>11080.060000000001</v>
      </c>
      <c r="BG179" s="1">
        <v>0</v>
      </c>
      <c r="BH179" s="1">
        <v>0</v>
      </c>
      <c r="BI179" s="1">
        <v>0</v>
      </c>
      <c r="BJ179" s="1">
        <v>0</v>
      </c>
      <c r="BK179" s="1">
        <v>899.56</v>
      </c>
      <c r="BL179" s="1">
        <v>0</v>
      </c>
      <c r="BM179" s="1">
        <v>0</v>
      </c>
      <c r="BN179" s="1">
        <v>5730.56</v>
      </c>
      <c r="BO179" s="1">
        <v>0</v>
      </c>
      <c r="BP179" s="1">
        <v>0</v>
      </c>
      <c r="BQ179" s="1">
        <v>0</v>
      </c>
      <c r="BR179" s="1">
        <v>0</v>
      </c>
      <c r="BS179" s="1">
        <v>0</v>
      </c>
      <c r="BT179" s="1">
        <v>0</v>
      </c>
      <c r="BU179" s="1">
        <v>17203.73</v>
      </c>
      <c r="BV179" s="1">
        <v>17704.98</v>
      </c>
      <c r="BW179" s="1">
        <v>14868.32</v>
      </c>
      <c r="BX179" s="1">
        <v>15047.83</v>
      </c>
      <c r="BY179" s="1">
        <v>17203.73</v>
      </c>
      <c r="BZ179" s="1">
        <v>17704.98</v>
      </c>
      <c r="CA179" s="1">
        <v>14868.32</v>
      </c>
      <c r="CB179" s="1">
        <v>15047.83</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14407.68</v>
      </c>
      <c r="CT179" s="1">
        <v>13584.7</v>
      </c>
      <c r="CU179" s="1">
        <v>11188.97</v>
      </c>
      <c r="CV179" s="1">
        <v>9445.4699999999993</v>
      </c>
      <c r="CW179" s="1">
        <v>14407.68</v>
      </c>
      <c r="CX179" s="1">
        <v>13584.7</v>
      </c>
      <c r="CY179" s="1">
        <v>11188.97</v>
      </c>
      <c r="CZ179" s="1">
        <v>9445.4699999999993</v>
      </c>
      <c r="DA179" s="1">
        <v>0</v>
      </c>
      <c r="DB179" s="1">
        <v>0</v>
      </c>
      <c r="DC179" s="1">
        <v>0</v>
      </c>
      <c r="DD179" s="1">
        <v>0</v>
      </c>
      <c r="DE179" s="1">
        <v>0</v>
      </c>
      <c r="DF179" s="1">
        <v>0</v>
      </c>
      <c r="DG179" s="1">
        <v>0</v>
      </c>
      <c r="DH179" s="1">
        <v>0</v>
      </c>
      <c r="DI179" s="1">
        <v>0</v>
      </c>
      <c r="DJ179" s="1">
        <v>0</v>
      </c>
      <c r="DK179" s="1">
        <v>0</v>
      </c>
      <c r="DL179" s="1">
        <v>0</v>
      </c>
      <c r="DM179" s="1">
        <v>14774.95</v>
      </c>
      <c r="DN179" s="1">
        <v>14527.69</v>
      </c>
      <c r="DO179" s="1">
        <v>17438.07</v>
      </c>
      <c r="DP179" s="1">
        <v>14462.98</v>
      </c>
      <c r="DQ179" s="1">
        <v>14774.95</v>
      </c>
      <c r="DR179" s="1">
        <v>14527.69</v>
      </c>
      <c r="DS179" s="1">
        <v>17438.07</v>
      </c>
      <c r="DT179" s="1">
        <v>14462.98</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5019.71</v>
      </c>
      <c r="EL179" s="1">
        <v>3371.52</v>
      </c>
      <c r="EM179" s="1">
        <v>6932.59</v>
      </c>
      <c r="EN179" s="1">
        <v>5255.5700000000006</v>
      </c>
      <c r="EO179" s="1">
        <v>5019.71</v>
      </c>
      <c r="EP179" s="1">
        <v>3371.52</v>
      </c>
      <c r="EQ179" s="1">
        <v>6932.59</v>
      </c>
      <c r="ER179" s="1">
        <v>5255.5700000000006</v>
      </c>
      <c r="ES179" s="1">
        <v>0</v>
      </c>
      <c r="ET179" s="1">
        <v>0</v>
      </c>
      <c r="EU179" s="1">
        <v>0</v>
      </c>
      <c r="EV179" s="1">
        <v>0</v>
      </c>
      <c r="EW179" s="1">
        <v>0</v>
      </c>
      <c r="EX179" s="1">
        <v>0</v>
      </c>
      <c r="EY179" s="1">
        <v>0</v>
      </c>
      <c r="EZ179" s="1">
        <v>0</v>
      </c>
      <c r="FA179" s="1">
        <v>0</v>
      </c>
      <c r="FB179" s="1">
        <v>0</v>
      </c>
      <c r="FC179" s="1">
        <v>0</v>
      </c>
      <c r="FD179" s="1">
        <v>0</v>
      </c>
      <c r="FE179" s="1">
        <v>55.13</v>
      </c>
      <c r="FF179" s="1">
        <v>116.31</v>
      </c>
      <c r="FG179" s="1">
        <v>149.96</v>
      </c>
      <c r="FH179" s="1">
        <v>88.81</v>
      </c>
      <c r="FI179" s="1">
        <v>55.13</v>
      </c>
      <c r="FJ179" s="1">
        <v>116.31</v>
      </c>
      <c r="FK179" s="1">
        <v>149.96</v>
      </c>
      <c r="FL179" s="1">
        <v>88.81</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v>0</v>
      </c>
      <c r="GC179" s="1">
        <v>616.09</v>
      </c>
      <c r="GD179" s="1">
        <v>1155.51</v>
      </c>
      <c r="GE179" s="1">
        <v>1224.07</v>
      </c>
      <c r="GF179" s="1">
        <v>1383.33</v>
      </c>
      <c r="GG179" s="1">
        <v>616.09</v>
      </c>
      <c r="GH179" s="1">
        <v>1155.51</v>
      </c>
      <c r="GI179" s="1">
        <v>1224.07</v>
      </c>
      <c r="GJ179" s="1">
        <v>1383.33</v>
      </c>
      <c r="GK179" s="1">
        <v>0</v>
      </c>
      <c r="GL179" s="1">
        <v>0</v>
      </c>
      <c r="GM179" s="1">
        <v>0</v>
      </c>
      <c r="GN179" s="1">
        <v>0</v>
      </c>
      <c r="GO179" s="1">
        <v>0</v>
      </c>
      <c r="GP179" s="1">
        <v>0</v>
      </c>
      <c r="GQ179" s="1">
        <v>0</v>
      </c>
      <c r="GR179" s="1">
        <v>0</v>
      </c>
      <c r="GS179" s="1">
        <v>0</v>
      </c>
      <c r="GT179" s="1">
        <v>0</v>
      </c>
      <c r="GU179" s="1">
        <v>0</v>
      </c>
      <c r="GV179" s="1">
        <v>0</v>
      </c>
      <c r="GW179" s="1">
        <v>0</v>
      </c>
      <c r="GX179" s="1">
        <v>0</v>
      </c>
      <c r="GY179" s="1">
        <v>0</v>
      </c>
      <c r="GZ179" s="1">
        <v>0</v>
      </c>
      <c r="HA179" s="1">
        <v>0</v>
      </c>
      <c r="HB179" s="1">
        <v>0</v>
      </c>
      <c r="HC179" s="1">
        <v>0</v>
      </c>
      <c r="HD179" s="1">
        <v>0</v>
      </c>
      <c r="HE179" s="1">
        <v>13585.62</v>
      </c>
      <c r="HF179" s="1">
        <v>12488.13</v>
      </c>
      <c r="HG179" s="1">
        <v>15232.39</v>
      </c>
      <c r="HH179" s="1">
        <v>11614.2</v>
      </c>
      <c r="HI179" s="1">
        <v>13585.62</v>
      </c>
      <c r="HJ179" s="1">
        <v>12488.13</v>
      </c>
      <c r="HK179" s="1">
        <v>15232.39</v>
      </c>
      <c r="HL179" s="1">
        <v>11614.2</v>
      </c>
      <c r="HM179" s="1">
        <v>0</v>
      </c>
      <c r="HN179" s="1">
        <v>0</v>
      </c>
      <c r="HO179" s="1">
        <v>0</v>
      </c>
      <c r="HP179" s="1">
        <v>0</v>
      </c>
      <c r="HQ179" s="1">
        <v>0</v>
      </c>
      <c r="HR179" s="1">
        <v>0</v>
      </c>
      <c r="HS179" s="1">
        <v>0</v>
      </c>
      <c r="HT179" s="1">
        <v>0</v>
      </c>
      <c r="HU179" s="1">
        <v>0</v>
      </c>
      <c r="HV179" s="1">
        <v>0</v>
      </c>
      <c r="HW179" s="1">
        <v>0</v>
      </c>
      <c r="HX179" s="1">
        <v>0</v>
      </c>
      <c r="HY179" s="1">
        <v>0</v>
      </c>
      <c r="HZ179" s="1">
        <v>0</v>
      </c>
      <c r="IA179" s="1">
        <v>0</v>
      </c>
      <c r="IB179" s="1">
        <v>0</v>
      </c>
      <c r="IC179" s="1">
        <v>0</v>
      </c>
      <c r="ID179" s="1">
        <v>0</v>
      </c>
      <c r="IE179" s="1">
        <v>0</v>
      </c>
      <c r="IF179" s="1">
        <v>0</v>
      </c>
      <c r="IG179" s="1">
        <v>0</v>
      </c>
      <c r="IH179" s="1">
        <v>0</v>
      </c>
      <c r="II179" s="1">
        <v>0</v>
      </c>
      <c r="IJ179" s="1">
        <v>0</v>
      </c>
      <c r="IK179" s="1">
        <v>0</v>
      </c>
      <c r="IL179" s="1">
        <v>0</v>
      </c>
      <c r="IM179" s="1">
        <v>0</v>
      </c>
      <c r="IN179" s="1">
        <v>0</v>
      </c>
      <c r="IO179" s="1">
        <v>1626.51</v>
      </c>
      <c r="IP179" s="1">
        <v>1396.2</v>
      </c>
      <c r="IQ179" s="1">
        <v>1704.27</v>
      </c>
      <c r="IR179" s="1">
        <v>1905.12</v>
      </c>
      <c r="IS179" s="1">
        <v>1626.51</v>
      </c>
      <c r="IT179" s="1">
        <v>1396.2</v>
      </c>
      <c r="IU179" s="1">
        <v>1704.27</v>
      </c>
      <c r="IV179" s="1">
        <v>1905.12</v>
      </c>
      <c r="IW179" s="1">
        <v>0</v>
      </c>
      <c r="IX179" s="1">
        <v>0</v>
      </c>
      <c r="IY179" s="1">
        <v>0</v>
      </c>
      <c r="IZ179" s="1">
        <v>0</v>
      </c>
      <c r="JA179" s="1">
        <v>0</v>
      </c>
      <c r="JB179" s="1">
        <v>0</v>
      </c>
      <c r="JC179" s="1">
        <v>0</v>
      </c>
      <c r="JD179" s="1">
        <v>0</v>
      </c>
      <c r="JE179" s="1">
        <v>0</v>
      </c>
      <c r="JF179" s="1">
        <v>0</v>
      </c>
      <c r="JG179" s="1">
        <v>0</v>
      </c>
      <c r="JH179" s="1">
        <v>0</v>
      </c>
      <c r="JI179" s="1">
        <v>0</v>
      </c>
      <c r="JJ179" s="1">
        <v>0</v>
      </c>
      <c r="JK179" s="1">
        <v>0</v>
      </c>
      <c r="JL179" s="1">
        <v>0</v>
      </c>
      <c r="JM179" s="1">
        <v>0</v>
      </c>
      <c r="JN179" s="1">
        <v>0</v>
      </c>
      <c r="JO179" s="1">
        <v>0</v>
      </c>
      <c r="JP179" s="1">
        <v>0</v>
      </c>
      <c r="JQ179" s="9"/>
      <c r="JR179" s="1">
        <f t="shared" si="38"/>
        <v>73666.114199999996</v>
      </c>
      <c r="JS179" s="1">
        <f t="shared" si="38"/>
        <v>77852.807100000005</v>
      </c>
      <c r="JT179" s="1">
        <f t="shared" si="38"/>
        <v>79081.766100000023</v>
      </c>
      <c r="JU179" s="1">
        <f t="shared" si="36"/>
        <v>80522.712900000013</v>
      </c>
      <c r="JV179" s="1">
        <f t="shared" si="39"/>
        <v>13641.873</v>
      </c>
      <c r="JW179" s="1">
        <f t="shared" si="39"/>
        <v>14417.1865</v>
      </c>
      <c r="JX179" s="1">
        <f t="shared" si="39"/>
        <v>14644.771500000003</v>
      </c>
      <c r="JY179" s="1">
        <f t="shared" si="37"/>
        <v>14911.613500000001</v>
      </c>
    </row>
    <row r="180" spans="1:285" x14ac:dyDescent="0.35">
      <c r="A180" s="2" t="s">
        <v>187</v>
      </c>
      <c r="B180" s="1">
        <v>133688</v>
      </c>
      <c r="C180" s="1">
        <v>134303</v>
      </c>
      <c r="D180" s="1">
        <v>135664</v>
      </c>
      <c r="E180" s="1">
        <v>138588</v>
      </c>
      <c r="F180" s="1">
        <v>32825.519999999997</v>
      </c>
      <c r="G180" s="1">
        <v>36724.720999999998</v>
      </c>
      <c r="H180" s="1">
        <v>32948.74</v>
      </c>
      <c r="I180" s="1">
        <v>28394.29</v>
      </c>
      <c r="J180" s="1">
        <f t="shared" si="40"/>
        <v>20062.3</v>
      </c>
      <c r="K180" s="1">
        <f t="shared" si="41"/>
        <v>20773.907000000003</v>
      </c>
      <c r="L180" s="1">
        <f t="shared" si="42"/>
        <v>18067.489999999998</v>
      </c>
      <c r="M180" s="1">
        <f t="shared" si="43"/>
        <v>16897.259999999998</v>
      </c>
      <c r="N180" s="1">
        <f t="shared" si="44"/>
        <v>12763.219999999998</v>
      </c>
      <c r="O180" s="1">
        <f t="shared" si="45"/>
        <v>15950.813999999995</v>
      </c>
      <c r="P180" s="1">
        <f t="shared" si="46"/>
        <v>14881.25</v>
      </c>
      <c r="Q180" s="1">
        <f t="shared" si="47"/>
        <v>11497.030000000002</v>
      </c>
      <c r="R180" s="1">
        <v>0</v>
      </c>
      <c r="S180" s="1">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1">
        <v>0</v>
      </c>
      <c r="AJ180" s="1">
        <v>0</v>
      </c>
      <c r="AK180" s="1">
        <v>0</v>
      </c>
      <c r="AL180" s="1">
        <v>0</v>
      </c>
      <c r="AM180" s="1">
        <v>0</v>
      </c>
      <c r="AN180" s="1">
        <v>0</v>
      </c>
      <c r="AO180" s="1">
        <v>0</v>
      </c>
      <c r="AP180" s="1">
        <v>9483.99</v>
      </c>
      <c r="AQ180" s="1">
        <v>9817.0499999999993</v>
      </c>
      <c r="AR180" s="1">
        <v>8138.0299999999988</v>
      </c>
      <c r="AS180" s="1">
        <v>7991.45</v>
      </c>
      <c r="AT180" s="1">
        <v>8361.84</v>
      </c>
      <c r="AU180" s="1">
        <v>1122.1499999999996</v>
      </c>
      <c r="AV180" s="1">
        <v>0</v>
      </c>
      <c r="AW180" s="1">
        <v>0</v>
      </c>
      <c r="AX180" s="1">
        <v>8824.3799999999992</v>
      </c>
      <c r="AY180" s="1">
        <v>992.67000000000007</v>
      </c>
      <c r="AZ180" s="1">
        <v>0</v>
      </c>
      <c r="BA180" s="1">
        <v>0</v>
      </c>
      <c r="BB180" s="1">
        <v>6960.9</v>
      </c>
      <c r="BC180" s="1">
        <v>1177.1299999999992</v>
      </c>
      <c r="BD180" s="1">
        <v>0</v>
      </c>
      <c r="BE180" s="1">
        <v>6859.51</v>
      </c>
      <c r="BF180" s="1">
        <v>1131.9399999999996</v>
      </c>
      <c r="BG180" s="1">
        <v>0</v>
      </c>
      <c r="BH180" s="1">
        <v>0</v>
      </c>
      <c r="BI180" s="1">
        <v>0</v>
      </c>
      <c r="BJ180" s="1">
        <v>0</v>
      </c>
      <c r="BK180" s="1">
        <v>0</v>
      </c>
      <c r="BL180" s="1">
        <v>0</v>
      </c>
      <c r="BM180" s="1">
        <v>0</v>
      </c>
      <c r="BN180" s="1">
        <v>0</v>
      </c>
      <c r="BO180" s="1">
        <v>0</v>
      </c>
      <c r="BP180" s="1">
        <v>0</v>
      </c>
      <c r="BQ180" s="1">
        <v>0</v>
      </c>
      <c r="BR180" s="1">
        <v>0</v>
      </c>
      <c r="BS180" s="1">
        <v>0</v>
      </c>
      <c r="BT180" s="1">
        <v>0</v>
      </c>
      <c r="BU180" s="1">
        <v>4511.5469999999996</v>
      </c>
      <c r="BV180" s="1">
        <v>4460.1680000000006</v>
      </c>
      <c r="BW180" s="1">
        <v>3036.92</v>
      </c>
      <c r="BX180" s="1">
        <v>2162.38</v>
      </c>
      <c r="BY180" s="1">
        <v>4511.5469999999996</v>
      </c>
      <c r="BZ180" s="1">
        <v>4460.1680000000006</v>
      </c>
      <c r="CA180" s="1">
        <v>3036.92</v>
      </c>
      <c r="CB180" s="1">
        <v>2162.38</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1315.675</v>
      </c>
      <c r="CT180" s="1">
        <v>1377.078</v>
      </c>
      <c r="CU180" s="1">
        <v>2069.11</v>
      </c>
      <c r="CV180" s="1">
        <v>2149.23</v>
      </c>
      <c r="CW180" s="1">
        <v>1315.675</v>
      </c>
      <c r="CX180" s="1">
        <v>1377.078</v>
      </c>
      <c r="CY180" s="1">
        <v>2069.11</v>
      </c>
      <c r="CZ180" s="1">
        <v>2149.23</v>
      </c>
      <c r="DA180" s="1">
        <v>0</v>
      </c>
      <c r="DB180" s="1">
        <v>0</v>
      </c>
      <c r="DC180" s="1">
        <v>0</v>
      </c>
      <c r="DD180" s="1">
        <v>0</v>
      </c>
      <c r="DE180" s="1">
        <v>0</v>
      </c>
      <c r="DF180" s="1">
        <v>0</v>
      </c>
      <c r="DG180" s="1">
        <v>0</v>
      </c>
      <c r="DH180" s="1">
        <v>0</v>
      </c>
      <c r="DI180" s="1">
        <v>0</v>
      </c>
      <c r="DJ180" s="1">
        <v>0</v>
      </c>
      <c r="DK180" s="1">
        <v>0</v>
      </c>
      <c r="DL180" s="1">
        <v>0</v>
      </c>
      <c r="DM180" s="1">
        <v>3635.77</v>
      </c>
      <c r="DN180" s="1">
        <v>3853.384</v>
      </c>
      <c r="DO180" s="1">
        <v>3638.57</v>
      </c>
      <c r="DP180" s="1">
        <v>3689.4</v>
      </c>
      <c r="DQ180" s="1">
        <v>3635.77</v>
      </c>
      <c r="DR180" s="1">
        <v>3853.384</v>
      </c>
      <c r="DS180" s="1">
        <v>3638.57</v>
      </c>
      <c r="DT180" s="1">
        <v>3689.4</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715.68900000000008</v>
      </c>
      <c r="EL180" s="1">
        <v>751.53500000000008</v>
      </c>
      <c r="EM180" s="1">
        <v>814.17</v>
      </c>
      <c r="EN180" s="1">
        <v>466.64</v>
      </c>
      <c r="EO180" s="1">
        <v>715.68900000000008</v>
      </c>
      <c r="EP180" s="1">
        <v>751.53500000000008</v>
      </c>
      <c r="EQ180" s="1">
        <v>814.17</v>
      </c>
      <c r="ER180" s="1">
        <v>466.64</v>
      </c>
      <c r="ES180" s="1">
        <v>0</v>
      </c>
      <c r="ET180" s="1">
        <v>0</v>
      </c>
      <c r="EU180" s="1">
        <v>0</v>
      </c>
      <c r="EV180" s="1">
        <v>0</v>
      </c>
      <c r="EW180" s="1">
        <v>0</v>
      </c>
      <c r="EX180" s="1">
        <v>0</v>
      </c>
      <c r="EY180" s="1">
        <v>0</v>
      </c>
      <c r="EZ180" s="1">
        <v>0</v>
      </c>
      <c r="FA180" s="1">
        <v>0</v>
      </c>
      <c r="FB180" s="1">
        <v>0</v>
      </c>
      <c r="FC180" s="1">
        <v>0</v>
      </c>
      <c r="FD180" s="1">
        <v>0</v>
      </c>
      <c r="FE180" s="1">
        <v>30.367000000000001</v>
      </c>
      <c r="FF180" s="1">
        <v>55.866</v>
      </c>
      <c r="FG180" s="1">
        <v>68.61</v>
      </c>
      <c r="FH180" s="1">
        <v>67.710000000000008</v>
      </c>
      <c r="FI180" s="1">
        <v>30.367000000000001</v>
      </c>
      <c r="FJ180" s="1">
        <v>55.866</v>
      </c>
      <c r="FK180" s="1">
        <v>68.61</v>
      </c>
      <c r="FL180" s="1">
        <v>67.710000000000008</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v>0</v>
      </c>
      <c r="GC180" s="1">
        <v>88.24</v>
      </c>
      <c r="GD180" s="1">
        <v>105.22</v>
      </c>
      <c r="GE180" s="1">
        <v>45.959999999999987</v>
      </c>
      <c r="GF180" s="1">
        <v>0</v>
      </c>
      <c r="GG180" s="1">
        <v>88.24</v>
      </c>
      <c r="GH180" s="1">
        <v>105.22</v>
      </c>
      <c r="GI180" s="1">
        <v>45.959999999999987</v>
      </c>
      <c r="GJ180" s="1">
        <v>0</v>
      </c>
      <c r="GK180" s="1">
        <v>0</v>
      </c>
      <c r="GL180" s="1">
        <v>0</v>
      </c>
      <c r="GM180" s="1">
        <v>0</v>
      </c>
      <c r="GN180" s="1">
        <v>0</v>
      </c>
      <c r="GO180" s="1">
        <v>0</v>
      </c>
      <c r="GP180" s="1">
        <v>0</v>
      </c>
      <c r="GQ180" s="1">
        <v>0</v>
      </c>
      <c r="GR180" s="1">
        <v>0</v>
      </c>
      <c r="GS180" s="1">
        <v>0</v>
      </c>
      <c r="GT180" s="1">
        <v>0</v>
      </c>
      <c r="GU180" s="1">
        <v>0</v>
      </c>
      <c r="GV180" s="1">
        <v>0</v>
      </c>
      <c r="GW180" s="1">
        <v>0</v>
      </c>
      <c r="GX180" s="1">
        <v>0</v>
      </c>
      <c r="GY180" s="1">
        <v>0</v>
      </c>
      <c r="GZ180" s="1">
        <v>0</v>
      </c>
      <c r="HA180" s="1">
        <v>0</v>
      </c>
      <c r="HB180" s="1">
        <v>0</v>
      </c>
      <c r="HC180" s="1">
        <v>0</v>
      </c>
      <c r="HD180" s="1">
        <v>0</v>
      </c>
      <c r="HE180" s="1">
        <v>0</v>
      </c>
      <c r="HF180" s="1">
        <v>0</v>
      </c>
      <c r="HG180" s="1">
        <v>0</v>
      </c>
      <c r="HH180" s="1">
        <v>0</v>
      </c>
      <c r="HI180" s="1">
        <v>0</v>
      </c>
      <c r="HJ180" s="1">
        <v>0</v>
      </c>
      <c r="HK180" s="1">
        <v>0</v>
      </c>
      <c r="HL180" s="1">
        <v>0</v>
      </c>
      <c r="HM180" s="1">
        <v>0</v>
      </c>
      <c r="HN180" s="1">
        <v>0</v>
      </c>
      <c r="HO180" s="1">
        <v>0</v>
      </c>
      <c r="HP180" s="1">
        <v>0</v>
      </c>
      <c r="HQ180" s="1">
        <v>0</v>
      </c>
      <c r="HR180" s="1">
        <v>0</v>
      </c>
      <c r="HS180" s="1">
        <v>0</v>
      </c>
      <c r="HT180" s="1">
        <v>0</v>
      </c>
      <c r="HU180" s="1">
        <v>0</v>
      </c>
      <c r="HV180" s="1">
        <v>0</v>
      </c>
      <c r="HW180" s="1">
        <v>0</v>
      </c>
      <c r="HX180" s="1">
        <v>0</v>
      </c>
      <c r="HY180" s="1">
        <v>0</v>
      </c>
      <c r="HZ180" s="1">
        <v>0</v>
      </c>
      <c r="IA180" s="1">
        <v>0</v>
      </c>
      <c r="IB180" s="1">
        <v>0</v>
      </c>
      <c r="IC180" s="1">
        <v>0</v>
      </c>
      <c r="ID180" s="1">
        <v>0</v>
      </c>
      <c r="IE180" s="1">
        <v>0</v>
      </c>
      <c r="IF180" s="1">
        <v>0</v>
      </c>
      <c r="IG180" s="1">
        <v>0</v>
      </c>
      <c r="IH180" s="1">
        <v>0</v>
      </c>
      <c r="II180" s="1">
        <v>0</v>
      </c>
      <c r="IJ180" s="1">
        <v>0</v>
      </c>
      <c r="IK180" s="1">
        <v>0</v>
      </c>
      <c r="IL180" s="1">
        <v>0</v>
      </c>
      <c r="IM180" s="1">
        <v>0</v>
      </c>
      <c r="IN180" s="1">
        <v>0</v>
      </c>
      <c r="IO180" s="1">
        <v>281.02199999999999</v>
      </c>
      <c r="IP180" s="1">
        <v>353.60599999999999</v>
      </c>
      <c r="IQ180" s="1">
        <v>256.12</v>
      </c>
      <c r="IR180" s="1">
        <v>370.45</v>
      </c>
      <c r="IS180" s="1">
        <v>281.02199999999999</v>
      </c>
      <c r="IT180" s="1">
        <v>353.60599999999999</v>
      </c>
      <c r="IU180" s="1">
        <v>256.12</v>
      </c>
      <c r="IV180" s="1">
        <v>370.45</v>
      </c>
      <c r="IW180" s="1">
        <v>0</v>
      </c>
      <c r="IX180" s="1">
        <v>0</v>
      </c>
      <c r="IY180" s="1">
        <v>0</v>
      </c>
      <c r="IZ180" s="1">
        <v>0</v>
      </c>
      <c r="JA180" s="1">
        <v>0</v>
      </c>
      <c r="JB180" s="1">
        <v>0</v>
      </c>
      <c r="JC180" s="1">
        <v>0</v>
      </c>
      <c r="JD180" s="1">
        <v>0</v>
      </c>
      <c r="JE180" s="1">
        <v>0</v>
      </c>
      <c r="JF180" s="1">
        <v>0</v>
      </c>
      <c r="JG180" s="1">
        <v>0</v>
      </c>
      <c r="JH180" s="1">
        <v>0</v>
      </c>
      <c r="JI180" s="1">
        <v>0</v>
      </c>
      <c r="JJ180" s="1">
        <v>0</v>
      </c>
      <c r="JK180" s="1">
        <v>0</v>
      </c>
      <c r="JL180" s="1">
        <v>0</v>
      </c>
      <c r="JM180" s="1">
        <v>0</v>
      </c>
      <c r="JN180" s="1">
        <v>0</v>
      </c>
      <c r="JO180" s="1">
        <v>0</v>
      </c>
      <c r="JP180" s="1">
        <v>0</v>
      </c>
      <c r="JQ180" s="9"/>
      <c r="JR180" s="1">
        <f t="shared" si="38"/>
        <v>3446.0693999999994</v>
      </c>
      <c r="JS180" s="1">
        <f t="shared" si="38"/>
        <v>4306.7197799999985</v>
      </c>
      <c r="JT180" s="1">
        <f t="shared" si="38"/>
        <v>4017.9375000000005</v>
      </c>
      <c r="JU180" s="1">
        <f t="shared" si="36"/>
        <v>3104.198100000001</v>
      </c>
      <c r="JV180" s="1">
        <f t="shared" si="39"/>
        <v>638.16099999999994</v>
      </c>
      <c r="JW180" s="1">
        <f t="shared" si="39"/>
        <v>797.54069999999979</v>
      </c>
      <c r="JX180" s="1">
        <f t="shared" si="39"/>
        <v>744.0625</v>
      </c>
      <c r="JY180" s="1">
        <f t="shared" si="37"/>
        <v>574.8515000000001</v>
      </c>
    </row>
    <row r="181" spans="1:285" x14ac:dyDescent="0.35">
      <c r="A181" s="2" t="s">
        <v>188</v>
      </c>
      <c r="B181" s="1">
        <v>57869</v>
      </c>
      <c r="C181" s="1">
        <v>57788</v>
      </c>
      <c r="D181" s="1">
        <v>58541</v>
      </c>
      <c r="E181" s="1">
        <v>59826</v>
      </c>
      <c r="F181" s="1">
        <v>15292.223</v>
      </c>
      <c r="G181" s="1">
        <v>15107.349</v>
      </c>
      <c r="H181" s="1">
        <v>13177.503000000001</v>
      </c>
      <c r="I181" s="1">
        <v>13139.8</v>
      </c>
      <c r="J181" s="1">
        <f t="shared" si="40"/>
        <v>8594.3260000000009</v>
      </c>
      <c r="K181" s="1">
        <f t="shared" si="41"/>
        <v>8056.871000000001</v>
      </c>
      <c r="L181" s="1">
        <f t="shared" si="42"/>
        <v>6784.6860000000006</v>
      </c>
      <c r="M181" s="1">
        <f t="shared" si="43"/>
        <v>6569.0749999999998</v>
      </c>
      <c r="N181" s="1">
        <f t="shared" si="44"/>
        <v>6697.896999999999</v>
      </c>
      <c r="O181" s="1">
        <f t="shared" si="45"/>
        <v>7050.4779999999992</v>
      </c>
      <c r="P181" s="1">
        <f t="shared" si="46"/>
        <v>6392.817</v>
      </c>
      <c r="Q181" s="1">
        <f t="shared" si="47"/>
        <v>6570.7249999999995</v>
      </c>
      <c r="R181" s="1">
        <v>0</v>
      </c>
      <c r="S181" s="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1">
        <v>0</v>
      </c>
      <c r="AJ181" s="1">
        <v>0</v>
      </c>
      <c r="AK181" s="1">
        <v>0</v>
      </c>
      <c r="AL181" s="1">
        <v>0</v>
      </c>
      <c r="AM181" s="1">
        <v>0</v>
      </c>
      <c r="AN181" s="1">
        <v>0</v>
      </c>
      <c r="AO181" s="1">
        <v>0</v>
      </c>
      <c r="AP181" s="1">
        <v>3758.1800000000003</v>
      </c>
      <c r="AQ181" s="1">
        <v>3255.68</v>
      </c>
      <c r="AR181" s="1">
        <v>2433.46</v>
      </c>
      <c r="AS181" s="1">
        <v>2272.886</v>
      </c>
      <c r="AT181" s="1">
        <v>0</v>
      </c>
      <c r="AU181" s="1">
        <v>3758.1800000000003</v>
      </c>
      <c r="AV181" s="1">
        <v>0</v>
      </c>
      <c r="AW181" s="1">
        <v>0</v>
      </c>
      <c r="AX181" s="1">
        <v>0</v>
      </c>
      <c r="AY181" s="1">
        <v>3255.68</v>
      </c>
      <c r="AZ181" s="1">
        <v>0</v>
      </c>
      <c r="BA181" s="1">
        <v>0</v>
      </c>
      <c r="BB181" s="1">
        <v>0</v>
      </c>
      <c r="BC181" s="1">
        <v>2433.46</v>
      </c>
      <c r="BD181" s="1">
        <v>0</v>
      </c>
      <c r="BE181" s="1">
        <v>0</v>
      </c>
      <c r="BF181" s="1">
        <v>2272.886</v>
      </c>
      <c r="BG181" s="1">
        <v>0</v>
      </c>
      <c r="BH181" s="1">
        <v>0</v>
      </c>
      <c r="BI181" s="1">
        <v>0</v>
      </c>
      <c r="BJ181" s="1">
        <v>0</v>
      </c>
      <c r="BK181" s="1">
        <v>0</v>
      </c>
      <c r="BL181" s="1">
        <v>0</v>
      </c>
      <c r="BM181" s="1">
        <v>0</v>
      </c>
      <c r="BN181" s="1">
        <v>0</v>
      </c>
      <c r="BO181" s="1">
        <v>0</v>
      </c>
      <c r="BP181" s="1">
        <v>0</v>
      </c>
      <c r="BQ181" s="1">
        <v>0</v>
      </c>
      <c r="BR181" s="1">
        <v>0</v>
      </c>
      <c r="BS181" s="1">
        <v>0</v>
      </c>
      <c r="BT181" s="1">
        <v>0</v>
      </c>
      <c r="BU181" s="1">
        <v>2431.8389999999999</v>
      </c>
      <c r="BV181" s="1">
        <v>2325.1610000000001</v>
      </c>
      <c r="BW181" s="1">
        <v>2106.857</v>
      </c>
      <c r="BX181" s="1">
        <v>1984.4480000000001</v>
      </c>
      <c r="BY181" s="1">
        <v>2429.9290000000001</v>
      </c>
      <c r="BZ181" s="1">
        <v>2318.741</v>
      </c>
      <c r="CA181" s="1">
        <v>2104.7570000000001</v>
      </c>
      <c r="CB181" s="1">
        <v>1983.838</v>
      </c>
      <c r="CC181" s="1">
        <v>1.91</v>
      </c>
      <c r="CD181" s="1">
        <v>6.42</v>
      </c>
      <c r="CE181" s="1">
        <v>2.1</v>
      </c>
      <c r="CF181" s="1">
        <v>0.6100000000000001</v>
      </c>
      <c r="CG181" s="1">
        <v>0</v>
      </c>
      <c r="CH181" s="1">
        <v>0</v>
      </c>
      <c r="CI181" s="1">
        <v>0</v>
      </c>
      <c r="CJ181" s="1">
        <v>0</v>
      </c>
      <c r="CK181" s="1">
        <v>0</v>
      </c>
      <c r="CL181" s="1">
        <v>0</v>
      </c>
      <c r="CM181" s="1">
        <v>0</v>
      </c>
      <c r="CN181" s="1">
        <v>0</v>
      </c>
      <c r="CO181" s="1">
        <v>0</v>
      </c>
      <c r="CP181" s="1">
        <v>0</v>
      </c>
      <c r="CQ181" s="1">
        <v>0</v>
      </c>
      <c r="CR181" s="1">
        <v>0</v>
      </c>
      <c r="CS181" s="1">
        <v>577.04</v>
      </c>
      <c r="CT181" s="1">
        <v>568.63300000000004</v>
      </c>
      <c r="CU181" s="1">
        <v>507.846</v>
      </c>
      <c r="CV181" s="1">
        <v>516.00299999999993</v>
      </c>
      <c r="CW181" s="1">
        <v>577.04</v>
      </c>
      <c r="CX181" s="1">
        <v>568.63300000000004</v>
      </c>
      <c r="CY181" s="1">
        <v>507.846</v>
      </c>
      <c r="CZ181" s="1">
        <v>516.00299999999993</v>
      </c>
      <c r="DA181" s="1">
        <v>0</v>
      </c>
      <c r="DB181" s="1">
        <v>0</v>
      </c>
      <c r="DC181" s="1">
        <v>0</v>
      </c>
      <c r="DD181" s="1">
        <v>0</v>
      </c>
      <c r="DE181" s="1">
        <v>0</v>
      </c>
      <c r="DF181" s="1">
        <v>0</v>
      </c>
      <c r="DG181" s="1">
        <v>0</v>
      </c>
      <c r="DH181" s="1">
        <v>0</v>
      </c>
      <c r="DI181" s="1">
        <v>0</v>
      </c>
      <c r="DJ181" s="1">
        <v>0</v>
      </c>
      <c r="DK181" s="1">
        <v>0</v>
      </c>
      <c r="DL181" s="1">
        <v>0</v>
      </c>
      <c r="DM181" s="1">
        <v>1390.655</v>
      </c>
      <c r="DN181" s="1">
        <v>1413.2339999999999</v>
      </c>
      <c r="DO181" s="1">
        <v>1332.942</v>
      </c>
      <c r="DP181" s="1">
        <v>1418.442</v>
      </c>
      <c r="DQ181" s="1">
        <v>1390.655</v>
      </c>
      <c r="DR181" s="1">
        <v>1413.2339999999999</v>
      </c>
      <c r="DS181" s="1">
        <v>1332.942</v>
      </c>
      <c r="DT181" s="1">
        <v>1418.442</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266.80500000000001</v>
      </c>
      <c r="EL181" s="1">
        <v>265.49700000000001</v>
      </c>
      <c r="EM181" s="1">
        <v>215.82300000000001</v>
      </c>
      <c r="EN181" s="1">
        <v>201.47399999999999</v>
      </c>
      <c r="EO181" s="1">
        <v>266.80500000000001</v>
      </c>
      <c r="EP181" s="1">
        <v>265.49700000000001</v>
      </c>
      <c r="EQ181" s="1">
        <v>215.82300000000001</v>
      </c>
      <c r="ER181" s="1">
        <v>201.47399999999999</v>
      </c>
      <c r="ES181" s="1">
        <v>0</v>
      </c>
      <c r="ET181" s="1">
        <v>0</v>
      </c>
      <c r="EU181" s="1">
        <v>0</v>
      </c>
      <c r="EV181" s="1">
        <v>0</v>
      </c>
      <c r="EW181" s="1">
        <v>0</v>
      </c>
      <c r="EX181" s="1">
        <v>0</v>
      </c>
      <c r="EY181" s="1">
        <v>0</v>
      </c>
      <c r="EZ181" s="1">
        <v>0</v>
      </c>
      <c r="FA181" s="1">
        <v>0</v>
      </c>
      <c r="FB181" s="1">
        <v>0</v>
      </c>
      <c r="FC181" s="1">
        <v>0</v>
      </c>
      <c r="FD181" s="1">
        <v>0</v>
      </c>
      <c r="FE181" s="1">
        <v>17.114999999999998</v>
      </c>
      <c r="FF181" s="1">
        <v>25.754999999999999</v>
      </c>
      <c r="FG181" s="1">
        <v>19.864999999999998</v>
      </c>
      <c r="FH181" s="1">
        <v>19.510999999999999</v>
      </c>
      <c r="FI181" s="1">
        <v>17.114999999999998</v>
      </c>
      <c r="FJ181" s="1">
        <v>25.754999999999999</v>
      </c>
      <c r="FK181" s="1">
        <v>19.414999999999999</v>
      </c>
      <c r="FL181" s="1">
        <v>19.510999999999999</v>
      </c>
      <c r="FM181" s="1">
        <v>0</v>
      </c>
      <c r="FN181" s="1">
        <v>0</v>
      </c>
      <c r="FO181" s="1">
        <v>0.45</v>
      </c>
      <c r="FP181" s="1">
        <v>0</v>
      </c>
      <c r="FQ181" s="1">
        <v>0</v>
      </c>
      <c r="FR181" s="1">
        <v>0</v>
      </c>
      <c r="FS181" s="1">
        <v>0</v>
      </c>
      <c r="FT181" s="1">
        <v>0</v>
      </c>
      <c r="FU181" s="1">
        <v>0</v>
      </c>
      <c r="FV181" s="1">
        <v>0</v>
      </c>
      <c r="FW181" s="1">
        <v>0</v>
      </c>
      <c r="FX181" s="1">
        <v>0</v>
      </c>
      <c r="FY181" s="1">
        <v>0</v>
      </c>
      <c r="FZ181" s="1">
        <v>0</v>
      </c>
      <c r="GA181" s="1">
        <v>0</v>
      </c>
      <c r="GB181" s="1">
        <v>0</v>
      </c>
      <c r="GC181" s="1">
        <v>32.744999999999997</v>
      </c>
      <c r="GD181" s="1">
        <v>33.975000000000001</v>
      </c>
      <c r="GE181" s="1">
        <v>40.054000000000002</v>
      </c>
      <c r="GF181" s="1">
        <v>35.534999999999997</v>
      </c>
      <c r="GG181" s="1">
        <v>32.744999999999997</v>
      </c>
      <c r="GH181" s="1">
        <v>33.975000000000001</v>
      </c>
      <c r="GI181" s="1">
        <v>40.054000000000002</v>
      </c>
      <c r="GJ181" s="1">
        <v>35.534999999999997</v>
      </c>
      <c r="GK181" s="1">
        <v>0</v>
      </c>
      <c r="GL181" s="1">
        <v>0</v>
      </c>
      <c r="GM181" s="1">
        <v>0</v>
      </c>
      <c r="GN181" s="1">
        <v>0</v>
      </c>
      <c r="GO181" s="1">
        <v>0</v>
      </c>
      <c r="GP181" s="1">
        <v>0</v>
      </c>
      <c r="GQ181" s="1">
        <v>0</v>
      </c>
      <c r="GR181" s="1">
        <v>0</v>
      </c>
      <c r="GS181" s="1">
        <v>0</v>
      </c>
      <c r="GT181" s="1">
        <v>0</v>
      </c>
      <c r="GU181" s="1">
        <v>0</v>
      </c>
      <c r="GV181" s="1">
        <v>0</v>
      </c>
      <c r="GW181" s="1">
        <v>0</v>
      </c>
      <c r="GX181" s="1">
        <v>0</v>
      </c>
      <c r="GY181" s="1">
        <v>0</v>
      </c>
      <c r="GZ181" s="1">
        <v>0</v>
      </c>
      <c r="HA181" s="1">
        <v>0</v>
      </c>
      <c r="HB181" s="1">
        <v>0</v>
      </c>
      <c r="HC181" s="1">
        <v>0</v>
      </c>
      <c r="HD181" s="1">
        <v>0</v>
      </c>
      <c r="HE181" s="1">
        <v>0</v>
      </c>
      <c r="HF181" s="1">
        <v>18.324000000000002</v>
      </c>
      <c r="HG181" s="1">
        <v>0</v>
      </c>
      <c r="HH181" s="1">
        <v>0</v>
      </c>
      <c r="HI181" s="1">
        <v>0</v>
      </c>
      <c r="HJ181" s="1">
        <v>18.324000000000002</v>
      </c>
      <c r="HK181" s="1">
        <v>0</v>
      </c>
      <c r="HL181" s="1">
        <v>0</v>
      </c>
      <c r="HM181" s="1">
        <v>0</v>
      </c>
      <c r="HN181" s="1">
        <v>0</v>
      </c>
      <c r="HO181" s="1">
        <v>0</v>
      </c>
      <c r="HP181" s="1">
        <v>0</v>
      </c>
      <c r="HQ181" s="1">
        <v>0</v>
      </c>
      <c r="HR181" s="1">
        <v>0</v>
      </c>
      <c r="HS181" s="1">
        <v>0</v>
      </c>
      <c r="HT181" s="1">
        <v>0</v>
      </c>
      <c r="HU181" s="1">
        <v>0</v>
      </c>
      <c r="HV181" s="1">
        <v>0</v>
      </c>
      <c r="HW181" s="1">
        <v>0</v>
      </c>
      <c r="HX181" s="1">
        <v>0</v>
      </c>
      <c r="HY181" s="1">
        <v>0</v>
      </c>
      <c r="HZ181" s="1">
        <v>0</v>
      </c>
      <c r="IA181" s="1">
        <v>0</v>
      </c>
      <c r="IB181" s="1">
        <v>0</v>
      </c>
      <c r="IC181" s="1">
        <v>0</v>
      </c>
      <c r="ID181" s="1">
        <v>0</v>
      </c>
      <c r="IE181" s="1">
        <v>0</v>
      </c>
      <c r="IF181" s="1">
        <v>0</v>
      </c>
      <c r="IG181" s="1">
        <v>0</v>
      </c>
      <c r="IH181" s="1">
        <v>0</v>
      </c>
      <c r="II181" s="1">
        <v>0</v>
      </c>
      <c r="IJ181" s="1">
        <v>0</v>
      </c>
      <c r="IK181" s="1">
        <v>0</v>
      </c>
      <c r="IL181" s="1">
        <v>0</v>
      </c>
      <c r="IM181" s="1">
        <v>0</v>
      </c>
      <c r="IN181" s="1">
        <v>0</v>
      </c>
      <c r="IO181" s="1">
        <v>119.947</v>
      </c>
      <c r="IP181" s="1">
        <v>150.61199999999999</v>
      </c>
      <c r="IQ181" s="1">
        <v>127.839</v>
      </c>
      <c r="IR181" s="1">
        <v>120.776</v>
      </c>
      <c r="IS181" s="1">
        <v>119.947</v>
      </c>
      <c r="IT181" s="1">
        <v>150.61199999999999</v>
      </c>
      <c r="IU181" s="1">
        <v>127.839</v>
      </c>
      <c r="IV181" s="1">
        <v>120.776</v>
      </c>
      <c r="IW181" s="1">
        <v>0</v>
      </c>
      <c r="IX181" s="1">
        <v>0</v>
      </c>
      <c r="IY181" s="1">
        <v>0</v>
      </c>
      <c r="IZ181" s="1">
        <v>0</v>
      </c>
      <c r="JA181" s="1">
        <v>0</v>
      </c>
      <c r="JB181" s="1">
        <v>0</v>
      </c>
      <c r="JC181" s="1">
        <v>0</v>
      </c>
      <c r="JD181" s="1">
        <v>0</v>
      </c>
      <c r="JE181" s="1">
        <v>0</v>
      </c>
      <c r="JF181" s="1">
        <v>0</v>
      </c>
      <c r="JG181" s="1">
        <v>0</v>
      </c>
      <c r="JH181" s="1">
        <v>0</v>
      </c>
      <c r="JI181" s="1">
        <v>0</v>
      </c>
      <c r="JJ181" s="1">
        <v>0</v>
      </c>
      <c r="JK181" s="1">
        <v>0</v>
      </c>
      <c r="JL181" s="1">
        <v>0</v>
      </c>
      <c r="JM181" s="1">
        <v>0</v>
      </c>
      <c r="JN181" s="1">
        <v>0</v>
      </c>
      <c r="JO181" s="1">
        <v>0</v>
      </c>
      <c r="JP181" s="1">
        <v>0</v>
      </c>
      <c r="JQ181" s="9"/>
      <c r="JR181" s="1">
        <f t="shared" si="38"/>
        <v>1808.4321899999998</v>
      </c>
      <c r="JS181" s="1">
        <f t="shared" si="38"/>
        <v>1903.62906</v>
      </c>
      <c r="JT181" s="1">
        <f t="shared" si="38"/>
        <v>1726.06059</v>
      </c>
      <c r="JU181" s="1">
        <f t="shared" si="36"/>
        <v>1774.09575</v>
      </c>
      <c r="JV181" s="1">
        <f t="shared" si="39"/>
        <v>334.89484999999996</v>
      </c>
      <c r="JW181" s="1">
        <f t="shared" si="39"/>
        <v>352.52389999999997</v>
      </c>
      <c r="JX181" s="1">
        <f t="shared" si="39"/>
        <v>319.64085</v>
      </c>
      <c r="JY181" s="1">
        <f t="shared" si="37"/>
        <v>328.53625</v>
      </c>
    </row>
    <row r="182" spans="1:285" x14ac:dyDescent="0.35">
      <c r="A182" s="2" t="s">
        <v>189</v>
      </c>
      <c r="B182" s="1">
        <v>242181</v>
      </c>
      <c r="C182" s="1">
        <v>242003</v>
      </c>
      <c r="D182" s="1">
        <v>244885</v>
      </c>
      <c r="E182" s="1">
        <v>247969</v>
      </c>
      <c r="F182" s="1">
        <v>82334.45</v>
      </c>
      <c r="G182" s="1">
        <v>88673.239999999991</v>
      </c>
      <c r="H182" s="1">
        <v>87031.37</v>
      </c>
      <c r="I182" s="1">
        <v>84339.91</v>
      </c>
      <c r="J182" s="1">
        <f t="shared" si="40"/>
        <v>62404.68</v>
      </c>
      <c r="K182" s="1">
        <f t="shared" si="41"/>
        <v>70171.83</v>
      </c>
      <c r="L182" s="1">
        <f t="shared" si="42"/>
        <v>65983.12</v>
      </c>
      <c r="M182" s="1">
        <f t="shared" si="43"/>
        <v>65880.639999999999</v>
      </c>
      <c r="N182" s="1">
        <f t="shared" si="44"/>
        <v>19929.769999999997</v>
      </c>
      <c r="O182" s="1">
        <f t="shared" si="45"/>
        <v>18501.409999999989</v>
      </c>
      <c r="P182" s="1">
        <f t="shared" si="46"/>
        <v>21048.25</v>
      </c>
      <c r="Q182" s="1">
        <f t="shared" si="47"/>
        <v>18459.270000000004</v>
      </c>
      <c r="R182" s="1">
        <v>0</v>
      </c>
      <c r="S182" s="1">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1">
        <v>0</v>
      </c>
      <c r="AJ182" s="1">
        <v>0</v>
      </c>
      <c r="AK182" s="1">
        <v>0</v>
      </c>
      <c r="AL182" s="1">
        <v>0</v>
      </c>
      <c r="AM182" s="1">
        <v>0</v>
      </c>
      <c r="AN182" s="1">
        <v>0</v>
      </c>
      <c r="AO182" s="1">
        <v>0</v>
      </c>
      <c r="AP182" s="1">
        <v>13756.42</v>
      </c>
      <c r="AQ182" s="1">
        <v>15630.039999999999</v>
      </c>
      <c r="AR182" s="1">
        <v>14521.48</v>
      </c>
      <c r="AS182" s="1">
        <v>14862.219999999998</v>
      </c>
      <c r="AT182" s="1">
        <v>13516.160000000002</v>
      </c>
      <c r="AU182" s="1">
        <v>240.2599999999984</v>
      </c>
      <c r="AV182" s="1">
        <v>0</v>
      </c>
      <c r="AW182" s="1">
        <v>0</v>
      </c>
      <c r="AX182" s="1">
        <v>15056.179999999998</v>
      </c>
      <c r="AY182" s="1">
        <v>573.86</v>
      </c>
      <c r="AZ182" s="1">
        <v>0</v>
      </c>
      <c r="BA182" s="1">
        <v>0</v>
      </c>
      <c r="BB182" s="1">
        <v>13573.72</v>
      </c>
      <c r="BC182" s="1">
        <v>947.76000000000022</v>
      </c>
      <c r="BD182" s="1">
        <v>0</v>
      </c>
      <c r="BE182" s="1">
        <v>13904.579999999998</v>
      </c>
      <c r="BF182" s="1">
        <v>957.63999999999942</v>
      </c>
      <c r="BG182" s="1">
        <v>0</v>
      </c>
      <c r="BH182" s="1">
        <v>0</v>
      </c>
      <c r="BI182" s="1">
        <v>0</v>
      </c>
      <c r="BJ182" s="1">
        <v>0</v>
      </c>
      <c r="BK182" s="1">
        <v>0</v>
      </c>
      <c r="BL182" s="1">
        <v>0</v>
      </c>
      <c r="BM182" s="1">
        <v>0</v>
      </c>
      <c r="BN182" s="1">
        <v>0</v>
      </c>
      <c r="BO182" s="1">
        <v>0</v>
      </c>
      <c r="BP182" s="1">
        <v>0</v>
      </c>
      <c r="BQ182" s="1">
        <v>0</v>
      </c>
      <c r="BR182" s="1">
        <v>0</v>
      </c>
      <c r="BS182" s="1">
        <v>0</v>
      </c>
      <c r="BT182" s="1">
        <v>0</v>
      </c>
      <c r="BU182" s="1">
        <v>6713.85</v>
      </c>
      <c r="BV182" s="1">
        <v>7629.01</v>
      </c>
      <c r="BW182" s="1">
        <v>7040.89</v>
      </c>
      <c r="BX182" s="1">
        <v>7036.28</v>
      </c>
      <c r="BY182" s="1">
        <v>6713.85</v>
      </c>
      <c r="BZ182" s="1">
        <v>7629.01</v>
      </c>
      <c r="CA182" s="1">
        <v>7040.89</v>
      </c>
      <c r="CB182" s="1">
        <v>7036.28</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9476.16</v>
      </c>
      <c r="CT182" s="1">
        <v>10651.76</v>
      </c>
      <c r="CU182" s="1">
        <v>10238.549999999999</v>
      </c>
      <c r="CV182" s="1">
        <v>10197.530000000001</v>
      </c>
      <c r="CW182" s="1">
        <v>9476.16</v>
      </c>
      <c r="CX182" s="1">
        <v>10651.76</v>
      </c>
      <c r="CY182" s="1">
        <v>10238.549999999999</v>
      </c>
      <c r="CZ182" s="1">
        <v>10197.530000000001</v>
      </c>
      <c r="DA182" s="1">
        <v>0</v>
      </c>
      <c r="DB182" s="1">
        <v>0</v>
      </c>
      <c r="DC182" s="1">
        <v>0</v>
      </c>
      <c r="DD182" s="1">
        <v>0</v>
      </c>
      <c r="DE182" s="1">
        <v>0</v>
      </c>
      <c r="DF182" s="1">
        <v>0</v>
      </c>
      <c r="DG182" s="1">
        <v>0</v>
      </c>
      <c r="DH182" s="1">
        <v>0</v>
      </c>
      <c r="DI182" s="1">
        <v>0</v>
      </c>
      <c r="DJ182" s="1">
        <v>0</v>
      </c>
      <c r="DK182" s="1">
        <v>0</v>
      </c>
      <c r="DL182" s="1">
        <v>0</v>
      </c>
      <c r="DM182" s="1">
        <v>14474.21</v>
      </c>
      <c r="DN182" s="1">
        <v>16263.72</v>
      </c>
      <c r="DO182" s="1">
        <v>15243.09</v>
      </c>
      <c r="DP182" s="1">
        <v>14868.29</v>
      </c>
      <c r="DQ182" s="1">
        <v>14474.21</v>
      </c>
      <c r="DR182" s="1">
        <v>16263.72</v>
      </c>
      <c r="DS182" s="1">
        <v>15243.09</v>
      </c>
      <c r="DT182" s="1">
        <v>14868.29</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17984.04</v>
      </c>
      <c r="EL182" s="1">
        <v>19997.3</v>
      </c>
      <c r="EM182" s="1">
        <v>18939.11</v>
      </c>
      <c r="EN182" s="1">
        <v>18916.32</v>
      </c>
      <c r="EO182" s="1">
        <v>17984.04</v>
      </c>
      <c r="EP182" s="1">
        <v>19997.3</v>
      </c>
      <c r="EQ182" s="1">
        <v>18939.11</v>
      </c>
      <c r="ER182" s="1">
        <v>18916.32</v>
      </c>
      <c r="ES182" s="1">
        <v>0</v>
      </c>
      <c r="ET182" s="1">
        <v>0</v>
      </c>
      <c r="EU182" s="1">
        <v>0</v>
      </c>
      <c r="EV182" s="1">
        <v>0</v>
      </c>
      <c r="EW182" s="1">
        <v>0</v>
      </c>
      <c r="EX182" s="1">
        <v>0</v>
      </c>
      <c r="EY182" s="1">
        <v>0</v>
      </c>
      <c r="EZ182" s="1">
        <v>0</v>
      </c>
      <c r="FA182" s="1">
        <v>0</v>
      </c>
      <c r="FB182" s="1">
        <v>0</v>
      </c>
      <c r="FC182" s="1">
        <v>0</v>
      </c>
      <c r="FD182" s="1">
        <v>0</v>
      </c>
      <c r="FE182" s="1">
        <v>0</v>
      </c>
      <c r="FF182" s="1">
        <v>0</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v>0</v>
      </c>
      <c r="GC182" s="1">
        <v>0</v>
      </c>
      <c r="GD182" s="1">
        <v>0</v>
      </c>
      <c r="GE182" s="1">
        <v>0</v>
      </c>
      <c r="GF182" s="1">
        <v>0</v>
      </c>
      <c r="GG182" s="1">
        <v>0</v>
      </c>
      <c r="GH182" s="1">
        <v>0</v>
      </c>
      <c r="GI182" s="1">
        <v>0</v>
      </c>
      <c r="GJ182" s="1">
        <v>0</v>
      </c>
      <c r="GK182" s="1">
        <v>0</v>
      </c>
      <c r="GL182" s="1">
        <v>0</v>
      </c>
      <c r="GM182" s="1">
        <v>0</v>
      </c>
      <c r="GN182" s="1">
        <v>0</v>
      </c>
      <c r="GO182" s="1">
        <v>0</v>
      </c>
      <c r="GP182" s="1">
        <v>0</v>
      </c>
      <c r="GQ182" s="1">
        <v>0</v>
      </c>
      <c r="GR182" s="1">
        <v>0</v>
      </c>
      <c r="GS182" s="1">
        <v>0</v>
      </c>
      <c r="GT182" s="1">
        <v>0</v>
      </c>
      <c r="GU182" s="1">
        <v>0</v>
      </c>
      <c r="GV182" s="1">
        <v>0</v>
      </c>
      <c r="GW182" s="1">
        <v>0</v>
      </c>
      <c r="GX182" s="1">
        <v>0</v>
      </c>
      <c r="GY182" s="1">
        <v>0</v>
      </c>
      <c r="GZ182" s="1">
        <v>0</v>
      </c>
      <c r="HA182" s="1">
        <v>0</v>
      </c>
      <c r="HB182" s="1">
        <v>0</v>
      </c>
      <c r="HC182" s="1">
        <v>0</v>
      </c>
      <c r="HD182" s="1">
        <v>0</v>
      </c>
      <c r="HE182" s="1">
        <v>0</v>
      </c>
      <c r="HF182" s="1">
        <v>0</v>
      </c>
      <c r="HG182" s="1">
        <v>0</v>
      </c>
      <c r="HH182" s="1">
        <v>0</v>
      </c>
      <c r="HI182" s="1">
        <v>0</v>
      </c>
      <c r="HJ182" s="1">
        <v>0</v>
      </c>
      <c r="HK182" s="1">
        <v>0</v>
      </c>
      <c r="HL182" s="1">
        <v>0</v>
      </c>
      <c r="HM182" s="1">
        <v>0</v>
      </c>
      <c r="HN182" s="1">
        <v>0</v>
      </c>
      <c r="HO182" s="1">
        <v>0</v>
      </c>
      <c r="HP182" s="1">
        <v>0</v>
      </c>
      <c r="HQ182" s="1">
        <v>0</v>
      </c>
      <c r="HR182" s="1">
        <v>0</v>
      </c>
      <c r="HS182" s="1">
        <v>0</v>
      </c>
      <c r="HT182" s="1">
        <v>0</v>
      </c>
      <c r="HU182" s="1">
        <v>0</v>
      </c>
      <c r="HV182" s="1">
        <v>0</v>
      </c>
      <c r="HW182" s="1">
        <v>0</v>
      </c>
      <c r="HX182" s="1">
        <v>0</v>
      </c>
      <c r="HY182" s="1">
        <v>0</v>
      </c>
      <c r="HZ182" s="1">
        <v>0</v>
      </c>
      <c r="IA182" s="1">
        <v>0</v>
      </c>
      <c r="IB182" s="1">
        <v>0</v>
      </c>
      <c r="IC182" s="1">
        <v>0</v>
      </c>
      <c r="ID182" s="1">
        <v>0</v>
      </c>
      <c r="IE182" s="1">
        <v>0</v>
      </c>
      <c r="IF182" s="1">
        <v>0</v>
      </c>
      <c r="IG182" s="1">
        <v>0</v>
      </c>
      <c r="IH182" s="1">
        <v>0</v>
      </c>
      <c r="II182" s="1">
        <v>0</v>
      </c>
      <c r="IJ182" s="1">
        <v>0</v>
      </c>
      <c r="IK182" s="1">
        <v>0</v>
      </c>
      <c r="IL182" s="1">
        <v>0</v>
      </c>
      <c r="IM182" s="1">
        <v>0</v>
      </c>
      <c r="IN182" s="1">
        <v>0</v>
      </c>
      <c r="IO182" s="1">
        <v>0</v>
      </c>
      <c r="IP182" s="1">
        <v>0</v>
      </c>
      <c r="IQ182" s="1">
        <v>0</v>
      </c>
      <c r="IR182" s="1">
        <v>0</v>
      </c>
      <c r="IS182" s="1">
        <v>0</v>
      </c>
      <c r="IT182" s="1">
        <v>0</v>
      </c>
      <c r="IU182" s="1">
        <v>0</v>
      </c>
      <c r="IV182" s="1">
        <v>0</v>
      </c>
      <c r="IW182" s="1">
        <v>0</v>
      </c>
      <c r="IX182" s="1">
        <v>0</v>
      </c>
      <c r="IY182" s="1">
        <v>0</v>
      </c>
      <c r="IZ182" s="1">
        <v>0</v>
      </c>
      <c r="JA182" s="1">
        <v>0</v>
      </c>
      <c r="JB182" s="1">
        <v>0</v>
      </c>
      <c r="JC182" s="1">
        <v>0</v>
      </c>
      <c r="JD182" s="1">
        <v>0</v>
      </c>
      <c r="JE182" s="1">
        <v>0</v>
      </c>
      <c r="JF182" s="1">
        <v>0</v>
      </c>
      <c r="JG182" s="1">
        <v>0</v>
      </c>
      <c r="JH182" s="1">
        <v>0</v>
      </c>
      <c r="JI182" s="1">
        <v>0</v>
      </c>
      <c r="JJ182" s="1">
        <v>0</v>
      </c>
      <c r="JK182" s="1">
        <v>0</v>
      </c>
      <c r="JL182" s="1">
        <v>0</v>
      </c>
      <c r="JM182" s="1">
        <v>0</v>
      </c>
      <c r="JN182" s="1">
        <v>0</v>
      </c>
      <c r="JO182" s="1">
        <v>0</v>
      </c>
      <c r="JP182" s="1">
        <v>0</v>
      </c>
      <c r="JQ182" s="9"/>
      <c r="JR182" s="1">
        <f t="shared" si="38"/>
        <v>5381.0378999999994</v>
      </c>
      <c r="JS182" s="1">
        <f t="shared" si="38"/>
        <v>4995.380699999997</v>
      </c>
      <c r="JT182" s="1">
        <f t="shared" si="38"/>
        <v>5683.0275000000001</v>
      </c>
      <c r="JU182" s="1">
        <f t="shared" si="36"/>
        <v>4984.0029000000013</v>
      </c>
      <c r="JV182" s="1">
        <f t="shared" si="39"/>
        <v>996.48849999999993</v>
      </c>
      <c r="JW182" s="1">
        <f t="shared" si="39"/>
        <v>925.07049999999947</v>
      </c>
      <c r="JX182" s="1">
        <f t="shared" si="39"/>
        <v>1052.4125000000001</v>
      </c>
      <c r="JY182" s="1">
        <f t="shared" si="37"/>
        <v>922.96350000000029</v>
      </c>
    </row>
    <row r="183" spans="1:285" x14ac:dyDescent="0.35">
      <c r="A183" s="2" t="s">
        <v>190</v>
      </c>
      <c r="B183" s="1">
        <v>160064</v>
      </c>
      <c r="C183" s="1">
        <v>160379</v>
      </c>
      <c r="D183" s="1">
        <v>163100</v>
      </c>
      <c r="E183" s="1">
        <v>165441</v>
      </c>
      <c r="F183" s="1">
        <v>47235.95</v>
      </c>
      <c r="G183" s="1">
        <v>47471.850000000013</v>
      </c>
      <c r="H183" s="1">
        <v>43839.03</v>
      </c>
      <c r="I183" s="1">
        <v>43477.502</v>
      </c>
      <c r="J183" s="1">
        <f t="shared" si="40"/>
        <v>27570.780000000006</v>
      </c>
      <c r="K183" s="1">
        <f t="shared" si="41"/>
        <v>27868.730000000003</v>
      </c>
      <c r="L183" s="1">
        <f t="shared" si="42"/>
        <v>26199.340000000004</v>
      </c>
      <c r="M183" s="1">
        <f t="shared" si="43"/>
        <v>25754.076000000001</v>
      </c>
      <c r="N183" s="1">
        <f t="shared" si="44"/>
        <v>19665.169999999991</v>
      </c>
      <c r="O183" s="1">
        <f t="shared" si="45"/>
        <v>19603.12000000001</v>
      </c>
      <c r="P183" s="1">
        <f t="shared" si="46"/>
        <v>17639.689999999995</v>
      </c>
      <c r="Q183" s="1">
        <f t="shared" si="47"/>
        <v>17723.425999999999</v>
      </c>
      <c r="R183" s="1">
        <v>6462.84</v>
      </c>
      <c r="S183" s="1">
        <v>6634</v>
      </c>
      <c r="T183" s="1">
        <v>6903.16</v>
      </c>
      <c r="U183" s="1">
        <v>6794.68</v>
      </c>
      <c r="V183" s="1">
        <v>0</v>
      </c>
      <c r="W183" s="1">
        <v>0</v>
      </c>
      <c r="X183" s="1">
        <v>6462.84</v>
      </c>
      <c r="Y183" s="1">
        <v>0</v>
      </c>
      <c r="Z183" s="1">
        <v>0</v>
      </c>
      <c r="AA183" s="1">
        <v>6634</v>
      </c>
      <c r="AB183" s="1">
        <v>0</v>
      </c>
      <c r="AC183" s="1">
        <v>0</v>
      </c>
      <c r="AD183" s="1">
        <v>6903.16</v>
      </c>
      <c r="AE183" s="1">
        <v>0</v>
      </c>
      <c r="AF183" s="1">
        <v>0</v>
      </c>
      <c r="AG183" s="1">
        <v>6794.68</v>
      </c>
      <c r="AH183" s="1">
        <v>0</v>
      </c>
      <c r="AI183" s="1">
        <v>0</v>
      </c>
      <c r="AJ183" s="1">
        <v>0</v>
      </c>
      <c r="AK183" s="1">
        <v>0</v>
      </c>
      <c r="AL183" s="1">
        <v>0</v>
      </c>
      <c r="AM183" s="1">
        <v>0</v>
      </c>
      <c r="AN183" s="1">
        <v>0</v>
      </c>
      <c r="AO183" s="1">
        <v>0</v>
      </c>
      <c r="AP183" s="1">
        <v>4471.22</v>
      </c>
      <c r="AQ183" s="1">
        <v>4853.5200000000004</v>
      </c>
      <c r="AR183" s="1">
        <v>4083.08</v>
      </c>
      <c r="AS183" s="1">
        <v>4738.01</v>
      </c>
      <c r="AT183" s="1">
        <v>4471.22</v>
      </c>
      <c r="AU183" s="1">
        <v>0</v>
      </c>
      <c r="AV183" s="1">
        <v>0</v>
      </c>
      <c r="AW183" s="1">
        <v>0</v>
      </c>
      <c r="AX183" s="1">
        <v>4853.5200000000004</v>
      </c>
      <c r="AY183" s="1">
        <v>0</v>
      </c>
      <c r="AZ183" s="1">
        <v>0</v>
      </c>
      <c r="BA183" s="1">
        <v>0</v>
      </c>
      <c r="BB183" s="1">
        <v>4083.08</v>
      </c>
      <c r="BC183" s="1">
        <v>0</v>
      </c>
      <c r="BD183" s="1">
        <v>0</v>
      </c>
      <c r="BE183" s="1">
        <v>4738.01</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8630.42</v>
      </c>
      <c r="BV183" s="1">
        <v>8681.7000000000007</v>
      </c>
      <c r="BW183" s="1">
        <v>7843.22</v>
      </c>
      <c r="BX183" s="1">
        <v>7066.3799999999992</v>
      </c>
      <c r="BY183" s="1">
        <v>8630.42</v>
      </c>
      <c r="BZ183" s="1">
        <v>8681.7000000000007</v>
      </c>
      <c r="CA183" s="1">
        <v>7843.22</v>
      </c>
      <c r="CB183" s="1">
        <v>7066.3799999999992</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1746.89</v>
      </c>
      <c r="CT183" s="1">
        <v>1017.4</v>
      </c>
      <c r="CU183" s="1">
        <v>900.72</v>
      </c>
      <c r="CV183" s="1">
        <v>879.98899999999992</v>
      </c>
      <c r="CW183" s="1">
        <v>1746.89</v>
      </c>
      <c r="CX183" s="1">
        <v>1017.4</v>
      </c>
      <c r="CY183" s="1">
        <v>900.72</v>
      </c>
      <c r="CZ183" s="1">
        <v>879.98899999999992</v>
      </c>
      <c r="DA183" s="1">
        <v>0</v>
      </c>
      <c r="DB183" s="1">
        <v>0</v>
      </c>
      <c r="DC183" s="1">
        <v>0</v>
      </c>
      <c r="DD183" s="1">
        <v>0</v>
      </c>
      <c r="DE183" s="1">
        <v>0</v>
      </c>
      <c r="DF183" s="1">
        <v>0</v>
      </c>
      <c r="DG183" s="1">
        <v>0</v>
      </c>
      <c r="DH183" s="1">
        <v>0</v>
      </c>
      <c r="DI183" s="1">
        <v>0</v>
      </c>
      <c r="DJ183" s="1">
        <v>0</v>
      </c>
      <c r="DK183" s="1">
        <v>0</v>
      </c>
      <c r="DL183" s="1">
        <v>0</v>
      </c>
      <c r="DM183" s="1">
        <v>3615</v>
      </c>
      <c r="DN183" s="1">
        <v>3348.35</v>
      </c>
      <c r="DO183" s="1">
        <v>3476.11</v>
      </c>
      <c r="DP183" s="1">
        <v>3203.12</v>
      </c>
      <c r="DQ183" s="1">
        <v>3615</v>
      </c>
      <c r="DR183" s="1">
        <v>3348.35</v>
      </c>
      <c r="DS183" s="1">
        <v>3476.11</v>
      </c>
      <c r="DT183" s="1">
        <v>3203.12</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2075.33</v>
      </c>
      <c r="EL183" s="1">
        <v>2594.54</v>
      </c>
      <c r="EM183" s="1">
        <v>2293.29</v>
      </c>
      <c r="EN183" s="1">
        <v>2423.317</v>
      </c>
      <c r="EO183" s="1">
        <v>2075.33</v>
      </c>
      <c r="EP183" s="1">
        <v>2594.54</v>
      </c>
      <c r="EQ183" s="1">
        <v>2293.29</v>
      </c>
      <c r="ER183" s="1">
        <v>2423.317</v>
      </c>
      <c r="ES183" s="1">
        <v>0</v>
      </c>
      <c r="ET183" s="1">
        <v>0</v>
      </c>
      <c r="EU183" s="1">
        <v>0</v>
      </c>
      <c r="EV183" s="1">
        <v>0</v>
      </c>
      <c r="EW183" s="1">
        <v>0</v>
      </c>
      <c r="EX183" s="1">
        <v>0</v>
      </c>
      <c r="EY183" s="1">
        <v>0</v>
      </c>
      <c r="EZ183" s="1">
        <v>0</v>
      </c>
      <c r="FA183" s="1">
        <v>0</v>
      </c>
      <c r="FB183" s="1">
        <v>0</v>
      </c>
      <c r="FC183" s="1">
        <v>0</v>
      </c>
      <c r="FD183" s="1">
        <v>0</v>
      </c>
      <c r="FE183" s="1">
        <v>126.38</v>
      </c>
      <c r="FF183" s="1">
        <v>236.36</v>
      </c>
      <c r="FG183" s="1">
        <v>250.97</v>
      </c>
      <c r="FH183" s="1">
        <v>105.34</v>
      </c>
      <c r="FI183" s="1">
        <v>126.38</v>
      </c>
      <c r="FJ183" s="1">
        <v>236.36</v>
      </c>
      <c r="FK183" s="1">
        <v>250.97</v>
      </c>
      <c r="FL183" s="1">
        <v>105.34</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v>0</v>
      </c>
      <c r="GC183" s="1">
        <v>134.04</v>
      </c>
      <c r="GD183" s="1">
        <v>211.72</v>
      </c>
      <c r="GE183" s="1">
        <v>170.39</v>
      </c>
      <c r="GF183" s="1">
        <v>197.58</v>
      </c>
      <c r="GG183" s="1">
        <v>134.04</v>
      </c>
      <c r="GH183" s="1">
        <v>211.72</v>
      </c>
      <c r="GI183" s="1">
        <v>170.39</v>
      </c>
      <c r="GJ183" s="1">
        <v>197.58</v>
      </c>
      <c r="GK183" s="1">
        <v>0</v>
      </c>
      <c r="GL183" s="1">
        <v>0</v>
      </c>
      <c r="GM183" s="1">
        <v>0</v>
      </c>
      <c r="GN183" s="1">
        <v>0</v>
      </c>
      <c r="GO183" s="1">
        <v>0</v>
      </c>
      <c r="GP183" s="1">
        <v>0</v>
      </c>
      <c r="GQ183" s="1">
        <v>0</v>
      </c>
      <c r="GR183" s="1">
        <v>0</v>
      </c>
      <c r="GS183" s="1">
        <v>0</v>
      </c>
      <c r="GT183" s="1">
        <v>0</v>
      </c>
      <c r="GU183" s="1">
        <v>0</v>
      </c>
      <c r="GV183" s="1">
        <v>0</v>
      </c>
      <c r="GW183" s="1">
        <v>0</v>
      </c>
      <c r="GX183" s="1">
        <v>0</v>
      </c>
      <c r="GY183" s="1">
        <v>0</v>
      </c>
      <c r="GZ183" s="1">
        <v>0</v>
      </c>
      <c r="HA183" s="1">
        <v>0</v>
      </c>
      <c r="HB183" s="1">
        <v>0</v>
      </c>
      <c r="HC183" s="1">
        <v>0</v>
      </c>
      <c r="HD183" s="1">
        <v>0</v>
      </c>
      <c r="HE183" s="1">
        <v>0</v>
      </c>
      <c r="HF183" s="1">
        <v>0</v>
      </c>
      <c r="HG183" s="1">
        <v>0</v>
      </c>
      <c r="HH183" s="1">
        <v>0</v>
      </c>
      <c r="HI183" s="1">
        <v>0</v>
      </c>
      <c r="HJ183" s="1">
        <v>0</v>
      </c>
      <c r="HK183" s="1">
        <v>0</v>
      </c>
      <c r="HL183" s="1">
        <v>0</v>
      </c>
      <c r="HM183" s="1">
        <v>0</v>
      </c>
      <c r="HN183" s="1">
        <v>0</v>
      </c>
      <c r="HO183" s="1">
        <v>0</v>
      </c>
      <c r="HP183" s="1">
        <v>0</v>
      </c>
      <c r="HQ183" s="1">
        <v>0</v>
      </c>
      <c r="HR183" s="1">
        <v>0</v>
      </c>
      <c r="HS183" s="1">
        <v>0</v>
      </c>
      <c r="HT183" s="1">
        <v>0</v>
      </c>
      <c r="HU183" s="1">
        <v>0</v>
      </c>
      <c r="HV183" s="1">
        <v>0</v>
      </c>
      <c r="HW183" s="1">
        <v>0</v>
      </c>
      <c r="HX183" s="1">
        <v>0</v>
      </c>
      <c r="HY183" s="1">
        <v>0</v>
      </c>
      <c r="HZ183" s="1">
        <v>0</v>
      </c>
      <c r="IA183" s="1">
        <v>0</v>
      </c>
      <c r="IB183" s="1">
        <v>0</v>
      </c>
      <c r="IC183" s="1">
        <v>0</v>
      </c>
      <c r="ID183" s="1">
        <v>0</v>
      </c>
      <c r="IE183" s="1">
        <v>0</v>
      </c>
      <c r="IF183" s="1">
        <v>0</v>
      </c>
      <c r="IG183" s="1">
        <v>0</v>
      </c>
      <c r="IH183" s="1">
        <v>0</v>
      </c>
      <c r="II183" s="1">
        <v>0</v>
      </c>
      <c r="IJ183" s="1">
        <v>0</v>
      </c>
      <c r="IK183" s="1">
        <v>0</v>
      </c>
      <c r="IL183" s="1">
        <v>0</v>
      </c>
      <c r="IM183" s="1">
        <v>0</v>
      </c>
      <c r="IN183" s="1">
        <v>0</v>
      </c>
      <c r="IO183" s="1">
        <v>308.66000000000003</v>
      </c>
      <c r="IP183" s="1">
        <v>291.14</v>
      </c>
      <c r="IQ183" s="1">
        <v>278.39999999999998</v>
      </c>
      <c r="IR183" s="1">
        <v>345.66</v>
      </c>
      <c r="IS183" s="1">
        <v>308.66000000000003</v>
      </c>
      <c r="IT183" s="1">
        <v>291.14</v>
      </c>
      <c r="IU183" s="1">
        <v>278.39999999999998</v>
      </c>
      <c r="IV183" s="1">
        <v>345.66</v>
      </c>
      <c r="IW183" s="1">
        <v>0</v>
      </c>
      <c r="IX183" s="1">
        <v>0</v>
      </c>
      <c r="IY183" s="1">
        <v>0</v>
      </c>
      <c r="IZ183" s="1">
        <v>0</v>
      </c>
      <c r="JA183" s="1">
        <v>0</v>
      </c>
      <c r="JB183" s="1">
        <v>0</v>
      </c>
      <c r="JC183" s="1">
        <v>0</v>
      </c>
      <c r="JD183" s="1">
        <v>0</v>
      </c>
      <c r="JE183" s="1">
        <v>0</v>
      </c>
      <c r="JF183" s="1">
        <v>0</v>
      </c>
      <c r="JG183" s="1">
        <v>0</v>
      </c>
      <c r="JH183" s="1">
        <v>0</v>
      </c>
      <c r="JI183" s="1">
        <v>0</v>
      </c>
      <c r="JJ183" s="1">
        <v>0</v>
      </c>
      <c r="JK183" s="1">
        <v>0</v>
      </c>
      <c r="JL183" s="1">
        <v>0</v>
      </c>
      <c r="JM183" s="1">
        <v>0</v>
      </c>
      <c r="JN183" s="1">
        <v>0</v>
      </c>
      <c r="JO183" s="1">
        <v>0</v>
      </c>
      <c r="JP183" s="1">
        <v>0</v>
      </c>
      <c r="JQ183" s="9"/>
      <c r="JR183" s="1">
        <f t="shared" si="38"/>
        <v>5309.5958999999975</v>
      </c>
      <c r="JS183" s="1">
        <f t="shared" si="38"/>
        <v>5292.8424000000032</v>
      </c>
      <c r="JT183" s="1">
        <f t="shared" si="38"/>
        <v>4762.7162999999991</v>
      </c>
      <c r="JU183" s="1">
        <f t="shared" si="36"/>
        <v>4785.3250200000002</v>
      </c>
      <c r="JV183" s="1">
        <f t="shared" si="39"/>
        <v>983.25849999999957</v>
      </c>
      <c r="JW183" s="1">
        <f t="shared" si="39"/>
        <v>980.15600000000052</v>
      </c>
      <c r="JX183" s="1">
        <f t="shared" si="39"/>
        <v>881.9844999999998</v>
      </c>
      <c r="JY183" s="1">
        <f t="shared" si="37"/>
        <v>886.17129999999997</v>
      </c>
    </row>
    <row r="184" spans="1:285" x14ac:dyDescent="0.35">
      <c r="A184" s="2" t="s">
        <v>191</v>
      </c>
      <c r="B184" s="1">
        <v>95099</v>
      </c>
      <c r="C184" s="1">
        <v>95819</v>
      </c>
      <c r="D184" s="1">
        <v>96509</v>
      </c>
      <c r="E184" s="1">
        <v>97881</v>
      </c>
      <c r="F184" s="1">
        <v>20806.330000000002</v>
      </c>
      <c r="G184" s="1">
        <v>19187.581999999999</v>
      </c>
      <c r="H184" s="1">
        <v>18579.830000000002</v>
      </c>
      <c r="I184" s="1">
        <v>18825.16</v>
      </c>
      <c r="J184" s="1">
        <f t="shared" si="40"/>
        <v>11306.249999999998</v>
      </c>
      <c r="K184" s="1">
        <f t="shared" si="41"/>
        <v>10706.482</v>
      </c>
      <c r="L184" s="1">
        <f t="shared" si="42"/>
        <v>10150.359999999999</v>
      </c>
      <c r="M184" s="1">
        <f t="shared" si="43"/>
        <v>9692.4600000000009</v>
      </c>
      <c r="N184" s="1">
        <f t="shared" si="44"/>
        <v>9500.0800000000036</v>
      </c>
      <c r="O184" s="1">
        <f t="shared" si="45"/>
        <v>8481.0999999999985</v>
      </c>
      <c r="P184" s="1">
        <f t="shared" si="46"/>
        <v>8429.470000000003</v>
      </c>
      <c r="Q184" s="1">
        <f t="shared" si="47"/>
        <v>9132.6999999999989</v>
      </c>
      <c r="R184" s="1">
        <v>0</v>
      </c>
      <c r="S184" s="1">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1">
        <v>0</v>
      </c>
      <c r="AJ184" s="1">
        <v>0</v>
      </c>
      <c r="AK184" s="1">
        <v>0</v>
      </c>
      <c r="AL184" s="1">
        <v>0</v>
      </c>
      <c r="AM184" s="1">
        <v>0</v>
      </c>
      <c r="AN184" s="1">
        <v>0</v>
      </c>
      <c r="AO184" s="1">
        <v>0</v>
      </c>
      <c r="AP184" s="1">
        <v>2782.34</v>
      </c>
      <c r="AQ184" s="1">
        <v>2621.6800000000003</v>
      </c>
      <c r="AR184" s="1">
        <v>2454.04</v>
      </c>
      <c r="AS184" s="1">
        <v>2415.7399999999998</v>
      </c>
      <c r="AT184" s="1">
        <v>0</v>
      </c>
      <c r="AU184" s="1">
        <v>2782.34</v>
      </c>
      <c r="AV184" s="1">
        <v>0</v>
      </c>
      <c r="AW184" s="1">
        <v>0</v>
      </c>
      <c r="AX184" s="1">
        <v>0</v>
      </c>
      <c r="AY184" s="1">
        <v>2621.6800000000003</v>
      </c>
      <c r="AZ184" s="1">
        <v>0</v>
      </c>
      <c r="BA184" s="1">
        <v>0</v>
      </c>
      <c r="BB184" s="1">
        <v>0</v>
      </c>
      <c r="BC184" s="1">
        <v>2454.04</v>
      </c>
      <c r="BD184" s="1">
        <v>0</v>
      </c>
      <c r="BE184" s="1">
        <v>0</v>
      </c>
      <c r="BF184" s="1">
        <v>2415.7399999999998</v>
      </c>
      <c r="BG184" s="1">
        <v>0</v>
      </c>
      <c r="BH184" s="1">
        <v>0</v>
      </c>
      <c r="BI184" s="1">
        <v>0</v>
      </c>
      <c r="BJ184" s="1">
        <v>0</v>
      </c>
      <c r="BK184" s="1">
        <v>0</v>
      </c>
      <c r="BL184" s="1">
        <v>0</v>
      </c>
      <c r="BM184" s="1">
        <v>0</v>
      </c>
      <c r="BN184" s="1">
        <v>0</v>
      </c>
      <c r="BO184" s="1">
        <v>0</v>
      </c>
      <c r="BP184" s="1">
        <v>0</v>
      </c>
      <c r="BQ184" s="1">
        <v>0</v>
      </c>
      <c r="BR184" s="1">
        <v>0</v>
      </c>
      <c r="BS184" s="1">
        <v>0</v>
      </c>
      <c r="BT184" s="1">
        <v>0</v>
      </c>
      <c r="BU184" s="1">
        <v>3618.84</v>
      </c>
      <c r="BV184" s="1">
        <v>3250.5729999999999</v>
      </c>
      <c r="BW184" s="1">
        <v>2900.5</v>
      </c>
      <c r="BX184" s="1">
        <v>2962.25</v>
      </c>
      <c r="BY184" s="1">
        <v>3220.66</v>
      </c>
      <c r="BZ184" s="1">
        <v>3250.5729999999999</v>
      </c>
      <c r="CA184" s="1">
        <v>2900.5</v>
      </c>
      <c r="CB184" s="1">
        <v>2962.25</v>
      </c>
      <c r="CC184" s="1">
        <v>0</v>
      </c>
      <c r="CD184" s="1">
        <v>0</v>
      </c>
      <c r="CE184" s="1">
        <v>0</v>
      </c>
      <c r="CF184" s="1">
        <v>0</v>
      </c>
      <c r="CG184" s="1">
        <v>118.62</v>
      </c>
      <c r="CH184" s="1">
        <v>0</v>
      </c>
      <c r="CI184" s="1">
        <v>0</v>
      </c>
      <c r="CJ184" s="1">
        <v>0</v>
      </c>
      <c r="CK184" s="1">
        <v>250.94</v>
      </c>
      <c r="CL184" s="1">
        <v>0</v>
      </c>
      <c r="CM184" s="1">
        <v>0</v>
      </c>
      <c r="CN184" s="1">
        <v>0</v>
      </c>
      <c r="CO184" s="1">
        <v>28.62</v>
      </c>
      <c r="CP184" s="1">
        <v>0</v>
      </c>
      <c r="CQ184" s="1">
        <v>0</v>
      </c>
      <c r="CR184" s="1">
        <v>0</v>
      </c>
      <c r="CS184" s="1">
        <v>797.11999999999989</v>
      </c>
      <c r="CT184" s="1">
        <v>804.27299999999991</v>
      </c>
      <c r="CU184" s="1">
        <v>672.65</v>
      </c>
      <c r="CV184" s="1">
        <v>587.97</v>
      </c>
      <c r="CW184" s="1">
        <v>797.11999999999989</v>
      </c>
      <c r="CX184" s="1">
        <v>804.27299999999991</v>
      </c>
      <c r="CY184" s="1">
        <v>672.65</v>
      </c>
      <c r="CZ184" s="1">
        <v>587.97</v>
      </c>
      <c r="DA184" s="1">
        <v>0</v>
      </c>
      <c r="DB184" s="1">
        <v>0</v>
      </c>
      <c r="DC184" s="1">
        <v>0</v>
      </c>
      <c r="DD184" s="1">
        <v>0</v>
      </c>
      <c r="DE184" s="1">
        <v>0</v>
      </c>
      <c r="DF184" s="1">
        <v>0</v>
      </c>
      <c r="DG184" s="1">
        <v>0</v>
      </c>
      <c r="DH184" s="1">
        <v>0</v>
      </c>
      <c r="DI184" s="1">
        <v>0</v>
      </c>
      <c r="DJ184" s="1">
        <v>0</v>
      </c>
      <c r="DK184" s="1">
        <v>0</v>
      </c>
      <c r="DL184" s="1">
        <v>0</v>
      </c>
      <c r="DM184" s="1">
        <v>2413.13</v>
      </c>
      <c r="DN184" s="1">
        <v>2382.8029999999999</v>
      </c>
      <c r="DO184" s="1">
        <v>2417.98</v>
      </c>
      <c r="DP184" s="1">
        <v>2143.5</v>
      </c>
      <c r="DQ184" s="1">
        <v>2413.13</v>
      </c>
      <c r="DR184" s="1">
        <v>2382.8029999999999</v>
      </c>
      <c r="DS184" s="1">
        <v>2417.98</v>
      </c>
      <c r="DT184" s="1">
        <v>2143.5</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873.47</v>
      </c>
      <c r="EL184" s="1">
        <v>739.11300000000006</v>
      </c>
      <c r="EM184" s="1">
        <v>638.42000000000007</v>
      </c>
      <c r="EN184" s="1">
        <v>572.49</v>
      </c>
      <c r="EO184" s="1">
        <v>873.47</v>
      </c>
      <c r="EP184" s="1">
        <v>739.11300000000006</v>
      </c>
      <c r="EQ184" s="1">
        <v>638.42000000000007</v>
      </c>
      <c r="ER184" s="1">
        <v>572.49</v>
      </c>
      <c r="ES184" s="1">
        <v>0</v>
      </c>
      <c r="ET184" s="1">
        <v>0</v>
      </c>
      <c r="EU184" s="1">
        <v>0</v>
      </c>
      <c r="EV184" s="1">
        <v>0</v>
      </c>
      <c r="EW184" s="1">
        <v>0</v>
      </c>
      <c r="EX184" s="1">
        <v>0</v>
      </c>
      <c r="EY184" s="1">
        <v>0</v>
      </c>
      <c r="EZ184" s="1">
        <v>0</v>
      </c>
      <c r="FA184" s="1">
        <v>0</v>
      </c>
      <c r="FB184" s="1">
        <v>0</v>
      </c>
      <c r="FC184" s="1">
        <v>0</v>
      </c>
      <c r="FD184" s="1">
        <v>0</v>
      </c>
      <c r="FE184" s="1">
        <v>96.960000000000008</v>
      </c>
      <c r="FF184" s="1">
        <v>74.11</v>
      </c>
      <c r="FG184" s="1">
        <v>15.49</v>
      </c>
      <c r="FH184" s="1">
        <v>7.49</v>
      </c>
      <c r="FI184" s="1">
        <v>96.960000000000008</v>
      </c>
      <c r="FJ184" s="1">
        <v>74.11</v>
      </c>
      <c r="FK184" s="1">
        <v>15.49</v>
      </c>
      <c r="FL184" s="1">
        <v>7.49</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v>0</v>
      </c>
      <c r="GC184" s="1">
        <v>137.75</v>
      </c>
      <c r="GD184" s="1">
        <v>149.97</v>
      </c>
      <c r="GE184" s="1">
        <v>145.55000000000001</v>
      </c>
      <c r="GF184" s="1">
        <v>154.54</v>
      </c>
      <c r="GG184" s="1">
        <v>137.75</v>
      </c>
      <c r="GH184" s="1">
        <v>149.97</v>
      </c>
      <c r="GI184" s="1">
        <v>145.55000000000001</v>
      </c>
      <c r="GJ184" s="1">
        <v>154.54</v>
      </c>
      <c r="GK184" s="1">
        <v>0</v>
      </c>
      <c r="GL184" s="1">
        <v>0</v>
      </c>
      <c r="GM184" s="1">
        <v>0</v>
      </c>
      <c r="GN184" s="1">
        <v>0</v>
      </c>
      <c r="GO184" s="1">
        <v>0</v>
      </c>
      <c r="GP184" s="1">
        <v>0</v>
      </c>
      <c r="GQ184" s="1">
        <v>0</v>
      </c>
      <c r="GR184" s="1">
        <v>0</v>
      </c>
      <c r="GS184" s="1">
        <v>0</v>
      </c>
      <c r="GT184" s="1">
        <v>0</v>
      </c>
      <c r="GU184" s="1">
        <v>0</v>
      </c>
      <c r="GV184" s="1">
        <v>0</v>
      </c>
      <c r="GW184" s="1">
        <v>0</v>
      </c>
      <c r="GX184" s="1">
        <v>0</v>
      </c>
      <c r="GY184" s="1">
        <v>0</v>
      </c>
      <c r="GZ184" s="1">
        <v>0</v>
      </c>
      <c r="HA184" s="1">
        <v>0</v>
      </c>
      <c r="HB184" s="1">
        <v>0</v>
      </c>
      <c r="HC184" s="1">
        <v>0</v>
      </c>
      <c r="HD184" s="1">
        <v>0</v>
      </c>
      <c r="HE184" s="1">
        <v>6.74</v>
      </c>
      <c r="HF184" s="1">
        <v>0</v>
      </c>
      <c r="HG184" s="1">
        <v>0</v>
      </c>
      <c r="HH184" s="1">
        <v>0</v>
      </c>
      <c r="HI184" s="1">
        <v>6.74</v>
      </c>
      <c r="HJ184" s="1">
        <v>0</v>
      </c>
      <c r="HK184" s="1">
        <v>0</v>
      </c>
      <c r="HL184" s="1">
        <v>0</v>
      </c>
      <c r="HM184" s="1">
        <v>0</v>
      </c>
      <c r="HN184" s="1">
        <v>0</v>
      </c>
      <c r="HO184" s="1">
        <v>0</v>
      </c>
      <c r="HP184" s="1">
        <v>0</v>
      </c>
      <c r="HQ184" s="1">
        <v>0</v>
      </c>
      <c r="HR184" s="1">
        <v>0</v>
      </c>
      <c r="HS184" s="1">
        <v>0</v>
      </c>
      <c r="HT184" s="1">
        <v>0</v>
      </c>
      <c r="HU184" s="1">
        <v>0</v>
      </c>
      <c r="HV184" s="1">
        <v>0</v>
      </c>
      <c r="HW184" s="1">
        <v>0</v>
      </c>
      <c r="HX184" s="1">
        <v>0</v>
      </c>
      <c r="HY184" s="1">
        <v>0</v>
      </c>
      <c r="HZ184" s="1">
        <v>0</v>
      </c>
      <c r="IA184" s="1">
        <v>0</v>
      </c>
      <c r="IB184" s="1">
        <v>0</v>
      </c>
      <c r="IC184" s="1">
        <v>0</v>
      </c>
      <c r="ID184" s="1">
        <v>0</v>
      </c>
      <c r="IE184" s="1">
        <v>0</v>
      </c>
      <c r="IF184" s="1">
        <v>0</v>
      </c>
      <c r="IG184" s="1">
        <v>0</v>
      </c>
      <c r="IH184" s="1">
        <v>0</v>
      </c>
      <c r="II184" s="1">
        <v>0</v>
      </c>
      <c r="IJ184" s="1">
        <v>0</v>
      </c>
      <c r="IK184" s="1">
        <v>0</v>
      </c>
      <c r="IL184" s="1">
        <v>0</v>
      </c>
      <c r="IM184" s="1">
        <v>0</v>
      </c>
      <c r="IN184" s="1">
        <v>0</v>
      </c>
      <c r="IO184" s="1">
        <v>579.90000000000009</v>
      </c>
      <c r="IP184" s="1">
        <v>683.96</v>
      </c>
      <c r="IQ184" s="1">
        <v>905.73</v>
      </c>
      <c r="IR184" s="1">
        <v>848.48</v>
      </c>
      <c r="IS184" s="1">
        <v>579.90000000000009</v>
      </c>
      <c r="IT184" s="1">
        <v>683.96</v>
      </c>
      <c r="IU184" s="1">
        <v>905.73</v>
      </c>
      <c r="IV184" s="1">
        <v>848.48</v>
      </c>
      <c r="IW184" s="1">
        <v>0</v>
      </c>
      <c r="IX184" s="1">
        <v>0</v>
      </c>
      <c r="IY184" s="1">
        <v>0</v>
      </c>
      <c r="IZ184" s="1">
        <v>0</v>
      </c>
      <c r="JA184" s="1">
        <v>0</v>
      </c>
      <c r="JB184" s="1">
        <v>0</v>
      </c>
      <c r="JC184" s="1">
        <v>0</v>
      </c>
      <c r="JD184" s="1">
        <v>0</v>
      </c>
      <c r="JE184" s="1">
        <v>0</v>
      </c>
      <c r="JF184" s="1">
        <v>0</v>
      </c>
      <c r="JG184" s="1">
        <v>0</v>
      </c>
      <c r="JH184" s="1">
        <v>0</v>
      </c>
      <c r="JI184" s="1">
        <v>0</v>
      </c>
      <c r="JJ184" s="1">
        <v>0</v>
      </c>
      <c r="JK184" s="1">
        <v>0</v>
      </c>
      <c r="JL184" s="1">
        <v>0</v>
      </c>
      <c r="JM184" s="1">
        <v>0</v>
      </c>
      <c r="JN184" s="1">
        <v>0</v>
      </c>
      <c r="JO184" s="1">
        <v>0</v>
      </c>
      <c r="JP184" s="1">
        <v>0</v>
      </c>
      <c r="JQ184" s="9"/>
      <c r="JR184" s="1">
        <f t="shared" si="38"/>
        <v>2565.0216000000009</v>
      </c>
      <c r="JS184" s="1">
        <f t="shared" si="38"/>
        <v>2289.8969999999999</v>
      </c>
      <c r="JT184" s="1">
        <f t="shared" si="38"/>
        <v>2275.956900000001</v>
      </c>
      <c r="JU184" s="1">
        <f t="shared" si="36"/>
        <v>2465.8289999999997</v>
      </c>
      <c r="JV184" s="1">
        <f t="shared" si="39"/>
        <v>475.00400000000019</v>
      </c>
      <c r="JW184" s="1">
        <f t="shared" si="39"/>
        <v>424.05499999999995</v>
      </c>
      <c r="JX184" s="1">
        <f t="shared" si="39"/>
        <v>421.47350000000017</v>
      </c>
      <c r="JY184" s="1">
        <f t="shared" si="37"/>
        <v>456.63499999999999</v>
      </c>
    </row>
    <row r="185" spans="1:285" x14ac:dyDescent="0.35">
      <c r="A185" s="2" t="s">
        <v>192</v>
      </c>
      <c r="B185" s="1">
        <v>213718</v>
      </c>
      <c r="C185" s="1">
        <v>216470</v>
      </c>
      <c r="D185" s="1">
        <v>218017</v>
      </c>
      <c r="E185" s="1">
        <v>221283</v>
      </c>
      <c r="F185" s="1">
        <v>199003.5</v>
      </c>
      <c r="G185" s="1">
        <v>192932.35</v>
      </c>
      <c r="H185" s="1">
        <v>192387.23</v>
      </c>
      <c r="I185" s="1">
        <v>206469.19</v>
      </c>
      <c r="J185" s="1">
        <f t="shared" si="40"/>
        <v>61676.999999999985</v>
      </c>
      <c r="K185" s="1">
        <f t="shared" si="41"/>
        <v>50521.24</v>
      </c>
      <c r="L185" s="1">
        <f t="shared" si="42"/>
        <v>53032.44</v>
      </c>
      <c r="M185" s="1">
        <f t="shared" si="43"/>
        <v>64227.320000000007</v>
      </c>
      <c r="N185" s="1">
        <f t="shared" si="44"/>
        <v>137326.5</v>
      </c>
      <c r="O185" s="1">
        <f t="shared" si="45"/>
        <v>142411.11000000002</v>
      </c>
      <c r="P185" s="1">
        <f t="shared" si="46"/>
        <v>139354.79</v>
      </c>
      <c r="Q185" s="1">
        <f t="shared" si="47"/>
        <v>142241.87</v>
      </c>
      <c r="R185" s="1">
        <v>4203.96</v>
      </c>
      <c r="S185" s="1">
        <v>5150.74</v>
      </c>
      <c r="T185" s="1">
        <v>5198.05</v>
      </c>
      <c r="U185" s="1">
        <v>4900.72</v>
      </c>
      <c r="V185" s="1">
        <v>0</v>
      </c>
      <c r="W185" s="1">
        <v>0</v>
      </c>
      <c r="X185" s="1">
        <v>4203.96</v>
      </c>
      <c r="Y185" s="1">
        <v>0</v>
      </c>
      <c r="Z185" s="1">
        <v>0</v>
      </c>
      <c r="AA185" s="1">
        <v>5150.74</v>
      </c>
      <c r="AB185" s="1">
        <v>0</v>
      </c>
      <c r="AC185" s="1">
        <v>0</v>
      </c>
      <c r="AD185" s="1">
        <v>5198.05</v>
      </c>
      <c r="AE185" s="1">
        <v>0</v>
      </c>
      <c r="AF185" s="1">
        <v>0</v>
      </c>
      <c r="AG185" s="1">
        <v>4900.72</v>
      </c>
      <c r="AH185" s="1">
        <v>0</v>
      </c>
      <c r="AI185" s="1">
        <v>0</v>
      </c>
      <c r="AJ185" s="1">
        <v>0</v>
      </c>
      <c r="AK185" s="1">
        <v>0</v>
      </c>
      <c r="AL185" s="1">
        <v>0</v>
      </c>
      <c r="AM185" s="1">
        <v>0</v>
      </c>
      <c r="AN185" s="1">
        <v>0</v>
      </c>
      <c r="AO185" s="1">
        <v>0</v>
      </c>
      <c r="AP185" s="1">
        <v>9000.82</v>
      </c>
      <c r="AQ185" s="1">
        <v>8287.7099999999991</v>
      </c>
      <c r="AR185" s="1">
        <v>6692.78</v>
      </c>
      <c r="AS185" s="1">
        <v>8831.0400000000009</v>
      </c>
      <c r="AT185" s="1">
        <v>0</v>
      </c>
      <c r="AU185" s="1">
        <v>9000.82</v>
      </c>
      <c r="AV185" s="1">
        <v>0</v>
      </c>
      <c r="AW185" s="1">
        <v>0</v>
      </c>
      <c r="AX185" s="1">
        <v>0</v>
      </c>
      <c r="AY185" s="1">
        <v>8287.7099999999991</v>
      </c>
      <c r="AZ185" s="1">
        <v>0</v>
      </c>
      <c r="BA185" s="1">
        <v>0</v>
      </c>
      <c r="BB185" s="1">
        <v>0</v>
      </c>
      <c r="BC185" s="1">
        <v>6692.78</v>
      </c>
      <c r="BD185" s="1">
        <v>0</v>
      </c>
      <c r="BE185" s="1">
        <v>0</v>
      </c>
      <c r="BF185" s="1">
        <v>8831.0400000000009</v>
      </c>
      <c r="BG185" s="1">
        <v>0</v>
      </c>
      <c r="BH185" s="1">
        <v>0</v>
      </c>
      <c r="BI185" s="1">
        <v>0</v>
      </c>
      <c r="BJ185" s="1">
        <v>0</v>
      </c>
      <c r="BK185" s="1">
        <v>0</v>
      </c>
      <c r="BL185" s="1">
        <v>0</v>
      </c>
      <c r="BM185" s="1">
        <v>0</v>
      </c>
      <c r="BN185" s="1">
        <v>0</v>
      </c>
      <c r="BO185" s="1">
        <v>0</v>
      </c>
      <c r="BP185" s="1">
        <v>0</v>
      </c>
      <c r="BQ185" s="1">
        <v>0</v>
      </c>
      <c r="BR185" s="1">
        <v>0</v>
      </c>
      <c r="BS185" s="1">
        <v>0</v>
      </c>
      <c r="BT185" s="1">
        <v>0</v>
      </c>
      <c r="BU185" s="1">
        <v>13043.73</v>
      </c>
      <c r="BV185" s="1">
        <v>9321.48</v>
      </c>
      <c r="BW185" s="1">
        <v>11228.31</v>
      </c>
      <c r="BX185" s="1">
        <v>11726.92</v>
      </c>
      <c r="BY185" s="1">
        <v>13043.73</v>
      </c>
      <c r="BZ185" s="1">
        <v>9321.48</v>
      </c>
      <c r="CA185" s="1">
        <v>11160.83</v>
      </c>
      <c r="CB185" s="1">
        <v>11687.23</v>
      </c>
      <c r="CC185" s="1">
        <v>0</v>
      </c>
      <c r="CD185" s="1">
        <v>0</v>
      </c>
      <c r="CE185" s="1">
        <v>67.48</v>
      </c>
      <c r="CF185" s="1">
        <v>39.69</v>
      </c>
      <c r="CG185" s="1">
        <v>0</v>
      </c>
      <c r="CH185" s="1">
        <v>0</v>
      </c>
      <c r="CI185" s="1">
        <v>0</v>
      </c>
      <c r="CJ185" s="1">
        <v>0</v>
      </c>
      <c r="CK185" s="1">
        <v>0</v>
      </c>
      <c r="CL185" s="1">
        <v>0</v>
      </c>
      <c r="CM185" s="1">
        <v>0</v>
      </c>
      <c r="CN185" s="1">
        <v>0</v>
      </c>
      <c r="CO185" s="1">
        <v>0</v>
      </c>
      <c r="CP185" s="1">
        <v>0</v>
      </c>
      <c r="CQ185" s="1">
        <v>0</v>
      </c>
      <c r="CR185" s="1">
        <v>0</v>
      </c>
      <c r="CS185" s="1">
        <v>8128</v>
      </c>
      <c r="CT185" s="1">
        <v>3792.97</v>
      </c>
      <c r="CU185" s="1">
        <v>5002.91</v>
      </c>
      <c r="CV185" s="1">
        <v>8237.9699999999993</v>
      </c>
      <c r="CW185" s="1">
        <v>8128</v>
      </c>
      <c r="CX185" s="1">
        <v>3792.97</v>
      </c>
      <c r="CY185" s="1">
        <v>5002.91</v>
      </c>
      <c r="CZ185" s="1">
        <v>8237.9699999999993</v>
      </c>
      <c r="DA185" s="1">
        <v>0</v>
      </c>
      <c r="DB185" s="1">
        <v>0</v>
      </c>
      <c r="DC185" s="1">
        <v>0</v>
      </c>
      <c r="DD185" s="1">
        <v>0</v>
      </c>
      <c r="DE185" s="1">
        <v>0</v>
      </c>
      <c r="DF185" s="1">
        <v>0</v>
      </c>
      <c r="DG185" s="1">
        <v>0</v>
      </c>
      <c r="DH185" s="1">
        <v>0</v>
      </c>
      <c r="DI185" s="1">
        <v>0</v>
      </c>
      <c r="DJ185" s="1">
        <v>0</v>
      </c>
      <c r="DK185" s="1">
        <v>0</v>
      </c>
      <c r="DL185" s="1">
        <v>0</v>
      </c>
      <c r="DM185" s="1">
        <v>5854.84</v>
      </c>
      <c r="DN185" s="1">
        <v>5562.34</v>
      </c>
      <c r="DO185" s="1">
        <v>4924.49</v>
      </c>
      <c r="DP185" s="1">
        <v>4687.34</v>
      </c>
      <c r="DQ185" s="1">
        <v>5854.84</v>
      </c>
      <c r="DR185" s="1">
        <v>5562.34</v>
      </c>
      <c r="DS185" s="1">
        <v>4924.49</v>
      </c>
      <c r="DT185" s="1">
        <v>4687.34</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7915.5700000000006</v>
      </c>
      <c r="EL185" s="1">
        <v>4787.21</v>
      </c>
      <c r="EM185" s="1">
        <v>8997</v>
      </c>
      <c r="EN185" s="1">
        <v>14792.21</v>
      </c>
      <c r="EO185" s="1">
        <v>7742.23</v>
      </c>
      <c r="EP185" s="1">
        <v>4506.97</v>
      </c>
      <c r="EQ185" s="1">
        <v>8731.880000000001</v>
      </c>
      <c r="ER185" s="1">
        <v>14464.37</v>
      </c>
      <c r="ES185" s="1">
        <v>173.34</v>
      </c>
      <c r="ET185" s="1">
        <v>280.24</v>
      </c>
      <c r="EU185" s="1">
        <v>265.12</v>
      </c>
      <c r="EV185" s="1">
        <v>327.84</v>
      </c>
      <c r="EW185" s="1">
        <v>0</v>
      </c>
      <c r="EX185" s="1">
        <v>0</v>
      </c>
      <c r="EY185" s="1">
        <v>0</v>
      </c>
      <c r="EZ185" s="1">
        <v>0</v>
      </c>
      <c r="FA185" s="1">
        <v>0</v>
      </c>
      <c r="FB185" s="1">
        <v>0</v>
      </c>
      <c r="FC185" s="1">
        <v>0</v>
      </c>
      <c r="FD185" s="1">
        <v>0</v>
      </c>
      <c r="FE185" s="1">
        <v>128.94</v>
      </c>
      <c r="FF185" s="1">
        <v>151.38</v>
      </c>
      <c r="FG185" s="1">
        <v>148.68</v>
      </c>
      <c r="FH185" s="1">
        <v>163.92</v>
      </c>
      <c r="FI185" s="1">
        <v>0</v>
      </c>
      <c r="FJ185" s="1">
        <v>0</v>
      </c>
      <c r="FK185" s="1">
        <v>0</v>
      </c>
      <c r="FL185" s="1">
        <v>0</v>
      </c>
      <c r="FM185" s="1">
        <v>128.94</v>
      </c>
      <c r="FN185" s="1">
        <v>151.38</v>
      </c>
      <c r="FO185" s="1">
        <v>148.68</v>
      </c>
      <c r="FP185" s="1">
        <v>163.92</v>
      </c>
      <c r="FQ185" s="1">
        <v>0</v>
      </c>
      <c r="FR185" s="1">
        <v>0</v>
      </c>
      <c r="FS185" s="1">
        <v>0</v>
      </c>
      <c r="FT185" s="1">
        <v>0</v>
      </c>
      <c r="FU185" s="1">
        <v>0</v>
      </c>
      <c r="FV185" s="1">
        <v>0</v>
      </c>
      <c r="FW185" s="1">
        <v>0</v>
      </c>
      <c r="FX185" s="1">
        <v>0</v>
      </c>
      <c r="FY185" s="1">
        <v>0</v>
      </c>
      <c r="FZ185" s="1">
        <v>0</v>
      </c>
      <c r="GA185" s="1">
        <v>0</v>
      </c>
      <c r="GB185" s="1">
        <v>0</v>
      </c>
      <c r="GC185" s="1">
        <v>2630.16</v>
      </c>
      <c r="GD185" s="1">
        <v>5806.23</v>
      </c>
      <c r="GE185" s="1">
        <v>5247.34</v>
      </c>
      <c r="GF185" s="1">
        <v>4477.93</v>
      </c>
      <c r="GG185" s="1">
        <v>2616.96</v>
      </c>
      <c r="GH185" s="1">
        <v>5662.12</v>
      </c>
      <c r="GI185" s="1">
        <v>5109.21</v>
      </c>
      <c r="GJ185" s="1">
        <v>4302.37</v>
      </c>
      <c r="GK185" s="1">
        <v>13.2</v>
      </c>
      <c r="GL185" s="1">
        <v>144.11000000000001</v>
      </c>
      <c r="GM185" s="1">
        <v>138.13</v>
      </c>
      <c r="GN185" s="1">
        <v>175.56</v>
      </c>
      <c r="GO185" s="1">
        <v>0</v>
      </c>
      <c r="GP185" s="1">
        <v>0</v>
      </c>
      <c r="GQ185" s="1">
        <v>0</v>
      </c>
      <c r="GR185" s="1">
        <v>0</v>
      </c>
      <c r="GS185" s="1">
        <v>0</v>
      </c>
      <c r="GT185" s="1">
        <v>0</v>
      </c>
      <c r="GU185" s="1">
        <v>0</v>
      </c>
      <c r="GV185" s="1">
        <v>0</v>
      </c>
      <c r="GW185" s="1">
        <v>0</v>
      </c>
      <c r="GX185" s="1">
        <v>0</v>
      </c>
      <c r="GY185" s="1">
        <v>0</v>
      </c>
      <c r="GZ185" s="1">
        <v>0</v>
      </c>
      <c r="HA185" s="1">
        <v>0</v>
      </c>
      <c r="HB185" s="1">
        <v>0</v>
      </c>
      <c r="HC185" s="1">
        <v>0</v>
      </c>
      <c r="HD185" s="1">
        <v>0</v>
      </c>
      <c r="HE185" s="1">
        <v>7599.85</v>
      </c>
      <c r="HF185" s="1">
        <v>5584.3899999999994</v>
      </c>
      <c r="HG185" s="1">
        <v>3295.9</v>
      </c>
      <c r="HH185" s="1">
        <v>4705.83</v>
      </c>
      <c r="HI185" s="1">
        <v>7599.85</v>
      </c>
      <c r="HJ185" s="1">
        <v>5584.3899999999994</v>
      </c>
      <c r="HK185" s="1">
        <v>3295.9</v>
      </c>
      <c r="HL185" s="1">
        <v>4705.83</v>
      </c>
      <c r="HM185" s="1">
        <v>0</v>
      </c>
      <c r="HN185" s="1">
        <v>0</v>
      </c>
      <c r="HO185" s="1">
        <v>0</v>
      </c>
      <c r="HP185" s="1">
        <v>0</v>
      </c>
      <c r="HQ185" s="1">
        <v>0</v>
      </c>
      <c r="HR185" s="1">
        <v>0</v>
      </c>
      <c r="HS185" s="1">
        <v>0</v>
      </c>
      <c r="HT185" s="1">
        <v>0</v>
      </c>
      <c r="HU185" s="1">
        <v>0</v>
      </c>
      <c r="HV185" s="1">
        <v>0</v>
      </c>
      <c r="HW185" s="1">
        <v>0</v>
      </c>
      <c r="HX185" s="1">
        <v>0</v>
      </c>
      <c r="HY185" s="1">
        <v>0</v>
      </c>
      <c r="HZ185" s="1">
        <v>0</v>
      </c>
      <c r="IA185" s="1">
        <v>0</v>
      </c>
      <c r="IB185" s="1">
        <v>0</v>
      </c>
      <c r="IC185" s="1">
        <v>0</v>
      </c>
      <c r="ID185" s="1">
        <v>0</v>
      </c>
      <c r="IE185" s="1">
        <v>0</v>
      </c>
      <c r="IF185" s="1">
        <v>0</v>
      </c>
      <c r="IG185" s="1">
        <v>0</v>
      </c>
      <c r="IH185" s="1">
        <v>0</v>
      </c>
      <c r="II185" s="1">
        <v>0</v>
      </c>
      <c r="IJ185" s="1">
        <v>0</v>
      </c>
      <c r="IK185" s="1">
        <v>0</v>
      </c>
      <c r="IL185" s="1">
        <v>0</v>
      </c>
      <c r="IM185" s="1">
        <v>0</v>
      </c>
      <c r="IN185" s="1">
        <v>0</v>
      </c>
      <c r="IO185" s="1">
        <v>3171.13</v>
      </c>
      <c r="IP185" s="1">
        <v>2076.79</v>
      </c>
      <c r="IQ185" s="1">
        <v>2296.98</v>
      </c>
      <c r="IR185" s="1">
        <v>1703.44</v>
      </c>
      <c r="IS185" s="1">
        <v>3120.11</v>
      </c>
      <c r="IT185" s="1">
        <v>2034.91</v>
      </c>
      <c r="IU185" s="1">
        <v>2113.06</v>
      </c>
      <c r="IV185" s="1">
        <v>1375.6</v>
      </c>
      <c r="IW185" s="1">
        <v>51.02</v>
      </c>
      <c r="IX185" s="1">
        <v>41.88</v>
      </c>
      <c r="IY185" s="1">
        <v>183.92</v>
      </c>
      <c r="IZ185" s="1">
        <v>327.84</v>
      </c>
      <c r="JA185" s="1">
        <v>0</v>
      </c>
      <c r="JB185" s="1">
        <v>0</v>
      </c>
      <c r="JC185" s="1">
        <v>0</v>
      </c>
      <c r="JD185" s="1">
        <v>0</v>
      </c>
      <c r="JE185" s="1">
        <v>0</v>
      </c>
      <c r="JF185" s="1">
        <v>0</v>
      </c>
      <c r="JG185" s="1">
        <v>0</v>
      </c>
      <c r="JH185" s="1">
        <v>0</v>
      </c>
      <c r="JI185" s="1">
        <v>0</v>
      </c>
      <c r="JJ185" s="1">
        <v>0</v>
      </c>
      <c r="JK185" s="1">
        <v>0</v>
      </c>
      <c r="JL185" s="1">
        <v>0</v>
      </c>
      <c r="JM185" s="1">
        <v>0</v>
      </c>
      <c r="JN185" s="1">
        <v>0</v>
      </c>
      <c r="JO185" s="1">
        <v>0</v>
      </c>
      <c r="JP185" s="1">
        <v>0</v>
      </c>
      <c r="JQ185" s="9"/>
      <c r="JR185" s="1">
        <f t="shared" si="38"/>
        <v>37078.154999999999</v>
      </c>
      <c r="JS185" s="1">
        <f t="shared" si="38"/>
        <v>38450.999700000008</v>
      </c>
      <c r="JT185" s="1">
        <f t="shared" si="38"/>
        <v>37625.793300000005</v>
      </c>
      <c r="JU185" s="1">
        <f t="shared" si="36"/>
        <v>38405.304900000003</v>
      </c>
      <c r="JV185" s="1">
        <f t="shared" si="39"/>
        <v>6866.3250000000007</v>
      </c>
      <c r="JW185" s="1">
        <f t="shared" si="39"/>
        <v>7120.5555000000013</v>
      </c>
      <c r="JX185" s="1">
        <f t="shared" si="39"/>
        <v>6967.7395000000006</v>
      </c>
      <c r="JY185" s="1">
        <f t="shared" si="37"/>
        <v>7112.0934999999999</v>
      </c>
    </row>
    <row r="186" spans="1:285" x14ac:dyDescent="0.35">
      <c r="A186" s="2" t="s">
        <v>193</v>
      </c>
      <c r="B186" s="1">
        <v>264830</v>
      </c>
      <c r="C186" s="1">
        <v>264768</v>
      </c>
      <c r="D186" s="1">
        <v>267507</v>
      </c>
      <c r="E186" s="1">
        <v>270605</v>
      </c>
      <c r="F186" s="1">
        <v>259657.04</v>
      </c>
      <c r="G186" s="1">
        <v>270593.84999999998</v>
      </c>
      <c r="H186" s="1">
        <v>263961.15999999997</v>
      </c>
      <c r="I186" s="1">
        <v>260368.45</v>
      </c>
      <c r="J186" s="1">
        <f t="shared" si="40"/>
        <v>61921.090000000004</v>
      </c>
      <c r="K186" s="1">
        <f t="shared" si="41"/>
        <v>64658.66</v>
      </c>
      <c r="L186" s="1">
        <f t="shared" si="42"/>
        <v>65249.311999999991</v>
      </c>
      <c r="M186" s="1">
        <f t="shared" si="43"/>
        <v>67012.040000000008</v>
      </c>
      <c r="N186" s="1">
        <f t="shared" si="44"/>
        <v>197735.95</v>
      </c>
      <c r="O186" s="1">
        <f t="shared" si="45"/>
        <v>205935.18999999997</v>
      </c>
      <c r="P186" s="1">
        <f t="shared" si="46"/>
        <v>198711.848</v>
      </c>
      <c r="Q186" s="1">
        <f t="shared" si="47"/>
        <v>193356.41</v>
      </c>
      <c r="R186" s="1">
        <v>106.18</v>
      </c>
      <c r="S186" s="1">
        <v>167.86</v>
      </c>
      <c r="T186" s="1">
        <v>718.41199999999992</v>
      </c>
      <c r="U186" s="1">
        <v>253.57999999999998</v>
      </c>
      <c r="V186" s="1">
        <v>0</v>
      </c>
      <c r="W186" s="1">
        <v>0</v>
      </c>
      <c r="X186" s="1">
        <v>106.18</v>
      </c>
      <c r="Y186" s="1">
        <v>0</v>
      </c>
      <c r="Z186" s="1">
        <v>0</v>
      </c>
      <c r="AA186" s="1">
        <v>167.86</v>
      </c>
      <c r="AB186" s="1">
        <v>0</v>
      </c>
      <c r="AC186" s="1">
        <v>0</v>
      </c>
      <c r="AD186" s="1">
        <v>718.41199999999992</v>
      </c>
      <c r="AE186" s="1">
        <v>0</v>
      </c>
      <c r="AF186" s="1">
        <v>0</v>
      </c>
      <c r="AG186" s="1">
        <v>253.57999999999998</v>
      </c>
      <c r="AH186" s="1">
        <v>0</v>
      </c>
      <c r="AI186" s="1">
        <v>0</v>
      </c>
      <c r="AJ186" s="1">
        <v>0</v>
      </c>
      <c r="AK186" s="1">
        <v>0</v>
      </c>
      <c r="AL186" s="1">
        <v>0</v>
      </c>
      <c r="AM186" s="1">
        <v>0</v>
      </c>
      <c r="AN186" s="1">
        <v>0</v>
      </c>
      <c r="AO186" s="1">
        <v>0</v>
      </c>
      <c r="AP186" s="1">
        <v>6492.53</v>
      </c>
      <c r="AQ186" s="1">
        <v>9746.2999999999993</v>
      </c>
      <c r="AR186" s="1">
        <v>7130.58</v>
      </c>
      <c r="AS186" s="1">
        <v>8278.5400000000009</v>
      </c>
      <c r="AT186" s="1">
        <v>0</v>
      </c>
      <c r="AU186" s="1">
        <v>6492.53</v>
      </c>
      <c r="AV186" s="1">
        <v>0</v>
      </c>
      <c r="AW186" s="1">
        <v>0</v>
      </c>
      <c r="AX186" s="1">
        <v>0</v>
      </c>
      <c r="AY186" s="1">
        <v>9746.2999999999993</v>
      </c>
      <c r="AZ186" s="1">
        <v>0</v>
      </c>
      <c r="BA186" s="1">
        <v>0</v>
      </c>
      <c r="BB186" s="1">
        <v>0</v>
      </c>
      <c r="BC186" s="1">
        <v>7130.58</v>
      </c>
      <c r="BD186" s="1">
        <v>0</v>
      </c>
      <c r="BE186" s="1">
        <v>0</v>
      </c>
      <c r="BF186" s="1">
        <v>8278.5400000000009</v>
      </c>
      <c r="BG186" s="1">
        <v>0</v>
      </c>
      <c r="BH186" s="1">
        <v>0</v>
      </c>
      <c r="BI186" s="1">
        <v>0</v>
      </c>
      <c r="BJ186" s="1">
        <v>0</v>
      </c>
      <c r="BK186" s="1">
        <v>0</v>
      </c>
      <c r="BL186" s="1">
        <v>0</v>
      </c>
      <c r="BM186" s="1">
        <v>0</v>
      </c>
      <c r="BN186" s="1">
        <v>0</v>
      </c>
      <c r="BO186" s="1">
        <v>0</v>
      </c>
      <c r="BP186" s="1">
        <v>0</v>
      </c>
      <c r="BQ186" s="1">
        <v>0</v>
      </c>
      <c r="BR186" s="1">
        <v>0</v>
      </c>
      <c r="BS186" s="1">
        <v>0</v>
      </c>
      <c r="BT186" s="1">
        <v>0</v>
      </c>
      <c r="BU186" s="1">
        <v>9771.4</v>
      </c>
      <c r="BV186" s="1">
        <v>12993.5</v>
      </c>
      <c r="BW186" s="1">
        <v>12627.61</v>
      </c>
      <c r="BX186" s="1">
        <v>13478.61</v>
      </c>
      <c r="BY186" s="1">
        <v>9771.4</v>
      </c>
      <c r="BZ186" s="1">
        <v>12978.83</v>
      </c>
      <c r="CA186" s="1">
        <v>12620.99</v>
      </c>
      <c r="CB186" s="1">
        <v>13477.11</v>
      </c>
      <c r="CC186" s="1">
        <v>0</v>
      </c>
      <c r="CD186" s="1">
        <v>14.67</v>
      </c>
      <c r="CE186" s="1">
        <v>6.6199999999999992</v>
      </c>
      <c r="CF186" s="1">
        <v>1.5</v>
      </c>
      <c r="CG186" s="1">
        <v>0</v>
      </c>
      <c r="CH186" s="1">
        <v>0</v>
      </c>
      <c r="CI186" s="1">
        <v>0</v>
      </c>
      <c r="CJ186" s="1">
        <v>0</v>
      </c>
      <c r="CK186" s="1">
        <v>0</v>
      </c>
      <c r="CL186" s="1">
        <v>0</v>
      </c>
      <c r="CM186" s="1">
        <v>0</v>
      </c>
      <c r="CN186" s="1">
        <v>0</v>
      </c>
      <c r="CO186" s="1">
        <v>0</v>
      </c>
      <c r="CP186" s="1">
        <v>0</v>
      </c>
      <c r="CQ186" s="1">
        <v>0</v>
      </c>
      <c r="CR186" s="1">
        <v>0</v>
      </c>
      <c r="CS186" s="1">
        <v>2844.48</v>
      </c>
      <c r="CT186" s="1">
        <v>2563.46</v>
      </c>
      <c r="CU186" s="1">
        <v>2234.25</v>
      </c>
      <c r="CV186" s="1">
        <v>2225.3200000000002</v>
      </c>
      <c r="CW186" s="1">
        <v>2843.74</v>
      </c>
      <c r="CX186" s="1">
        <v>2557.1</v>
      </c>
      <c r="CY186" s="1">
        <v>2219.89</v>
      </c>
      <c r="CZ186" s="1">
        <v>2210.7199999999998</v>
      </c>
      <c r="DA186" s="1">
        <v>0.74</v>
      </c>
      <c r="DB186" s="1">
        <v>6.3599999999999994</v>
      </c>
      <c r="DC186" s="1">
        <v>14.36</v>
      </c>
      <c r="DD186" s="1">
        <v>14.6</v>
      </c>
      <c r="DE186" s="1">
        <v>0</v>
      </c>
      <c r="DF186" s="1">
        <v>0</v>
      </c>
      <c r="DG186" s="1">
        <v>0</v>
      </c>
      <c r="DH186" s="1">
        <v>0</v>
      </c>
      <c r="DI186" s="1">
        <v>0</v>
      </c>
      <c r="DJ186" s="1">
        <v>0</v>
      </c>
      <c r="DK186" s="1">
        <v>0</v>
      </c>
      <c r="DL186" s="1">
        <v>0</v>
      </c>
      <c r="DM186" s="1">
        <v>6009.51</v>
      </c>
      <c r="DN186" s="1">
        <v>6243.89</v>
      </c>
      <c r="DO186" s="1">
        <v>5920.04</v>
      </c>
      <c r="DP186" s="1">
        <v>6052.94</v>
      </c>
      <c r="DQ186" s="1">
        <v>6009.51</v>
      </c>
      <c r="DR186" s="1">
        <v>6243.89</v>
      </c>
      <c r="DS186" s="1">
        <v>5920.04</v>
      </c>
      <c r="DT186" s="1">
        <v>6052.94</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28385.71</v>
      </c>
      <c r="EL186" s="1">
        <v>22683.599999999999</v>
      </c>
      <c r="EM186" s="1">
        <v>25621.8</v>
      </c>
      <c r="EN186" s="1">
        <v>25220.5</v>
      </c>
      <c r="EO186" s="1">
        <v>28357.83</v>
      </c>
      <c r="EP186" s="1">
        <v>22640.5</v>
      </c>
      <c r="EQ186" s="1">
        <v>25607.86</v>
      </c>
      <c r="ER186" s="1">
        <v>25199.759999999998</v>
      </c>
      <c r="ES186" s="1">
        <v>27.88</v>
      </c>
      <c r="ET186" s="1">
        <v>43.1</v>
      </c>
      <c r="EU186" s="1">
        <v>13.94</v>
      </c>
      <c r="EV186" s="1">
        <v>20.74</v>
      </c>
      <c r="EW186" s="1">
        <v>0</v>
      </c>
      <c r="EX186" s="1">
        <v>0</v>
      </c>
      <c r="EY186" s="1">
        <v>0</v>
      </c>
      <c r="EZ186" s="1">
        <v>0</v>
      </c>
      <c r="FA186" s="1">
        <v>0</v>
      </c>
      <c r="FB186" s="1">
        <v>0</v>
      </c>
      <c r="FC186" s="1">
        <v>0</v>
      </c>
      <c r="FD186" s="1">
        <v>0</v>
      </c>
      <c r="FE186" s="1">
        <v>163.34</v>
      </c>
      <c r="FF186" s="1">
        <v>205.51</v>
      </c>
      <c r="FG186" s="1">
        <v>128.34</v>
      </c>
      <c r="FH186" s="1">
        <v>150.24</v>
      </c>
      <c r="FI186" s="1">
        <v>148.65</v>
      </c>
      <c r="FJ186" s="1">
        <v>201.99</v>
      </c>
      <c r="FK186" s="1">
        <v>128.34</v>
      </c>
      <c r="FL186" s="1">
        <v>150.24</v>
      </c>
      <c r="FM186" s="1">
        <v>14.69</v>
      </c>
      <c r="FN186" s="1">
        <v>3.52</v>
      </c>
      <c r="FO186" s="1">
        <v>0</v>
      </c>
      <c r="FP186" s="1">
        <v>0</v>
      </c>
      <c r="FQ186" s="1">
        <v>0</v>
      </c>
      <c r="FR186" s="1">
        <v>0</v>
      </c>
      <c r="FS186" s="1">
        <v>0</v>
      </c>
      <c r="FT186" s="1">
        <v>0</v>
      </c>
      <c r="FU186" s="1">
        <v>0</v>
      </c>
      <c r="FV186" s="1">
        <v>0</v>
      </c>
      <c r="FW186" s="1">
        <v>0</v>
      </c>
      <c r="FX186" s="1">
        <v>0</v>
      </c>
      <c r="FY186" s="1">
        <v>0</v>
      </c>
      <c r="FZ186" s="1">
        <v>0</v>
      </c>
      <c r="GA186" s="1">
        <v>0</v>
      </c>
      <c r="GB186" s="1">
        <v>0</v>
      </c>
      <c r="GC186" s="1">
        <v>1678.16</v>
      </c>
      <c r="GD186" s="1">
        <v>2012.16</v>
      </c>
      <c r="GE186" s="1">
        <v>2128.1799999999998</v>
      </c>
      <c r="GF186" s="1">
        <v>2730.71</v>
      </c>
      <c r="GG186" s="1">
        <v>1607.7</v>
      </c>
      <c r="GH186" s="1">
        <v>1755.86</v>
      </c>
      <c r="GI186" s="1">
        <v>1977.72</v>
      </c>
      <c r="GJ186" s="1">
        <v>2054.0300000000002</v>
      </c>
      <c r="GK186" s="1">
        <v>70.459999999999994</v>
      </c>
      <c r="GL186" s="1">
        <v>256.3</v>
      </c>
      <c r="GM186" s="1">
        <v>150.46</v>
      </c>
      <c r="GN186" s="1">
        <v>676.68000000000006</v>
      </c>
      <c r="GO186" s="1">
        <v>0</v>
      </c>
      <c r="GP186" s="1">
        <v>0</v>
      </c>
      <c r="GQ186" s="1">
        <v>0</v>
      </c>
      <c r="GR186" s="1">
        <v>0</v>
      </c>
      <c r="GS186" s="1">
        <v>0</v>
      </c>
      <c r="GT186" s="1">
        <v>0</v>
      </c>
      <c r="GU186" s="1">
        <v>0</v>
      </c>
      <c r="GV186" s="1">
        <v>0</v>
      </c>
      <c r="GW186" s="1">
        <v>0</v>
      </c>
      <c r="GX186" s="1">
        <v>0</v>
      </c>
      <c r="GY186" s="1">
        <v>0</v>
      </c>
      <c r="GZ186" s="1">
        <v>0</v>
      </c>
      <c r="HA186" s="1">
        <v>0</v>
      </c>
      <c r="HB186" s="1">
        <v>0</v>
      </c>
      <c r="HC186" s="1">
        <v>0</v>
      </c>
      <c r="HD186" s="1">
        <v>0</v>
      </c>
      <c r="HE186" s="1">
        <v>6281.62</v>
      </c>
      <c r="HF186" s="1">
        <v>7755.52</v>
      </c>
      <c r="HG186" s="1">
        <v>8520.06</v>
      </c>
      <c r="HH186" s="1">
        <v>8432.66</v>
      </c>
      <c r="HI186" s="1">
        <v>6281.62</v>
      </c>
      <c r="HJ186" s="1">
        <v>7268.92</v>
      </c>
      <c r="HK186" s="1">
        <v>7723.5599999999986</v>
      </c>
      <c r="HL186" s="1">
        <v>7666.48</v>
      </c>
      <c r="HM186" s="1">
        <v>0</v>
      </c>
      <c r="HN186" s="1">
        <v>0</v>
      </c>
      <c r="HO186" s="1">
        <v>0</v>
      </c>
      <c r="HP186" s="1">
        <v>0</v>
      </c>
      <c r="HQ186" s="1">
        <v>0</v>
      </c>
      <c r="HR186" s="1">
        <v>0</v>
      </c>
      <c r="HS186" s="1">
        <v>0</v>
      </c>
      <c r="HT186" s="1">
        <v>0</v>
      </c>
      <c r="HU186" s="1">
        <v>0</v>
      </c>
      <c r="HV186" s="1">
        <v>0</v>
      </c>
      <c r="HW186" s="1">
        <v>0</v>
      </c>
      <c r="HX186" s="1">
        <v>0</v>
      </c>
      <c r="HY186" s="1">
        <v>0</v>
      </c>
      <c r="HZ186" s="1">
        <v>0</v>
      </c>
      <c r="IA186" s="1">
        <v>0</v>
      </c>
      <c r="IB186" s="1">
        <v>0</v>
      </c>
      <c r="IC186" s="1">
        <v>0</v>
      </c>
      <c r="ID186" s="1">
        <v>486.6</v>
      </c>
      <c r="IE186" s="1">
        <v>796.5</v>
      </c>
      <c r="IF186" s="1">
        <v>766.18000000000006</v>
      </c>
      <c r="IG186" s="1">
        <v>0</v>
      </c>
      <c r="IH186" s="1">
        <v>0</v>
      </c>
      <c r="II186" s="1">
        <v>0</v>
      </c>
      <c r="IJ186" s="1">
        <v>0</v>
      </c>
      <c r="IK186" s="1">
        <v>0</v>
      </c>
      <c r="IL186" s="1">
        <v>0</v>
      </c>
      <c r="IM186" s="1">
        <v>0</v>
      </c>
      <c r="IN186" s="1">
        <v>0</v>
      </c>
      <c r="IO186" s="1">
        <v>188.16</v>
      </c>
      <c r="IP186" s="1">
        <v>286.86</v>
      </c>
      <c r="IQ186" s="1">
        <v>220.04</v>
      </c>
      <c r="IR186" s="1">
        <v>188.94</v>
      </c>
      <c r="IS186" s="1">
        <v>170.08</v>
      </c>
      <c r="IT186" s="1">
        <v>195.72</v>
      </c>
      <c r="IU186" s="1">
        <v>148.63999999999999</v>
      </c>
      <c r="IV186" s="1">
        <v>136.63999999999999</v>
      </c>
      <c r="IW186" s="1">
        <v>18.079999999999998</v>
      </c>
      <c r="IX186" s="1">
        <v>91.14</v>
      </c>
      <c r="IY186" s="1">
        <v>71.400000000000006</v>
      </c>
      <c r="IZ186" s="1">
        <v>52.3</v>
      </c>
      <c r="JA186" s="1">
        <v>0</v>
      </c>
      <c r="JB186" s="1">
        <v>0</v>
      </c>
      <c r="JC186" s="1">
        <v>0</v>
      </c>
      <c r="JD186" s="1">
        <v>0</v>
      </c>
      <c r="JE186" s="1">
        <v>0</v>
      </c>
      <c r="JF186" s="1">
        <v>0</v>
      </c>
      <c r="JG186" s="1">
        <v>0</v>
      </c>
      <c r="JH186" s="1">
        <v>0</v>
      </c>
      <c r="JI186" s="1">
        <v>0</v>
      </c>
      <c r="JJ186" s="1">
        <v>0</v>
      </c>
      <c r="JK186" s="1">
        <v>0</v>
      </c>
      <c r="JL186" s="1">
        <v>0</v>
      </c>
      <c r="JM186" s="1">
        <v>0</v>
      </c>
      <c r="JN186" s="1">
        <v>0</v>
      </c>
      <c r="JO186" s="1">
        <v>0</v>
      </c>
      <c r="JP186" s="1">
        <v>0</v>
      </c>
      <c r="JQ186" s="9"/>
      <c r="JR186" s="1">
        <f t="shared" si="38"/>
        <v>53388.706500000008</v>
      </c>
      <c r="JS186" s="1">
        <f t="shared" si="38"/>
        <v>55602.501299999996</v>
      </c>
      <c r="JT186" s="1">
        <f t="shared" si="38"/>
        <v>53652.198960000002</v>
      </c>
      <c r="JU186" s="1">
        <f t="shared" si="36"/>
        <v>52206.230700000007</v>
      </c>
      <c r="JV186" s="1">
        <f t="shared" si="39"/>
        <v>9886.7975000000006</v>
      </c>
      <c r="JW186" s="1">
        <f t="shared" si="39"/>
        <v>10296.7595</v>
      </c>
      <c r="JX186" s="1">
        <f t="shared" si="39"/>
        <v>9935.5924000000014</v>
      </c>
      <c r="JY186" s="1">
        <f t="shared" si="37"/>
        <v>9667.8204999999998</v>
      </c>
    </row>
    <row r="187" spans="1:285" x14ac:dyDescent="0.35">
      <c r="A187" s="2" t="s">
        <v>194</v>
      </c>
      <c r="B187" s="1">
        <v>209142</v>
      </c>
      <c r="C187" s="1">
        <v>207119</v>
      </c>
      <c r="D187" s="1">
        <v>209599</v>
      </c>
      <c r="E187" s="1">
        <v>213976</v>
      </c>
      <c r="F187" s="1">
        <v>145669.69</v>
      </c>
      <c r="G187" s="1">
        <v>149251.80900000001</v>
      </c>
      <c r="H187" s="1">
        <v>140198.068</v>
      </c>
      <c r="I187" s="1">
        <v>137464.12899999999</v>
      </c>
      <c r="J187" s="1">
        <f t="shared" si="40"/>
        <v>29591.93</v>
      </c>
      <c r="K187" s="1">
        <f t="shared" si="41"/>
        <v>33549.879000000001</v>
      </c>
      <c r="L187" s="1">
        <f t="shared" si="42"/>
        <v>32699.170000000002</v>
      </c>
      <c r="M187" s="1">
        <f t="shared" si="43"/>
        <v>31585.850000000006</v>
      </c>
      <c r="N187" s="1">
        <f t="shared" si="44"/>
        <v>116077.76000000001</v>
      </c>
      <c r="O187" s="1">
        <f t="shared" si="45"/>
        <v>115701.93000000001</v>
      </c>
      <c r="P187" s="1">
        <f t="shared" si="46"/>
        <v>107498.898</v>
      </c>
      <c r="Q187" s="1">
        <f t="shared" si="47"/>
        <v>105878.27899999998</v>
      </c>
      <c r="R187" s="1">
        <v>1033.5999999999999</v>
      </c>
      <c r="S187" s="1">
        <v>2227.88</v>
      </c>
      <c r="T187" s="1">
        <v>3115.46</v>
      </c>
      <c r="U187" s="1">
        <v>3086.24</v>
      </c>
      <c r="V187" s="1">
        <v>1033.5999999999999</v>
      </c>
      <c r="W187" s="1">
        <v>0</v>
      </c>
      <c r="X187" s="1">
        <v>0</v>
      </c>
      <c r="Y187" s="1">
        <v>1752.7800000000002</v>
      </c>
      <c r="Z187" s="1">
        <v>475.1</v>
      </c>
      <c r="AA187" s="1">
        <v>0</v>
      </c>
      <c r="AB187" s="1">
        <v>3115.46</v>
      </c>
      <c r="AC187" s="1">
        <v>0</v>
      </c>
      <c r="AD187" s="1">
        <v>0</v>
      </c>
      <c r="AE187" s="1">
        <v>3086.24</v>
      </c>
      <c r="AF187" s="1">
        <v>0</v>
      </c>
      <c r="AG187" s="1">
        <v>0</v>
      </c>
      <c r="AH187" s="1">
        <v>0</v>
      </c>
      <c r="AI187" s="1">
        <v>0</v>
      </c>
      <c r="AJ187" s="1">
        <v>0</v>
      </c>
      <c r="AK187" s="1">
        <v>0</v>
      </c>
      <c r="AL187" s="1">
        <v>0</v>
      </c>
      <c r="AM187" s="1">
        <v>0</v>
      </c>
      <c r="AN187" s="1">
        <v>0</v>
      </c>
      <c r="AO187" s="1">
        <v>0</v>
      </c>
      <c r="AP187" s="1">
        <v>3582.0000000000005</v>
      </c>
      <c r="AQ187" s="1">
        <v>4090.92</v>
      </c>
      <c r="AR187" s="1">
        <v>3640.1400000000003</v>
      </c>
      <c r="AS187" s="1">
        <v>3990.4700000000003</v>
      </c>
      <c r="AT187" s="1">
        <v>0</v>
      </c>
      <c r="AU187" s="1">
        <v>3582.0000000000005</v>
      </c>
      <c r="AV187" s="1">
        <v>0</v>
      </c>
      <c r="AW187" s="1">
        <v>0</v>
      </c>
      <c r="AX187" s="1">
        <v>0</v>
      </c>
      <c r="AY187" s="1">
        <v>4090.92</v>
      </c>
      <c r="AZ187" s="1">
        <v>0</v>
      </c>
      <c r="BA187" s="1">
        <v>0</v>
      </c>
      <c r="BB187" s="1">
        <v>0</v>
      </c>
      <c r="BC187" s="1">
        <v>3640.1400000000003</v>
      </c>
      <c r="BD187" s="1">
        <v>0</v>
      </c>
      <c r="BE187" s="1">
        <v>0</v>
      </c>
      <c r="BF187" s="1">
        <v>3990.4700000000003</v>
      </c>
      <c r="BG187" s="1">
        <v>0</v>
      </c>
      <c r="BH187" s="1">
        <v>0</v>
      </c>
      <c r="BI187" s="1">
        <v>0</v>
      </c>
      <c r="BJ187" s="1">
        <v>0</v>
      </c>
      <c r="BK187" s="1">
        <v>0</v>
      </c>
      <c r="BL187" s="1">
        <v>0</v>
      </c>
      <c r="BM187" s="1">
        <v>0</v>
      </c>
      <c r="BN187" s="1">
        <v>0</v>
      </c>
      <c r="BO187" s="1">
        <v>0</v>
      </c>
      <c r="BP187" s="1">
        <v>0</v>
      </c>
      <c r="BQ187" s="1">
        <v>0</v>
      </c>
      <c r="BR187" s="1">
        <v>0</v>
      </c>
      <c r="BS187" s="1">
        <v>0</v>
      </c>
      <c r="BT187" s="1">
        <v>0</v>
      </c>
      <c r="BU187" s="1">
        <v>8649.67</v>
      </c>
      <c r="BV187" s="1">
        <v>9084.5580000000009</v>
      </c>
      <c r="BW187" s="1">
        <v>8629.61</v>
      </c>
      <c r="BX187" s="1">
        <v>6929.8</v>
      </c>
      <c r="BY187" s="1">
        <v>8612.18</v>
      </c>
      <c r="BZ187" s="1">
        <v>9021.2479999999996</v>
      </c>
      <c r="CA187" s="1">
        <v>8546.880000000001</v>
      </c>
      <c r="CB187" s="1">
        <v>6855.67</v>
      </c>
      <c r="CC187" s="1">
        <v>37.49</v>
      </c>
      <c r="CD187" s="1">
        <v>63.31</v>
      </c>
      <c r="CE187" s="1">
        <v>82.72999999999999</v>
      </c>
      <c r="CF187" s="1">
        <v>74.13</v>
      </c>
      <c r="CG187" s="1">
        <v>0</v>
      </c>
      <c r="CH187" s="1">
        <v>0</v>
      </c>
      <c r="CI187" s="1">
        <v>0</v>
      </c>
      <c r="CJ187" s="1">
        <v>0</v>
      </c>
      <c r="CK187" s="1">
        <v>0</v>
      </c>
      <c r="CL187" s="1">
        <v>0</v>
      </c>
      <c r="CM187" s="1">
        <v>0</v>
      </c>
      <c r="CN187" s="1">
        <v>0</v>
      </c>
      <c r="CO187" s="1">
        <v>0</v>
      </c>
      <c r="CP187" s="1">
        <v>0</v>
      </c>
      <c r="CQ187" s="1">
        <v>0</v>
      </c>
      <c r="CR187" s="1">
        <v>0</v>
      </c>
      <c r="CS187" s="1">
        <v>1967.36</v>
      </c>
      <c r="CT187" s="1">
        <v>1882.97</v>
      </c>
      <c r="CU187" s="1">
        <v>1840.05</v>
      </c>
      <c r="CV187" s="1">
        <v>1776.26</v>
      </c>
      <c r="CW187" s="1">
        <v>1929.95</v>
      </c>
      <c r="CX187" s="1">
        <v>1855.31</v>
      </c>
      <c r="CY187" s="1">
        <v>1689.86</v>
      </c>
      <c r="CZ187" s="1">
        <v>1590.27</v>
      </c>
      <c r="DA187" s="1">
        <v>15.76</v>
      </c>
      <c r="DB187" s="1">
        <v>25.17</v>
      </c>
      <c r="DC187" s="1">
        <v>21.51</v>
      </c>
      <c r="DD187" s="1">
        <v>13.03</v>
      </c>
      <c r="DE187" s="1">
        <v>0</v>
      </c>
      <c r="DF187" s="1">
        <v>0</v>
      </c>
      <c r="DG187" s="1">
        <v>0</v>
      </c>
      <c r="DH187" s="1">
        <v>0</v>
      </c>
      <c r="DI187" s="1">
        <v>21.65</v>
      </c>
      <c r="DJ187" s="1">
        <v>2.4900000000000002</v>
      </c>
      <c r="DK187" s="1">
        <v>128.68</v>
      </c>
      <c r="DL187" s="1">
        <v>172.96</v>
      </c>
      <c r="DM187" s="1">
        <v>5462.9</v>
      </c>
      <c r="DN187" s="1">
        <v>5722.21</v>
      </c>
      <c r="DO187" s="1">
        <v>5302.5599999999986</v>
      </c>
      <c r="DP187" s="1">
        <v>5062.9799999999996</v>
      </c>
      <c r="DQ187" s="1">
        <v>5462.82</v>
      </c>
      <c r="DR187" s="1">
        <v>5722.18</v>
      </c>
      <c r="DS187" s="1">
        <v>5302.5599999999986</v>
      </c>
      <c r="DT187" s="1">
        <v>5062.9799999999996</v>
      </c>
      <c r="DU187" s="1">
        <v>0.08</v>
      </c>
      <c r="DV187" s="1">
        <v>0.03</v>
      </c>
      <c r="DW187" s="1">
        <v>0</v>
      </c>
      <c r="DX187" s="1">
        <v>0</v>
      </c>
      <c r="DY187" s="1">
        <v>0</v>
      </c>
      <c r="DZ187" s="1">
        <v>0</v>
      </c>
      <c r="EA187" s="1">
        <v>0</v>
      </c>
      <c r="EB187" s="1">
        <v>0</v>
      </c>
      <c r="EC187" s="1">
        <v>0</v>
      </c>
      <c r="ED187" s="1">
        <v>0</v>
      </c>
      <c r="EE187" s="1">
        <v>0</v>
      </c>
      <c r="EF187" s="1">
        <v>0</v>
      </c>
      <c r="EG187" s="1">
        <v>0</v>
      </c>
      <c r="EH187" s="1">
        <v>0</v>
      </c>
      <c r="EI187" s="1">
        <v>0</v>
      </c>
      <c r="EJ187" s="1">
        <v>0</v>
      </c>
      <c r="EK187" s="1">
        <v>3436.7</v>
      </c>
      <c r="EL187" s="1">
        <v>3450.5909999999999</v>
      </c>
      <c r="EM187" s="1">
        <v>3215.8</v>
      </c>
      <c r="EN187" s="1">
        <v>3756.83</v>
      </c>
      <c r="EO187" s="1">
        <v>3436.7</v>
      </c>
      <c r="EP187" s="1">
        <v>3408.6109999999999</v>
      </c>
      <c r="EQ187" s="1">
        <v>3180.07</v>
      </c>
      <c r="ER187" s="1">
        <v>3739.19</v>
      </c>
      <c r="ES187" s="1">
        <v>0</v>
      </c>
      <c r="ET187" s="1">
        <v>0</v>
      </c>
      <c r="EU187" s="1">
        <v>0</v>
      </c>
      <c r="EV187" s="1">
        <v>0</v>
      </c>
      <c r="EW187" s="1">
        <v>0</v>
      </c>
      <c r="EX187" s="1">
        <v>0</v>
      </c>
      <c r="EY187" s="1">
        <v>0</v>
      </c>
      <c r="EZ187" s="1">
        <v>0</v>
      </c>
      <c r="FA187" s="1">
        <v>0</v>
      </c>
      <c r="FB187" s="1">
        <v>41.98</v>
      </c>
      <c r="FC187" s="1">
        <v>35.729999999999997</v>
      </c>
      <c r="FD187" s="1">
        <v>17.64</v>
      </c>
      <c r="FE187" s="1">
        <v>316.5</v>
      </c>
      <c r="FF187" s="1">
        <v>346.91</v>
      </c>
      <c r="FG187" s="1">
        <v>382.22</v>
      </c>
      <c r="FH187" s="1">
        <v>445.88</v>
      </c>
      <c r="FI187" s="1">
        <v>35.72</v>
      </c>
      <c r="FJ187" s="1">
        <v>47.98</v>
      </c>
      <c r="FK187" s="1">
        <v>44.84</v>
      </c>
      <c r="FL187" s="1">
        <v>54.9</v>
      </c>
      <c r="FM187" s="1">
        <v>280.77999999999997</v>
      </c>
      <c r="FN187" s="1">
        <v>298.93</v>
      </c>
      <c r="FO187" s="1">
        <v>337.38</v>
      </c>
      <c r="FP187" s="1">
        <v>390.98</v>
      </c>
      <c r="FQ187" s="1">
        <v>0</v>
      </c>
      <c r="FR187" s="1">
        <v>0</v>
      </c>
      <c r="FS187" s="1">
        <v>0</v>
      </c>
      <c r="FT187" s="1">
        <v>0</v>
      </c>
      <c r="FU187" s="1">
        <v>0</v>
      </c>
      <c r="FV187" s="1">
        <v>0</v>
      </c>
      <c r="FW187" s="1">
        <v>0</v>
      </c>
      <c r="FX187" s="1">
        <v>0</v>
      </c>
      <c r="FY187" s="1">
        <v>0</v>
      </c>
      <c r="FZ187" s="1">
        <v>0</v>
      </c>
      <c r="GA187" s="1">
        <v>0</v>
      </c>
      <c r="GB187" s="1">
        <v>0</v>
      </c>
      <c r="GC187" s="1">
        <v>954.01</v>
      </c>
      <c r="GD187" s="1">
        <v>1071.23</v>
      </c>
      <c r="GE187" s="1">
        <v>1223.6400000000001</v>
      </c>
      <c r="GF187" s="1">
        <v>747.63</v>
      </c>
      <c r="GG187" s="1">
        <v>434.31</v>
      </c>
      <c r="GH187" s="1">
        <v>690.21</v>
      </c>
      <c r="GI187" s="1">
        <v>756.74</v>
      </c>
      <c r="GJ187" s="1">
        <v>436.93</v>
      </c>
      <c r="GK187" s="1">
        <v>511.26</v>
      </c>
      <c r="GL187" s="1">
        <v>381.02</v>
      </c>
      <c r="GM187" s="1">
        <v>466.9</v>
      </c>
      <c r="GN187" s="1">
        <v>310.7</v>
      </c>
      <c r="GO187" s="1">
        <v>0</v>
      </c>
      <c r="GP187" s="1">
        <v>0</v>
      </c>
      <c r="GQ187" s="1">
        <v>0</v>
      </c>
      <c r="GR187" s="1">
        <v>0</v>
      </c>
      <c r="GS187" s="1">
        <v>0</v>
      </c>
      <c r="GT187" s="1">
        <v>0</v>
      </c>
      <c r="GU187" s="1">
        <v>0</v>
      </c>
      <c r="GV187" s="1">
        <v>0</v>
      </c>
      <c r="GW187" s="1">
        <v>0</v>
      </c>
      <c r="GX187" s="1">
        <v>0</v>
      </c>
      <c r="GY187" s="1">
        <v>0</v>
      </c>
      <c r="GZ187" s="1">
        <v>0</v>
      </c>
      <c r="HA187" s="1">
        <v>8.44</v>
      </c>
      <c r="HB187" s="1">
        <v>0</v>
      </c>
      <c r="HC187" s="1">
        <v>0</v>
      </c>
      <c r="HD187" s="1">
        <v>0</v>
      </c>
      <c r="HE187" s="1">
        <v>3351.29</v>
      </c>
      <c r="HF187" s="1">
        <v>4997.26</v>
      </c>
      <c r="HG187" s="1">
        <v>4544.04</v>
      </c>
      <c r="HH187" s="1">
        <v>4700.8999999999996</v>
      </c>
      <c r="HI187" s="1">
        <v>1984.13</v>
      </c>
      <c r="HJ187" s="1">
        <v>2918.7</v>
      </c>
      <c r="HK187" s="1">
        <v>3012.06</v>
      </c>
      <c r="HL187" s="1">
        <v>3137.09</v>
      </c>
      <c r="HM187" s="1">
        <v>0</v>
      </c>
      <c r="HN187" s="1">
        <v>0</v>
      </c>
      <c r="HO187" s="1">
        <v>0</v>
      </c>
      <c r="HP187" s="1">
        <v>0</v>
      </c>
      <c r="HQ187" s="1">
        <v>0</v>
      </c>
      <c r="HR187" s="1">
        <v>0</v>
      </c>
      <c r="HS187" s="1">
        <v>0</v>
      </c>
      <c r="HT187" s="1">
        <v>0</v>
      </c>
      <c r="HU187" s="1">
        <v>0</v>
      </c>
      <c r="HV187" s="1">
        <v>0</v>
      </c>
      <c r="HW187" s="1">
        <v>0</v>
      </c>
      <c r="HX187" s="1">
        <v>0</v>
      </c>
      <c r="HY187" s="1">
        <v>0</v>
      </c>
      <c r="HZ187" s="1">
        <v>0</v>
      </c>
      <c r="IA187" s="1">
        <v>0</v>
      </c>
      <c r="IB187" s="1">
        <v>0</v>
      </c>
      <c r="IC187" s="1">
        <v>1365.65</v>
      </c>
      <c r="ID187" s="1">
        <v>1948.12</v>
      </c>
      <c r="IE187" s="1">
        <v>1277.5899999999999</v>
      </c>
      <c r="IF187" s="1">
        <v>1563.81</v>
      </c>
      <c r="IG187" s="1">
        <v>0</v>
      </c>
      <c r="IH187" s="1">
        <v>130.44</v>
      </c>
      <c r="II187" s="1">
        <v>254.39</v>
      </c>
      <c r="IJ187" s="1">
        <v>0</v>
      </c>
      <c r="IK187" s="1">
        <v>1.51</v>
      </c>
      <c r="IL187" s="1">
        <v>0</v>
      </c>
      <c r="IM187" s="1">
        <v>0</v>
      </c>
      <c r="IN187" s="1">
        <v>0</v>
      </c>
      <c r="IO187" s="1">
        <v>837.90000000000009</v>
      </c>
      <c r="IP187" s="1">
        <v>675.34999999999991</v>
      </c>
      <c r="IQ187" s="1">
        <v>805.64999999999986</v>
      </c>
      <c r="IR187" s="1">
        <v>1088.8599999999999</v>
      </c>
      <c r="IS187" s="1">
        <v>582.27</v>
      </c>
      <c r="IT187" s="1">
        <v>484.84</v>
      </c>
      <c r="IU187" s="1">
        <v>572.19999999999993</v>
      </c>
      <c r="IV187" s="1">
        <v>933.51</v>
      </c>
      <c r="IW187" s="1">
        <v>255.63</v>
      </c>
      <c r="IX187" s="1">
        <v>190.51</v>
      </c>
      <c r="IY187" s="1">
        <v>233.45</v>
      </c>
      <c r="IZ187" s="1">
        <v>155.35</v>
      </c>
      <c r="JA187" s="1">
        <v>0</v>
      </c>
      <c r="JB187" s="1">
        <v>0</v>
      </c>
      <c r="JC187" s="1">
        <v>0</v>
      </c>
      <c r="JD187" s="1">
        <v>0</v>
      </c>
      <c r="JE187" s="1">
        <v>0</v>
      </c>
      <c r="JF187" s="1">
        <v>0</v>
      </c>
      <c r="JG187" s="1">
        <v>0</v>
      </c>
      <c r="JH187" s="1">
        <v>0</v>
      </c>
      <c r="JI187" s="1">
        <v>0</v>
      </c>
      <c r="JJ187" s="1">
        <v>0</v>
      </c>
      <c r="JK187" s="1">
        <v>0</v>
      </c>
      <c r="JL187" s="1">
        <v>0</v>
      </c>
      <c r="JM187" s="1">
        <v>0</v>
      </c>
      <c r="JN187" s="1">
        <v>0</v>
      </c>
      <c r="JO187" s="1">
        <v>0</v>
      </c>
      <c r="JP187" s="1">
        <v>0</v>
      </c>
      <c r="JQ187" s="9"/>
      <c r="JR187" s="1">
        <f t="shared" si="38"/>
        <v>31340.995200000005</v>
      </c>
      <c r="JS187" s="1">
        <f t="shared" si="38"/>
        <v>31239.521100000005</v>
      </c>
      <c r="JT187" s="1">
        <f t="shared" si="38"/>
        <v>29024.70246</v>
      </c>
      <c r="JU187" s="1">
        <f t="shared" si="36"/>
        <v>28587.135329999997</v>
      </c>
      <c r="JV187" s="1">
        <f t="shared" si="39"/>
        <v>5803.8880000000008</v>
      </c>
      <c r="JW187" s="1">
        <f t="shared" si="39"/>
        <v>5785.0965000000006</v>
      </c>
      <c r="JX187" s="1">
        <f t="shared" si="39"/>
        <v>5374.9449000000004</v>
      </c>
      <c r="JY187" s="1">
        <f t="shared" si="37"/>
        <v>5293.9139499999992</v>
      </c>
    </row>
    <row r="188" spans="1:285" x14ac:dyDescent="0.35">
      <c r="A188" s="2" t="s">
        <v>195</v>
      </c>
      <c r="B188" s="1">
        <v>145912</v>
      </c>
      <c r="C188" s="1">
        <v>147786</v>
      </c>
      <c r="D188" s="1">
        <v>152550</v>
      </c>
      <c r="E188" s="1">
        <v>158317</v>
      </c>
      <c r="F188" s="1">
        <v>30269.393</v>
      </c>
      <c r="G188" s="1">
        <v>28654.17</v>
      </c>
      <c r="H188" s="1">
        <v>25184.206999999999</v>
      </c>
      <c r="I188" s="1">
        <v>23881.825000000001</v>
      </c>
      <c r="J188" s="1">
        <f t="shared" si="40"/>
        <v>20514.212</v>
      </c>
      <c r="K188" s="1">
        <f t="shared" si="41"/>
        <v>18634.399999999998</v>
      </c>
      <c r="L188" s="1">
        <f t="shared" si="42"/>
        <v>17303.471000000001</v>
      </c>
      <c r="M188" s="1">
        <f t="shared" si="43"/>
        <v>15935.64</v>
      </c>
      <c r="N188" s="1">
        <f t="shared" si="44"/>
        <v>9755.1810000000005</v>
      </c>
      <c r="O188" s="1">
        <f t="shared" si="45"/>
        <v>10019.77</v>
      </c>
      <c r="P188" s="1">
        <f t="shared" si="46"/>
        <v>7880.7359999999971</v>
      </c>
      <c r="Q188" s="1">
        <f t="shared" si="47"/>
        <v>7946.1850000000013</v>
      </c>
      <c r="R188" s="1">
        <v>0</v>
      </c>
      <c r="S188" s="1">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1">
        <v>0</v>
      </c>
      <c r="AJ188" s="1">
        <v>0</v>
      </c>
      <c r="AK188" s="1">
        <v>0</v>
      </c>
      <c r="AL188" s="1">
        <v>0</v>
      </c>
      <c r="AM188" s="1">
        <v>0</v>
      </c>
      <c r="AN188" s="1">
        <v>0</v>
      </c>
      <c r="AO188" s="1">
        <v>0</v>
      </c>
      <c r="AP188" s="1">
        <v>6320.9</v>
      </c>
      <c r="AQ188" s="1">
        <v>5643.4</v>
      </c>
      <c r="AR188" s="1">
        <v>5466.86</v>
      </c>
      <c r="AS188" s="1">
        <v>5592.43</v>
      </c>
      <c r="AT188" s="1">
        <v>0</v>
      </c>
      <c r="AU188" s="1">
        <v>6320.9</v>
      </c>
      <c r="AV188" s="1">
        <v>0</v>
      </c>
      <c r="AW188" s="1">
        <v>0</v>
      </c>
      <c r="AX188" s="1">
        <v>0</v>
      </c>
      <c r="AY188" s="1">
        <v>5633.28</v>
      </c>
      <c r="AZ188" s="1">
        <v>0</v>
      </c>
      <c r="BA188" s="1">
        <v>0</v>
      </c>
      <c r="BB188" s="1">
        <v>0</v>
      </c>
      <c r="BC188" s="1">
        <v>5466.86</v>
      </c>
      <c r="BD188" s="1">
        <v>0</v>
      </c>
      <c r="BE188" s="1">
        <v>0</v>
      </c>
      <c r="BF188" s="1">
        <v>5592.43</v>
      </c>
      <c r="BG188" s="1">
        <v>0</v>
      </c>
      <c r="BH188" s="1">
        <v>0</v>
      </c>
      <c r="BI188" s="1">
        <v>0</v>
      </c>
      <c r="BJ188" s="1">
        <v>0</v>
      </c>
      <c r="BK188" s="1">
        <v>0</v>
      </c>
      <c r="BL188" s="1">
        <v>0</v>
      </c>
      <c r="BM188" s="1">
        <v>0</v>
      </c>
      <c r="BN188" s="1">
        <v>10.119999999999999</v>
      </c>
      <c r="BO188" s="1">
        <v>0</v>
      </c>
      <c r="BP188" s="1">
        <v>0</v>
      </c>
      <c r="BQ188" s="1">
        <v>0</v>
      </c>
      <c r="BR188" s="1">
        <v>0</v>
      </c>
      <c r="BS188" s="1">
        <v>0</v>
      </c>
      <c r="BT188" s="1">
        <v>0</v>
      </c>
      <c r="BU188" s="1">
        <v>5913.1</v>
      </c>
      <c r="BV188" s="1">
        <v>4748.99</v>
      </c>
      <c r="BW188" s="1">
        <v>4314.3999999999996</v>
      </c>
      <c r="BX188" s="1">
        <v>4041.63</v>
      </c>
      <c r="BY188" s="1">
        <v>4819.92</v>
      </c>
      <c r="BZ188" s="1">
        <v>4748.99</v>
      </c>
      <c r="CA188" s="1">
        <v>4314.3999999999996</v>
      </c>
      <c r="CB188" s="1">
        <v>4041.63</v>
      </c>
      <c r="CC188" s="1">
        <v>0</v>
      </c>
      <c r="CD188" s="1">
        <v>0</v>
      </c>
      <c r="CE188" s="1">
        <v>0</v>
      </c>
      <c r="CF188" s="1">
        <v>0</v>
      </c>
      <c r="CG188" s="1">
        <v>215.51</v>
      </c>
      <c r="CH188" s="1">
        <v>0</v>
      </c>
      <c r="CI188" s="1">
        <v>0</v>
      </c>
      <c r="CJ188" s="1">
        <v>0</v>
      </c>
      <c r="CK188" s="1">
        <v>826.7299999999999</v>
      </c>
      <c r="CL188" s="1">
        <v>0</v>
      </c>
      <c r="CM188" s="1">
        <v>0</v>
      </c>
      <c r="CN188" s="1">
        <v>0</v>
      </c>
      <c r="CO188" s="1">
        <v>50.94</v>
      </c>
      <c r="CP188" s="1">
        <v>0</v>
      </c>
      <c r="CQ188" s="1">
        <v>0</v>
      </c>
      <c r="CR188" s="1">
        <v>0</v>
      </c>
      <c r="CS188" s="1">
        <v>1105.5899999999999</v>
      </c>
      <c r="CT188" s="1">
        <v>1021.59</v>
      </c>
      <c r="CU188" s="1">
        <v>985.31</v>
      </c>
      <c r="CV188" s="1">
        <v>968.34999999999991</v>
      </c>
      <c r="CW188" s="1">
        <v>1105.5899999999999</v>
      </c>
      <c r="CX188" s="1">
        <v>1021.59</v>
      </c>
      <c r="CY188" s="1">
        <v>985.31</v>
      </c>
      <c r="CZ188" s="1">
        <v>968.34999999999991</v>
      </c>
      <c r="DA188" s="1">
        <v>0</v>
      </c>
      <c r="DB188" s="1">
        <v>0</v>
      </c>
      <c r="DC188" s="1">
        <v>0</v>
      </c>
      <c r="DD188" s="1">
        <v>0</v>
      </c>
      <c r="DE188" s="1">
        <v>0</v>
      </c>
      <c r="DF188" s="1">
        <v>0</v>
      </c>
      <c r="DG188" s="1">
        <v>0</v>
      </c>
      <c r="DH188" s="1">
        <v>0</v>
      </c>
      <c r="DI188" s="1">
        <v>0</v>
      </c>
      <c r="DJ188" s="1">
        <v>0</v>
      </c>
      <c r="DK188" s="1">
        <v>0</v>
      </c>
      <c r="DL188" s="1">
        <v>0</v>
      </c>
      <c r="DM188" s="1">
        <v>4381.01</v>
      </c>
      <c r="DN188" s="1">
        <v>3849.02</v>
      </c>
      <c r="DO188" s="1">
        <v>3668.3130000000001</v>
      </c>
      <c r="DP188" s="1">
        <v>3337.4299999999989</v>
      </c>
      <c r="DQ188" s="1">
        <v>4381.01</v>
      </c>
      <c r="DR188" s="1">
        <v>3849.02</v>
      </c>
      <c r="DS188" s="1">
        <v>3668.3130000000001</v>
      </c>
      <c r="DT188" s="1">
        <v>3337.4299999999989</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1578.87</v>
      </c>
      <c r="EL188" s="1">
        <v>2139.5</v>
      </c>
      <c r="EM188" s="1">
        <v>1686.2239999999999</v>
      </c>
      <c r="EN188" s="1">
        <v>1229.17</v>
      </c>
      <c r="EO188" s="1">
        <v>1578.87</v>
      </c>
      <c r="EP188" s="1">
        <v>2139.5</v>
      </c>
      <c r="EQ188" s="1">
        <v>1686.2239999999999</v>
      </c>
      <c r="ER188" s="1">
        <v>1229.17</v>
      </c>
      <c r="ES188" s="1">
        <v>0</v>
      </c>
      <c r="ET188" s="1">
        <v>0</v>
      </c>
      <c r="EU188" s="1">
        <v>0</v>
      </c>
      <c r="EV188" s="1">
        <v>0</v>
      </c>
      <c r="EW188" s="1">
        <v>0</v>
      </c>
      <c r="EX188" s="1">
        <v>0</v>
      </c>
      <c r="EY188" s="1">
        <v>0</v>
      </c>
      <c r="EZ188" s="1">
        <v>0</v>
      </c>
      <c r="FA188" s="1">
        <v>0</v>
      </c>
      <c r="FB188" s="1">
        <v>0</v>
      </c>
      <c r="FC188" s="1">
        <v>0</v>
      </c>
      <c r="FD188" s="1">
        <v>0</v>
      </c>
      <c r="FE188" s="1">
        <v>72.382000000000005</v>
      </c>
      <c r="FF188" s="1">
        <v>66.599999999999994</v>
      </c>
      <c r="FG188" s="1">
        <v>87.424000000000007</v>
      </c>
      <c r="FH188" s="1">
        <v>65.59</v>
      </c>
      <c r="FI188" s="1">
        <v>0</v>
      </c>
      <c r="FJ188" s="1">
        <v>0</v>
      </c>
      <c r="FK188" s="1">
        <v>0</v>
      </c>
      <c r="FL188" s="1">
        <v>0</v>
      </c>
      <c r="FM188" s="1">
        <v>72.382000000000005</v>
      </c>
      <c r="FN188" s="1">
        <v>66.599999999999994</v>
      </c>
      <c r="FO188" s="1">
        <v>87.424000000000007</v>
      </c>
      <c r="FP188" s="1">
        <v>65.59</v>
      </c>
      <c r="FQ188" s="1">
        <v>0</v>
      </c>
      <c r="FR188" s="1">
        <v>0</v>
      </c>
      <c r="FS188" s="1">
        <v>0</v>
      </c>
      <c r="FT188" s="1">
        <v>0</v>
      </c>
      <c r="FU188" s="1">
        <v>0</v>
      </c>
      <c r="FV188" s="1">
        <v>0</v>
      </c>
      <c r="FW188" s="1">
        <v>0</v>
      </c>
      <c r="FX188" s="1">
        <v>0</v>
      </c>
      <c r="FY188" s="1">
        <v>0</v>
      </c>
      <c r="FZ188" s="1">
        <v>0</v>
      </c>
      <c r="GA188" s="1">
        <v>0</v>
      </c>
      <c r="GB188" s="1">
        <v>0</v>
      </c>
      <c r="GC188" s="1">
        <v>252.52</v>
      </c>
      <c r="GD188" s="1">
        <v>254.05</v>
      </c>
      <c r="GE188" s="1">
        <v>358.33</v>
      </c>
      <c r="GF188" s="1">
        <v>216.23</v>
      </c>
      <c r="GG188" s="1">
        <v>78.37</v>
      </c>
      <c r="GH188" s="1">
        <v>115.57</v>
      </c>
      <c r="GI188" s="1">
        <v>96.33</v>
      </c>
      <c r="GJ188" s="1">
        <v>110.13</v>
      </c>
      <c r="GK188" s="1">
        <v>174.15</v>
      </c>
      <c r="GL188" s="1">
        <v>138.47999999999999</v>
      </c>
      <c r="GM188" s="1">
        <v>262</v>
      </c>
      <c r="GN188" s="1">
        <v>106.1</v>
      </c>
      <c r="GO188" s="1">
        <v>0</v>
      </c>
      <c r="GP188" s="1">
        <v>0</v>
      </c>
      <c r="GQ188" s="1">
        <v>0</v>
      </c>
      <c r="GR188" s="1">
        <v>0</v>
      </c>
      <c r="GS188" s="1">
        <v>0</v>
      </c>
      <c r="GT188" s="1">
        <v>0</v>
      </c>
      <c r="GU188" s="1">
        <v>0</v>
      </c>
      <c r="GV188" s="1">
        <v>0</v>
      </c>
      <c r="GW188" s="1">
        <v>0</v>
      </c>
      <c r="GX188" s="1">
        <v>0</v>
      </c>
      <c r="GY188" s="1">
        <v>0</v>
      </c>
      <c r="GZ188" s="1">
        <v>0</v>
      </c>
      <c r="HA188" s="1">
        <v>0</v>
      </c>
      <c r="HB188" s="1">
        <v>0</v>
      </c>
      <c r="HC188" s="1">
        <v>0</v>
      </c>
      <c r="HD188" s="1">
        <v>0</v>
      </c>
      <c r="HE188" s="1">
        <v>323.04000000000002</v>
      </c>
      <c r="HF188" s="1">
        <v>0</v>
      </c>
      <c r="HG188" s="1">
        <v>0</v>
      </c>
      <c r="HH188" s="1">
        <v>0</v>
      </c>
      <c r="HI188" s="1">
        <v>218.7</v>
      </c>
      <c r="HJ188" s="1">
        <v>0</v>
      </c>
      <c r="HK188" s="1">
        <v>0</v>
      </c>
      <c r="HL188" s="1">
        <v>0</v>
      </c>
      <c r="HM188" s="1">
        <v>0</v>
      </c>
      <c r="HN188" s="1">
        <v>0</v>
      </c>
      <c r="HO188" s="1">
        <v>0</v>
      </c>
      <c r="HP188" s="1">
        <v>0</v>
      </c>
      <c r="HQ188" s="1">
        <v>0</v>
      </c>
      <c r="HR188" s="1">
        <v>0</v>
      </c>
      <c r="HS188" s="1">
        <v>0</v>
      </c>
      <c r="HT188" s="1">
        <v>0</v>
      </c>
      <c r="HU188" s="1">
        <v>104.34</v>
      </c>
      <c r="HV188" s="1">
        <v>0</v>
      </c>
      <c r="HW188" s="1">
        <v>0</v>
      </c>
      <c r="HX188" s="1">
        <v>0</v>
      </c>
      <c r="HY188" s="1">
        <v>0</v>
      </c>
      <c r="HZ188" s="1">
        <v>0</v>
      </c>
      <c r="IA188" s="1">
        <v>0</v>
      </c>
      <c r="IB188" s="1">
        <v>0</v>
      </c>
      <c r="IC188" s="1">
        <v>0</v>
      </c>
      <c r="ID188" s="1">
        <v>0</v>
      </c>
      <c r="IE188" s="1">
        <v>0</v>
      </c>
      <c r="IF188" s="1">
        <v>0</v>
      </c>
      <c r="IG188" s="1">
        <v>0</v>
      </c>
      <c r="IH188" s="1">
        <v>0</v>
      </c>
      <c r="II188" s="1">
        <v>0</v>
      </c>
      <c r="IJ188" s="1">
        <v>0</v>
      </c>
      <c r="IK188" s="1">
        <v>0</v>
      </c>
      <c r="IL188" s="1">
        <v>0</v>
      </c>
      <c r="IM188" s="1">
        <v>0</v>
      </c>
      <c r="IN188" s="1">
        <v>0</v>
      </c>
      <c r="IO188" s="1">
        <v>566.79999999999995</v>
      </c>
      <c r="IP188" s="1">
        <v>911.25</v>
      </c>
      <c r="IQ188" s="1">
        <v>736.61</v>
      </c>
      <c r="IR188" s="1">
        <v>484.81000000000012</v>
      </c>
      <c r="IS188" s="1">
        <v>556.78</v>
      </c>
      <c r="IT188" s="1">
        <v>894.75</v>
      </c>
      <c r="IU188" s="1">
        <v>736.61</v>
      </c>
      <c r="IV188" s="1">
        <v>484.81000000000012</v>
      </c>
      <c r="IW188" s="1">
        <v>0</v>
      </c>
      <c r="IX188" s="1">
        <v>0</v>
      </c>
      <c r="IY188" s="1">
        <v>0</v>
      </c>
      <c r="IZ188" s="1">
        <v>0</v>
      </c>
      <c r="JA188" s="1">
        <v>0</v>
      </c>
      <c r="JB188" s="1">
        <v>3.19</v>
      </c>
      <c r="JC188" s="1">
        <v>0</v>
      </c>
      <c r="JD188" s="1">
        <v>0</v>
      </c>
      <c r="JE188" s="1">
        <v>0</v>
      </c>
      <c r="JF188" s="1">
        <v>3.19</v>
      </c>
      <c r="JG188" s="1">
        <v>0</v>
      </c>
      <c r="JH188" s="1">
        <v>0</v>
      </c>
      <c r="JI188" s="1">
        <v>0</v>
      </c>
      <c r="JJ188" s="1">
        <v>0</v>
      </c>
      <c r="JK188" s="1">
        <v>0</v>
      </c>
      <c r="JL188" s="1">
        <v>0</v>
      </c>
      <c r="JM188" s="1">
        <v>10.02</v>
      </c>
      <c r="JN188" s="1">
        <v>10.119999999999999</v>
      </c>
      <c r="JO188" s="1">
        <v>0</v>
      </c>
      <c r="JP188" s="1">
        <v>0</v>
      </c>
      <c r="JQ188" s="9"/>
      <c r="JR188" s="1">
        <f t="shared" si="38"/>
        <v>2633.8988700000004</v>
      </c>
      <c r="JS188" s="1">
        <f t="shared" si="38"/>
        <v>2705.3379000000004</v>
      </c>
      <c r="JT188" s="1">
        <f t="shared" si="38"/>
        <v>2127.7987199999993</v>
      </c>
      <c r="JU188" s="1">
        <f t="shared" si="36"/>
        <v>2145.4699500000006</v>
      </c>
      <c r="JV188" s="1">
        <f t="shared" si="39"/>
        <v>487.75905000000006</v>
      </c>
      <c r="JW188" s="1">
        <f t="shared" si="39"/>
        <v>500.98850000000004</v>
      </c>
      <c r="JX188" s="1">
        <f t="shared" si="39"/>
        <v>394.03679999999986</v>
      </c>
      <c r="JY188" s="1">
        <f t="shared" si="37"/>
        <v>397.30925000000008</v>
      </c>
    </row>
    <row r="189" spans="1:285" x14ac:dyDescent="0.35">
      <c r="A189" s="2" t="s">
        <v>196</v>
      </c>
      <c r="B189" s="1">
        <v>173879</v>
      </c>
      <c r="C189" s="1">
        <v>173371</v>
      </c>
      <c r="D189" s="1">
        <v>176178</v>
      </c>
      <c r="E189" s="1">
        <v>179863</v>
      </c>
      <c r="F189" s="1">
        <v>119339.19</v>
      </c>
      <c r="G189" s="1">
        <v>127352.34</v>
      </c>
      <c r="H189" s="1">
        <v>115247.4</v>
      </c>
      <c r="I189" s="1">
        <v>115361.16</v>
      </c>
      <c r="J189" s="1">
        <f t="shared" si="40"/>
        <v>30513.649999999998</v>
      </c>
      <c r="K189" s="1">
        <f t="shared" si="41"/>
        <v>51249.75</v>
      </c>
      <c r="L189" s="1">
        <f t="shared" si="42"/>
        <v>43794.749999999993</v>
      </c>
      <c r="M189" s="1">
        <f t="shared" si="43"/>
        <v>44127.87</v>
      </c>
      <c r="N189" s="1">
        <f t="shared" si="44"/>
        <v>88825.540000000008</v>
      </c>
      <c r="O189" s="1">
        <f t="shared" si="45"/>
        <v>76102.59</v>
      </c>
      <c r="P189" s="1">
        <f t="shared" si="46"/>
        <v>71452.649999999994</v>
      </c>
      <c r="Q189" s="1">
        <f t="shared" si="47"/>
        <v>71233.290000000008</v>
      </c>
      <c r="R189" s="1">
        <v>135.63999999999999</v>
      </c>
      <c r="S189" s="1">
        <v>7023.37</v>
      </c>
      <c r="T189" s="1">
        <v>6685.92</v>
      </c>
      <c r="U189" s="1">
        <v>6564.9500000000007</v>
      </c>
      <c r="V189" s="1">
        <v>0</v>
      </c>
      <c r="W189" s="1">
        <v>0</v>
      </c>
      <c r="X189" s="1">
        <v>135.63999999999999</v>
      </c>
      <c r="Y189" s="1">
        <v>0</v>
      </c>
      <c r="Z189" s="1">
        <v>0</v>
      </c>
      <c r="AA189" s="1">
        <v>7023.37</v>
      </c>
      <c r="AB189" s="1">
        <v>0</v>
      </c>
      <c r="AC189" s="1">
        <v>0</v>
      </c>
      <c r="AD189" s="1">
        <v>6685.92</v>
      </c>
      <c r="AE189" s="1">
        <v>0</v>
      </c>
      <c r="AF189" s="1">
        <v>0</v>
      </c>
      <c r="AG189" s="1">
        <v>6564.9500000000007</v>
      </c>
      <c r="AH189" s="1">
        <v>0</v>
      </c>
      <c r="AI189" s="1">
        <v>0</v>
      </c>
      <c r="AJ189" s="1">
        <v>0</v>
      </c>
      <c r="AK189" s="1">
        <v>0</v>
      </c>
      <c r="AL189" s="1">
        <v>0</v>
      </c>
      <c r="AM189" s="1">
        <v>0</v>
      </c>
      <c r="AN189" s="1">
        <v>0</v>
      </c>
      <c r="AO189" s="1">
        <v>0</v>
      </c>
      <c r="AP189" s="1">
        <v>6345.34</v>
      </c>
      <c r="AQ189" s="1">
        <v>6229.2300000000005</v>
      </c>
      <c r="AR189" s="1">
        <v>5780.9800000000005</v>
      </c>
      <c r="AS189" s="1">
        <v>6642.98</v>
      </c>
      <c r="AT189" s="1">
        <v>0</v>
      </c>
      <c r="AU189" s="1">
        <v>6345.34</v>
      </c>
      <c r="AV189" s="1">
        <v>0</v>
      </c>
      <c r="AW189" s="1">
        <v>0</v>
      </c>
      <c r="AX189" s="1">
        <v>0</v>
      </c>
      <c r="AY189" s="1">
        <v>6229.2300000000005</v>
      </c>
      <c r="AZ189" s="1">
        <v>0</v>
      </c>
      <c r="BA189" s="1">
        <v>0</v>
      </c>
      <c r="BB189" s="1">
        <v>0</v>
      </c>
      <c r="BC189" s="1">
        <v>5780.9800000000005</v>
      </c>
      <c r="BD189" s="1">
        <v>0</v>
      </c>
      <c r="BE189" s="1">
        <v>0</v>
      </c>
      <c r="BF189" s="1">
        <v>6642.98</v>
      </c>
      <c r="BG189" s="1">
        <v>0</v>
      </c>
      <c r="BH189" s="1">
        <v>0</v>
      </c>
      <c r="BI189" s="1">
        <v>0</v>
      </c>
      <c r="BJ189" s="1">
        <v>0</v>
      </c>
      <c r="BK189" s="1">
        <v>0</v>
      </c>
      <c r="BL189" s="1">
        <v>0</v>
      </c>
      <c r="BM189" s="1">
        <v>0</v>
      </c>
      <c r="BN189" s="1">
        <v>0</v>
      </c>
      <c r="BO189" s="1">
        <v>0</v>
      </c>
      <c r="BP189" s="1">
        <v>0</v>
      </c>
      <c r="BQ189" s="1">
        <v>0</v>
      </c>
      <c r="BR189" s="1">
        <v>0</v>
      </c>
      <c r="BS189" s="1">
        <v>0</v>
      </c>
      <c r="BT189" s="1">
        <v>0</v>
      </c>
      <c r="BU189" s="1">
        <v>10965.54</v>
      </c>
      <c r="BV189" s="1">
        <v>18599.37</v>
      </c>
      <c r="BW189" s="1">
        <v>13870.85</v>
      </c>
      <c r="BX189" s="1">
        <v>12256.81</v>
      </c>
      <c r="BY189" s="1">
        <v>10876.4</v>
      </c>
      <c r="BZ189" s="1">
        <v>18368.84</v>
      </c>
      <c r="CA189" s="1">
        <v>13672.56</v>
      </c>
      <c r="CB189" s="1">
        <v>12078.43</v>
      </c>
      <c r="CC189" s="1">
        <v>89.140000000000015</v>
      </c>
      <c r="CD189" s="1">
        <v>230.53</v>
      </c>
      <c r="CE189" s="1">
        <v>198.29</v>
      </c>
      <c r="CF189" s="1">
        <v>178.38</v>
      </c>
      <c r="CG189" s="1">
        <v>0</v>
      </c>
      <c r="CH189" s="1">
        <v>0</v>
      </c>
      <c r="CI189" s="1">
        <v>0</v>
      </c>
      <c r="CJ189" s="1">
        <v>0</v>
      </c>
      <c r="CK189" s="1">
        <v>0</v>
      </c>
      <c r="CL189" s="1">
        <v>0</v>
      </c>
      <c r="CM189" s="1">
        <v>0</v>
      </c>
      <c r="CN189" s="1">
        <v>0</v>
      </c>
      <c r="CO189" s="1">
        <v>0</v>
      </c>
      <c r="CP189" s="1">
        <v>0</v>
      </c>
      <c r="CQ189" s="1">
        <v>0</v>
      </c>
      <c r="CR189" s="1">
        <v>0</v>
      </c>
      <c r="CS189" s="1">
        <v>3276.46</v>
      </c>
      <c r="CT189" s="1">
        <v>7432.6900000000014</v>
      </c>
      <c r="CU189" s="1">
        <v>6797.1</v>
      </c>
      <c r="CV189" s="1">
        <v>7591.62</v>
      </c>
      <c r="CW189" s="1">
        <v>3187.32</v>
      </c>
      <c r="CX189" s="1">
        <v>7202.16</v>
      </c>
      <c r="CY189" s="1">
        <v>6598.8099999999986</v>
      </c>
      <c r="CZ189" s="1">
        <v>7413.24</v>
      </c>
      <c r="DA189" s="1">
        <v>89.140000000000015</v>
      </c>
      <c r="DB189" s="1">
        <v>230.53</v>
      </c>
      <c r="DC189" s="1">
        <v>198.29</v>
      </c>
      <c r="DD189" s="1">
        <v>178.38</v>
      </c>
      <c r="DE189" s="1">
        <v>0</v>
      </c>
      <c r="DF189" s="1">
        <v>0</v>
      </c>
      <c r="DG189" s="1">
        <v>0</v>
      </c>
      <c r="DH189" s="1">
        <v>0</v>
      </c>
      <c r="DI189" s="1">
        <v>0</v>
      </c>
      <c r="DJ189" s="1">
        <v>0</v>
      </c>
      <c r="DK189" s="1">
        <v>0</v>
      </c>
      <c r="DL189" s="1">
        <v>0</v>
      </c>
      <c r="DM189" s="1">
        <v>2855.01</v>
      </c>
      <c r="DN189" s="1">
        <v>3265.32</v>
      </c>
      <c r="DO189" s="1">
        <v>2761.07</v>
      </c>
      <c r="DP189" s="1">
        <v>2702.65</v>
      </c>
      <c r="DQ189" s="1">
        <v>2855.01</v>
      </c>
      <c r="DR189" s="1">
        <v>3265.32</v>
      </c>
      <c r="DS189" s="1">
        <v>2761.07</v>
      </c>
      <c r="DT189" s="1">
        <v>2702.65</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1544.59</v>
      </c>
      <c r="EL189" s="1">
        <v>1975.06</v>
      </c>
      <c r="EM189" s="1">
        <v>1731.55</v>
      </c>
      <c r="EN189" s="1">
        <v>1882.89</v>
      </c>
      <c r="EO189" s="1">
        <v>1450.82</v>
      </c>
      <c r="EP189" s="1">
        <v>1735.56</v>
      </c>
      <c r="EQ189" s="1">
        <v>1522.38</v>
      </c>
      <c r="ER189" s="1">
        <v>1862.13</v>
      </c>
      <c r="ES189" s="1">
        <v>93.77000000000001</v>
      </c>
      <c r="ET189" s="1">
        <v>239.5</v>
      </c>
      <c r="EU189" s="1">
        <v>209.17</v>
      </c>
      <c r="EV189" s="1">
        <v>20.76</v>
      </c>
      <c r="EW189" s="1">
        <v>0</v>
      </c>
      <c r="EX189" s="1">
        <v>0</v>
      </c>
      <c r="EY189" s="1">
        <v>0</v>
      </c>
      <c r="EZ189" s="1">
        <v>0</v>
      </c>
      <c r="FA189" s="1">
        <v>0</v>
      </c>
      <c r="FB189" s="1">
        <v>0</v>
      </c>
      <c r="FC189" s="1">
        <v>0</v>
      </c>
      <c r="FD189" s="1">
        <v>0</v>
      </c>
      <c r="FE189" s="1">
        <v>416.39</v>
      </c>
      <c r="FF189" s="1">
        <v>529.58999999999992</v>
      </c>
      <c r="FG189" s="1">
        <v>448.88</v>
      </c>
      <c r="FH189" s="1">
        <v>436.86</v>
      </c>
      <c r="FI189" s="1">
        <v>378.46</v>
      </c>
      <c r="FJ189" s="1">
        <v>299.06</v>
      </c>
      <c r="FK189" s="1">
        <v>250.59</v>
      </c>
      <c r="FL189" s="1">
        <v>258.48</v>
      </c>
      <c r="FM189" s="1">
        <v>37.93</v>
      </c>
      <c r="FN189" s="1">
        <v>230.53</v>
      </c>
      <c r="FO189" s="1">
        <v>198.29</v>
      </c>
      <c r="FP189" s="1">
        <v>178.38</v>
      </c>
      <c r="FQ189" s="1">
        <v>0</v>
      </c>
      <c r="FR189" s="1">
        <v>0</v>
      </c>
      <c r="FS189" s="1">
        <v>0</v>
      </c>
      <c r="FT189" s="1">
        <v>0</v>
      </c>
      <c r="FU189" s="1">
        <v>0</v>
      </c>
      <c r="FV189" s="1">
        <v>0</v>
      </c>
      <c r="FW189" s="1">
        <v>0</v>
      </c>
      <c r="FX189" s="1">
        <v>0</v>
      </c>
      <c r="FY189" s="1">
        <v>0</v>
      </c>
      <c r="FZ189" s="1">
        <v>0</v>
      </c>
      <c r="GA189" s="1">
        <v>0</v>
      </c>
      <c r="GB189" s="1">
        <v>0</v>
      </c>
      <c r="GC189" s="1">
        <v>804.63</v>
      </c>
      <c r="GD189" s="1">
        <v>1370.18</v>
      </c>
      <c r="GE189" s="1">
        <v>1047.7</v>
      </c>
      <c r="GF189" s="1">
        <v>1005.57</v>
      </c>
      <c r="GG189" s="1">
        <v>715.49</v>
      </c>
      <c r="GH189" s="1">
        <v>1135.27</v>
      </c>
      <c r="GI189" s="1">
        <v>849.41</v>
      </c>
      <c r="GJ189" s="1">
        <v>827.19</v>
      </c>
      <c r="GK189" s="1">
        <v>89.140000000000015</v>
      </c>
      <c r="GL189" s="1">
        <v>234.91</v>
      </c>
      <c r="GM189" s="1">
        <v>198.29</v>
      </c>
      <c r="GN189" s="1">
        <v>178.38</v>
      </c>
      <c r="GO189" s="1">
        <v>0</v>
      </c>
      <c r="GP189" s="1">
        <v>0</v>
      </c>
      <c r="GQ189" s="1">
        <v>0</v>
      </c>
      <c r="GR189" s="1">
        <v>0</v>
      </c>
      <c r="GS189" s="1">
        <v>0</v>
      </c>
      <c r="GT189" s="1">
        <v>0</v>
      </c>
      <c r="GU189" s="1">
        <v>0</v>
      </c>
      <c r="GV189" s="1">
        <v>0</v>
      </c>
      <c r="GW189" s="1">
        <v>0</v>
      </c>
      <c r="GX189" s="1">
        <v>0</v>
      </c>
      <c r="GY189" s="1">
        <v>0</v>
      </c>
      <c r="GZ189" s="1">
        <v>0</v>
      </c>
      <c r="HA189" s="1">
        <v>0</v>
      </c>
      <c r="HB189" s="1">
        <v>0</v>
      </c>
      <c r="HC189" s="1">
        <v>0</v>
      </c>
      <c r="HD189" s="1">
        <v>0</v>
      </c>
      <c r="HE189" s="1">
        <v>3315.17</v>
      </c>
      <c r="HF189" s="1">
        <v>3967.71</v>
      </c>
      <c r="HG189" s="1">
        <v>4099.99</v>
      </c>
      <c r="HH189" s="1">
        <v>4307.55</v>
      </c>
      <c r="HI189" s="1">
        <v>3232.29</v>
      </c>
      <c r="HJ189" s="1">
        <v>3847.88</v>
      </c>
      <c r="HK189" s="1">
        <v>3976.96</v>
      </c>
      <c r="HL189" s="1">
        <v>4199.8600000000006</v>
      </c>
      <c r="HM189" s="1">
        <v>0</v>
      </c>
      <c r="HN189" s="1">
        <v>0</v>
      </c>
      <c r="HO189" s="1">
        <v>0</v>
      </c>
      <c r="HP189" s="1">
        <v>0</v>
      </c>
      <c r="HQ189" s="1">
        <v>0</v>
      </c>
      <c r="HR189" s="1">
        <v>0</v>
      </c>
      <c r="HS189" s="1">
        <v>0</v>
      </c>
      <c r="HT189" s="1">
        <v>0</v>
      </c>
      <c r="HU189" s="1">
        <v>0</v>
      </c>
      <c r="HV189" s="1">
        <v>0</v>
      </c>
      <c r="HW189" s="1">
        <v>0</v>
      </c>
      <c r="HX189" s="1">
        <v>0</v>
      </c>
      <c r="HY189" s="1">
        <v>0</v>
      </c>
      <c r="HZ189" s="1">
        <v>0</v>
      </c>
      <c r="IA189" s="1">
        <v>0</v>
      </c>
      <c r="IB189" s="1">
        <v>0</v>
      </c>
      <c r="IC189" s="1">
        <v>82.88</v>
      </c>
      <c r="ID189" s="1">
        <v>119.83</v>
      </c>
      <c r="IE189" s="1">
        <v>123.03</v>
      </c>
      <c r="IF189" s="1">
        <v>107.69</v>
      </c>
      <c r="IG189" s="1">
        <v>0</v>
      </c>
      <c r="IH189" s="1">
        <v>0</v>
      </c>
      <c r="II189" s="1">
        <v>0</v>
      </c>
      <c r="IJ189" s="1">
        <v>0</v>
      </c>
      <c r="IK189" s="1">
        <v>0</v>
      </c>
      <c r="IL189" s="1">
        <v>0</v>
      </c>
      <c r="IM189" s="1">
        <v>0</v>
      </c>
      <c r="IN189" s="1">
        <v>0</v>
      </c>
      <c r="IO189" s="1">
        <v>854.88000000000011</v>
      </c>
      <c r="IP189" s="1">
        <v>857.23</v>
      </c>
      <c r="IQ189" s="1">
        <v>570.71</v>
      </c>
      <c r="IR189" s="1">
        <v>735.99</v>
      </c>
      <c r="IS189" s="1">
        <v>762.03</v>
      </c>
      <c r="IT189" s="1">
        <v>620.51</v>
      </c>
      <c r="IU189" s="1">
        <v>363.95</v>
      </c>
      <c r="IV189" s="1">
        <v>545.62</v>
      </c>
      <c r="IW189" s="1">
        <v>92.85</v>
      </c>
      <c r="IX189" s="1">
        <v>236.72</v>
      </c>
      <c r="IY189" s="1">
        <v>206.76</v>
      </c>
      <c r="IZ189" s="1">
        <v>190.37</v>
      </c>
      <c r="JA189" s="1">
        <v>0</v>
      </c>
      <c r="JB189" s="1">
        <v>0</v>
      </c>
      <c r="JC189" s="1">
        <v>0</v>
      </c>
      <c r="JD189" s="1">
        <v>0</v>
      </c>
      <c r="JE189" s="1">
        <v>0</v>
      </c>
      <c r="JF189" s="1">
        <v>0</v>
      </c>
      <c r="JG189" s="1">
        <v>0</v>
      </c>
      <c r="JH189" s="1">
        <v>0</v>
      </c>
      <c r="JI189" s="1">
        <v>0</v>
      </c>
      <c r="JJ189" s="1">
        <v>0</v>
      </c>
      <c r="JK189" s="1">
        <v>0</v>
      </c>
      <c r="JL189" s="1">
        <v>0</v>
      </c>
      <c r="JM189" s="1">
        <v>0</v>
      </c>
      <c r="JN189" s="1">
        <v>0</v>
      </c>
      <c r="JO189" s="1">
        <v>0</v>
      </c>
      <c r="JP189" s="1">
        <v>0</v>
      </c>
      <c r="JQ189" s="9"/>
      <c r="JR189" s="1">
        <f t="shared" si="38"/>
        <v>23982.895800000002</v>
      </c>
      <c r="JS189" s="1">
        <f t="shared" si="38"/>
        <v>20547.6993</v>
      </c>
      <c r="JT189" s="1">
        <f t="shared" si="38"/>
        <v>19292.215499999998</v>
      </c>
      <c r="JU189" s="1">
        <f t="shared" si="36"/>
        <v>19232.988300000005</v>
      </c>
      <c r="JV189" s="1">
        <f t="shared" si="39"/>
        <v>4441.277000000001</v>
      </c>
      <c r="JW189" s="1">
        <f t="shared" si="39"/>
        <v>3805.1295</v>
      </c>
      <c r="JX189" s="1">
        <f t="shared" si="39"/>
        <v>3572.6324999999997</v>
      </c>
      <c r="JY189" s="1">
        <f t="shared" si="37"/>
        <v>3561.6645000000008</v>
      </c>
    </row>
    <row r="190" spans="1:285" x14ac:dyDescent="0.35">
      <c r="A190" s="2" t="s">
        <v>197</v>
      </c>
      <c r="B190" s="1">
        <v>311750</v>
      </c>
      <c r="C190" s="1">
        <v>310130</v>
      </c>
      <c r="D190" s="1">
        <v>311629</v>
      </c>
      <c r="E190" s="1">
        <v>316556</v>
      </c>
      <c r="F190" s="1">
        <v>51853.87</v>
      </c>
      <c r="G190" s="1">
        <v>60849.17</v>
      </c>
      <c r="H190" s="1">
        <v>59956.13</v>
      </c>
      <c r="I190" s="1">
        <v>59411.15</v>
      </c>
      <c r="J190" s="1">
        <f t="shared" si="40"/>
        <v>31799.499999999996</v>
      </c>
      <c r="K190" s="1">
        <f t="shared" si="41"/>
        <v>31754.949999999997</v>
      </c>
      <c r="L190" s="1">
        <f t="shared" si="42"/>
        <v>29655.93</v>
      </c>
      <c r="M190" s="1">
        <f t="shared" si="43"/>
        <v>28581.899999999998</v>
      </c>
      <c r="N190" s="1">
        <f t="shared" si="44"/>
        <v>20054.370000000006</v>
      </c>
      <c r="O190" s="1">
        <f t="shared" si="45"/>
        <v>29094.22</v>
      </c>
      <c r="P190" s="1">
        <f t="shared" si="46"/>
        <v>30300.199999999997</v>
      </c>
      <c r="Q190" s="1">
        <f t="shared" si="47"/>
        <v>30829.250000000004</v>
      </c>
      <c r="R190" s="1">
        <v>0</v>
      </c>
      <c r="S190" s="1">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1">
        <v>0</v>
      </c>
      <c r="AJ190" s="1">
        <v>0</v>
      </c>
      <c r="AK190" s="1">
        <v>0</v>
      </c>
      <c r="AL190" s="1">
        <v>0</v>
      </c>
      <c r="AM190" s="1">
        <v>0</v>
      </c>
      <c r="AN190" s="1">
        <v>0</v>
      </c>
      <c r="AO190" s="1">
        <v>0</v>
      </c>
      <c r="AP190" s="1">
        <v>6597.33</v>
      </c>
      <c r="AQ190" s="1">
        <v>6963.15</v>
      </c>
      <c r="AR190" s="1">
        <v>5990.51</v>
      </c>
      <c r="AS190" s="1">
        <v>6614.44</v>
      </c>
      <c r="AT190" s="1">
        <v>0</v>
      </c>
      <c r="AU190" s="1">
        <v>6597.33</v>
      </c>
      <c r="AV190" s="1">
        <v>0</v>
      </c>
      <c r="AW190" s="1">
        <v>0</v>
      </c>
      <c r="AX190" s="1">
        <v>0</v>
      </c>
      <c r="AY190" s="1">
        <v>6963.15</v>
      </c>
      <c r="AZ190" s="1">
        <v>0</v>
      </c>
      <c r="BA190" s="1">
        <v>0</v>
      </c>
      <c r="BB190" s="1">
        <v>0</v>
      </c>
      <c r="BC190" s="1">
        <v>5990.51</v>
      </c>
      <c r="BD190" s="1">
        <v>0</v>
      </c>
      <c r="BE190" s="1">
        <v>0</v>
      </c>
      <c r="BF190" s="1">
        <v>6614.44</v>
      </c>
      <c r="BG190" s="1">
        <v>0</v>
      </c>
      <c r="BH190" s="1">
        <v>0</v>
      </c>
      <c r="BI190" s="1">
        <v>0</v>
      </c>
      <c r="BJ190" s="1">
        <v>0</v>
      </c>
      <c r="BK190" s="1">
        <v>0</v>
      </c>
      <c r="BL190" s="1">
        <v>0</v>
      </c>
      <c r="BM190" s="1">
        <v>0</v>
      </c>
      <c r="BN190" s="1">
        <v>0</v>
      </c>
      <c r="BO190" s="1">
        <v>0</v>
      </c>
      <c r="BP190" s="1">
        <v>0</v>
      </c>
      <c r="BQ190" s="1">
        <v>0</v>
      </c>
      <c r="BR190" s="1">
        <v>0</v>
      </c>
      <c r="BS190" s="1">
        <v>0</v>
      </c>
      <c r="BT190" s="1">
        <v>0</v>
      </c>
      <c r="BU190" s="1">
        <v>9630.94</v>
      </c>
      <c r="BV190" s="1">
        <v>6667.37</v>
      </c>
      <c r="BW190" s="1">
        <v>8374.6200000000008</v>
      </c>
      <c r="BX190" s="1">
        <v>8062.5599999999986</v>
      </c>
      <c r="BY190" s="1">
        <v>9630.94</v>
      </c>
      <c r="BZ190" s="1">
        <v>6667.37</v>
      </c>
      <c r="CA190" s="1">
        <v>8374.6200000000008</v>
      </c>
      <c r="CB190" s="1">
        <v>8062.5599999999986</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2184.94</v>
      </c>
      <c r="CT190" s="1">
        <v>1770.16</v>
      </c>
      <c r="CU190" s="1">
        <v>1612.04</v>
      </c>
      <c r="CV190" s="1">
        <v>2253.2399999999998</v>
      </c>
      <c r="CW190" s="1">
        <v>2184.94</v>
      </c>
      <c r="CX190" s="1">
        <v>1770.16</v>
      </c>
      <c r="CY190" s="1">
        <v>1612.04</v>
      </c>
      <c r="CZ190" s="1">
        <v>2253.2399999999998</v>
      </c>
      <c r="DA190" s="1">
        <v>0</v>
      </c>
      <c r="DB190" s="1">
        <v>0</v>
      </c>
      <c r="DC190" s="1">
        <v>0</v>
      </c>
      <c r="DD190" s="1">
        <v>0</v>
      </c>
      <c r="DE190" s="1">
        <v>0</v>
      </c>
      <c r="DF190" s="1">
        <v>0</v>
      </c>
      <c r="DG190" s="1">
        <v>0</v>
      </c>
      <c r="DH190" s="1">
        <v>0</v>
      </c>
      <c r="DI190" s="1">
        <v>0</v>
      </c>
      <c r="DJ190" s="1">
        <v>0</v>
      </c>
      <c r="DK190" s="1">
        <v>0</v>
      </c>
      <c r="DL190" s="1">
        <v>0</v>
      </c>
      <c r="DM190" s="1">
        <v>4063.71</v>
      </c>
      <c r="DN190" s="1">
        <v>4163.22</v>
      </c>
      <c r="DO190" s="1">
        <v>3667.18</v>
      </c>
      <c r="DP190" s="1">
        <v>3318.02</v>
      </c>
      <c r="DQ190" s="1">
        <v>4063.71</v>
      </c>
      <c r="DR190" s="1">
        <v>4163.22</v>
      </c>
      <c r="DS190" s="1">
        <v>3667.18</v>
      </c>
      <c r="DT190" s="1">
        <v>3318.02</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3503.44</v>
      </c>
      <c r="EL190" s="1">
        <v>5556.87</v>
      </c>
      <c r="EM190" s="1">
        <v>3605.5</v>
      </c>
      <c r="EN190" s="1">
        <v>2689.89</v>
      </c>
      <c r="EO190" s="1">
        <v>3503.44</v>
      </c>
      <c r="EP190" s="1">
        <v>5556.87</v>
      </c>
      <c r="EQ190" s="1">
        <v>3605.5</v>
      </c>
      <c r="ER190" s="1">
        <v>2689.89</v>
      </c>
      <c r="ES190" s="1">
        <v>0</v>
      </c>
      <c r="ET190" s="1">
        <v>0</v>
      </c>
      <c r="EU190" s="1">
        <v>0</v>
      </c>
      <c r="EV190" s="1">
        <v>0</v>
      </c>
      <c r="EW190" s="1">
        <v>0</v>
      </c>
      <c r="EX190" s="1">
        <v>0</v>
      </c>
      <c r="EY190" s="1">
        <v>0</v>
      </c>
      <c r="EZ190" s="1">
        <v>0</v>
      </c>
      <c r="FA190" s="1">
        <v>0</v>
      </c>
      <c r="FB190" s="1">
        <v>0</v>
      </c>
      <c r="FC190" s="1">
        <v>0</v>
      </c>
      <c r="FD190" s="1">
        <v>0</v>
      </c>
      <c r="FE190" s="1">
        <v>260.10000000000002</v>
      </c>
      <c r="FF190" s="1">
        <v>292.75</v>
      </c>
      <c r="FG190" s="1">
        <v>277.23</v>
      </c>
      <c r="FH190" s="1">
        <v>270.61</v>
      </c>
      <c r="FI190" s="1">
        <v>0</v>
      </c>
      <c r="FJ190" s="1">
        <v>0</v>
      </c>
      <c r="FK190" s="1">
        <v>0</v>
      </c>
      <c r="FL190" s="1">
        <v>0</v>
      </c>
      <c r="FM190" s="1">
        <v>260.10000000000002</v>
      </c>
      <c r="FN190" s="1">
        <v>292.75</v>
      </c>
      <c r="FO190" s="1">
        <v>277.23</v>
      </c>
      <c r="FP190" s="1">
        <v>270.61</v>
      </c>
      <c r="FQ190" s="1">
        <v>0</v>
      </c>
      <c r="FR190" s="1">
        <v>0</v>
      </c>
      <c r="FS190" s="1">
        <v>0</v>
      </c>
      <c r="FT190" s="1">
        <v>0</v>
      </c>
      <c r="FU190" s="1">
        <v>0</v>
      </c>
      <c r="FV190" s="1">
        <v>0</v>
      </c>
      <c r="FW190" s="1">
        <v>0</v>
      </c>
      <c r="FX190" s="1">
        <v>0</v>
      </c>
      <c r="FY190" s="1">
        <v>0</v>
      </c>
      <c r="FZ190" s="1">
        <v>0</v>
      </c>
      <c r="GA190" s="1">
        <v>0</v>
      </c>
      <c r="GB190" s="1">
        <v>0</v>
      </c>
      <c r="GC190" s="1">
        <v>2129.2800000000002</v>
      </c>
      <c r="GD190" s="1">
        <v>2601.6</v>
      </c>
      <c r="GE190" s="1">
        <v>2305.9</v>
      </c>
      <c r="GF190" s="1">
        <v>1972.75</v>
      </c>
      <c r="GG190" s="1">
        <v>2129.2800000000002</v>
      </c>
      <c r="GH190" s="1">
        <v>2601.6</v>
      </c>
      <c r="GI190" s="1">
        <v>2305.9</v>
      </c>
      <c r="GJ190" s="1">
        <v>1972.75</v>
      </c>
      <c r="GK190" s="1">
        <v>0</v>
      </c>
      <c r="GL190" s="1">
        <v>0</v>
      </c>
      <c r="GM190" s="1">
        <v>0</v>
      </c>
      <c r="GN190" s="1">
        <v>0</v>
      </c>
      <c r="GO190" s="1">
        <v>0</v>
      </c>
      <c r="GP190" s="1">
        <v>0</v>
      </c>
      <c r="GQ190" s="1">
        <v>0</v>
      </c>
      <c r="GR190" s="1">
        <v>0</v>
      </c>
      <c r="GS190" s="1">
        <v>0</v>
      </c>
      <c r="GT190" s="1">
        <v>0</v>
      </c>
      <c r="GU190" s="1">
        <v>0</v>
      </c>
      <c r="GV190" s="1">
        <v>0</v>
      </c>
      <c r="GW190" s="1">
        <v>0</v>
      </c>
      <c r="GX190" s="1">
        <v>0</v>
      </c>
      <c r="GY190" s="1">
        <v>0</v>
      </c>
      <c r="GZ190" s="1">
        <v>0</v>
      </c>
      <c r="HA190" s="1">
        <v>0</v>
      </c>
      <c r="HB190" s="1">
        <v>0</v>
      </c>
      <c r="HC190" s="1">
        <v>0</v>
      </c>
      <c r="HD190" s="1">
        <v>0</v>
      </c>
      <c r="HE190" s="1">
        <v>1991.22</v>
      </c>
      <c r="HF190" s="1">
        <v>2263.0500000000002</v>
      </c>
      <c r="HG190" s="1">
        <v>2110.85</v>
      </c>
      <c r="HH190" s="1">
        <v>1842.26</v>
      </c>
      <c r="HI190" s="1">
        <v>1991.22</v>
      </c>
      <c r="HJ190" s="1">
        <v>2263.0500000000002</v>
      </c>
      <c r="HK190" s="1">
        <v>2110.85</v>
      </c>
      <c r="HL190" s="1">
        <v>1842.26</v>
      </c>
      <c r="HM190" s="1">
        <v>0</v>
      </c>
      <c r="HN190" s="1">
        <v>0</v>
      </c>
      <c r="HO190" s="1">
        <v>0</v>
      </c>
      <c r="HP190" s="1">
        <v>0</v>
      </c>
      <c r="HQ190" s="1">
        <v>0</v>
      </c>
      <c r="HR190" s="1">
        <v>0</v>
      </c>
      <c r="HS190" s="1">
        <v>0</v>
      </c>
      <c r="HT190" s="1">
        <v>0</v>
      </c>
      <c r="HU190" s="1">
        <v>0</v>
      </c>
      <c r="HV190" s="1">
        <v>0</v>
      </c>
      <c r="HW190" s="1">
        <v>0</v>
      </c>
      <c r="HX190" s="1">
        <v>0</v>
      </c>
      <c r="HY190" s="1">
        <v>0</v>
      </c>
      <c r="HZ190" s="1">
        <v>0</v>
      </c>
      <c r="IA190" s="1">
        <v>0</v>
      </c>
      <c r="IB190" s="1">
        <v>0</v>
      </c>
      <c r="IC190" s="1">
        <v>0</v>
      </c>
      <c r="ID190" s="1">
        <v>0</v>
      </c>
      <c r="IE190" s="1">
        <v>0</v>
      </c>
      <c r="IF190" s="1">
        <v>0</v>
      </c>
      <c r="IG190" s="1">
        <v>0</v>
      </c>
      <c r="IH190" s="1">
        <v>0</v>
      </c>
      <c r="II190" s="1">
        <v>0</v>
      </c>
      <c r="IJ190" s="1">
        <v>0</v>
      </c>
      <c r="IK190" s="1">
        <v>0</v>
      </c>
      <c r="IL190" s="1">
        <v>0</v>
      </c>
      <c r="IM190" s="1">
        <v>0</v>
      </c>
      <c r="IN190" s="1">
        <v>0</v>
      </c>
      <c r="IO190" s="1">
        <v>1438.54</v>
      </c>
      <c r="IP190" s="1">
        <v>1476.78</v>
      </c>
      <c r="IQ190" s="1">
        <v>1712.1</v>
      </c>
      <c r="IR190" s="1">
        <v>1558.13</v>
      </c>
      <c r="IS190" s="1">
        <v>1438.54</v>
      </c>
      <c r="IT190" s="1">
        <v>1476.78</v>
      </c>
      <c r="IU190" s="1">
        <v>1712.1</v>
      </c>
      <c r="IV190" s="1">
        <v>1558.13</v>
      </c>
      <c r="IW190" s="1">
        <v>0</v>
      </c>
      <c r="IX190" s="1">
        <v>0</v>
      </c>
      <c r="IY190" s="1">
        <v>0</v>
      </c>
      <c r="IZ190" s="1">
        <v>0</v>
      </c>
      <c r="JA190" s="1">
        <v>0</v>
      </c>
      <c r="JB190" s="1">
        <v>0</v>
      </c>
      <c r="JC190" s="1">
        <v>0</v>
      </c>
      <c r="JD190" s="1">
        <v>0</v>
      </c>
      <c r="JE190" s="1">
        <v>0</v>
      </c>
      <c r="JF190" s="1">
        <v>0</v>
      </c>
      <c r="JG190" s="1">
        <v>0</v>
      </c>
      <c r="JH190" s="1">
        <v>0</v>
      </c>
      <c r="JI190" s="1">
        <v>0</v>
      </c>
      <c r="JJ190" s="1">
        <v>0</v>
      </c>
      <c r="JK190" s="1">
        <v>0</v>
      </c>
      <c r="JL190" s="1">
        <v>0</v>
      </c>
      <c r="JM190" s="1">
        <v>0</v>
      </c>
      <c r="JN190" s="1">
        <v>0</v>
      </c>
      <c r="JO190" s="1">
        <v>0</v>
      </c>
      <c r="JP190" s="1">
        <v>0</v>
      </c>
      <c r="JQ190" s="9"/>
      <c r="JR190" s="1">
        <f t="shared" si="38"/>
        <v>5414.6799000000019</v>
      </c>
      <c r="JS190" s="1">
        <f t="shared" si="38"/>
        <v>7855.4394000000011</v>
      </c>
      <c r="JT190" s="1">
        <f t="shared" si="38"/>
        <v>8181.0540000000001</v>
      </c>
      <c r="JU190" s="1">
        <f t="shared" si="36"/>
        <v>8323.8975000000009</v>
      </c>
      <c r="JV190" s="1">
        <f t="shared" si="39"/>
        <v>1002.7185000000004</v>
      </c>
      <c r="JW190" s="1">
        <f t="shared" si="39"/>
        <v>1454.7110000000002</v>
      </c>
      <c r="JX190" s="1">
        <f t="shared" si="39"/>
        <v>1515.01</v>
      </c>
      <c r="JY190" s="1">
        <f t="shared" si="37"/>
        <v>1541.4625000000003</v>
      </c>
    </row>
    <row r="191" spans="1:285" x14ac:dyDescent="0.35">
      <c r="A191" s="2" t="s">
        <v>198</v>
      </c>
      <c r="B191" s="1">
        <v>136571</v>
      </c>
      <c r="C191" s="1">
        <v>136605</v>
      </c>
      <c r="D191" s="1">
        <v>137233</v>
      </c>
      <c r="E191" s="1">
        <v>138115</v>
      </c>
      <c r="F191" s="1">
        <v>199312.473</v>
      </c>
      <c r="G191" s="1">
        <v>241285.69</v>
      </c>
      <c r="H191" s="1">
        <v>207656.649</v>
      </c>
      <c r="I191" s="1">
        <v>186349.546</v>
      </c>
      <c r="J191" s="1">
        <f t="shared" si="40"/>
        <v>93036.101999999984</v>
      </c>
      <c r="K191" s="1">
        <f t="shared" si="41"/>
        <v>132787.14500000002</v>
      </c>
      <c r="L191" s="1">
        <f t="shared" si="42"/>
        <v>101762.54699999999</v>
      </c>
      <c r="M191" s="1">
        <f t="shared" si="43"/>
        <v>74319.682000000001</v>
      </c>
      <c r="N191" s="1">
        <f t="shared" si="44"/>
        <v>106276.37100000001</v>
      </c>
      <c r="O191" s="1">
        <f t="shared" si="45"/>
        <v>108498.54499999998</v>
      </c>
      <c r="P191" s="1">
        <f t="shared" si="46"/>
        <v>105894.10200000001</v>
      </c>
      <c r="Q191" s="1">
        <f t="shared" si="47"/>
        <v>112029.864</v>
      </c>
      <c r="R191" s="1">
        <v>0</v>
      </c>
      <c r="S191" s="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1">
        <v>0</v>
      </c>
      <c r="AJ191" s="1">
        <v>0</v>
      </c>
      <c r="AK191" s="1">
        <v>0</v>
      </c>
      <c r="AL191" s="1">
        <v>0</v>
      </c>
      <c r="AM191" s="1">
        <v>0</v>
      </c>
      <c r="AN191" s="1">
        <v>0</v>
      </c>
      <c r="AO191" s="1">
        <v>0</v>
      </c>
      <c r="AP191" s="1">
        <v>8894.9989999999998</v>
      </c>
      <c r="AQ191" s="1">
        <v>8819.0399999999991</v>
      </c>
      <c r="AR191" s="1">
        <v>8827</v>
      </c>
      <c r="AS191" s="1">
        <v>10300.450000000001</v>
      </c>
      <c r="AT191" s="1">
        <v>0</v>
      </c>
      <c r="AU191" s="1">
        <v>8894.9989999999998</v>
      </c>
      <c r="AV191" s="1">
        <v>0</v>
      </c>
      <c r="AW191" s="1">
        <v>0</v>
      </c>
      <c r="AX191" s="1">
        <v>0</v>
      </c>
      <c r="AY191" s="1">
        <v>8819.0399999999991</v>
      </c>
      <c r="AZ191" s="1">
        <v>0</v>
      </c>
      <c r="BA191" s="1">
        <v>0</v>
      </c>
      <c r="BB191" s="1">
        <v>0</v>
      </c>
      <c r="BC191" s="1">
        <v>8827</v>
      </c>
      <c r="BD191" s="1">
        <v>0</v>
      </c>
      <c r="BE191" s="1">
        <v>0</v>
      </c>
      <c r="BF191" s="1">
        <v>10300.450000000001</v>
      </c>
      <c r="BG191" s="1">
        <v>0</v>
      </c>
      <c r="BH191" s="1">
        <v>0</v>
      </c>
      <c r="BI191" s="1">
        <v>0</v>
      </c>
      <c r="BJ191" s="1">
        <v>0</v>
      </c>
      <c r="BK191" s="1">
        <v>0</v>
      </c>
      <c r="BL191" s="1">
        <v>0</v>
      </c>
      <c r="BM191" s="1">
        <v>0</v>
      </c>
      <c r="BN191" s="1">
        <v>0</v>
      </c>
      <c r="BO191" s="1">
        <v>0</v>
      </c>
      <c r="BP191" s="1">
        <v>0</v>
      </c>
      <c r="BQ191" s="1">
        <v>0</v>
      </c>
      <c r="BR191" s="1">
        <v>0</v>
      </c>
      <c r="BS191" s="1">
        <v>0</v>
      </c>
      <c r="BT191" s="1">
        <v>0</v>
      </c>
      <c r="BU191" s="1">
        <v>18941.225999999999</v>
      </c>
      <c r="BV191" s="1">
        <v>26804.83</v>
      </c>
      <c r="BW191" s="1">
        <v>21359.802</v>
      </c>
      <c r="BX191" s="1">
        <v>12196.477999999999</v>
      </c>
      <c r="BY191" s="1">
        <v>18941.225999999999</v>
      </c>
      <c r="BZ191" s="1">
        <v>26804.83</v>
      </c>
      <c r="CA191" s="1">
        <v>21359.802</v>
      </c>
      <c r="CB191" s="1">
        <v>12196.477999999999</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11625.217000000001</v>
      </c>
      <c r="CT191" s="1">
        <v>24295.01</v>
      </c>
      <c r="CU191" s="1">
        <v>16672.303</v>
      </c>
      <c r="CV191" s="1">
        <v>15145.903</v>
      </c>
      <c r="CW191" s="1">
        <v>11625.217000000001</v>
      </c>
      <c r="CX191" s="1">
        <v>24295.01</v>
      </c>
      <c r="CY191" s="1">
        <v>16672.303</v>
      </c>
      <c r="CZ191" s="1">
        <v>15145.903</v>
      </c>
      <c r="DA191" s="1">
        <v>0</v>
      </c>
      <c r="DB191" s="1">
        <v>0</v>
      </c>
      <c r="DC191" s="1">
        <v>0</v>
      </c>
      <c r="DD191" s="1">
        <v>0</v>
      </c>
      <c r="DE191" s="1">
        <v>0</v>
      </c>
      <c r="DF191" s="1">
        <v>0</v>
      </c>
      <c r="DG191" s="1">
        <v>0</v>
      </c>
      <c r="DH191" s="1">
        <v>0</v>
      </c>
      <c r="DI191" s="1">
        <v>0</v>
      </c>
      <c r="DJ191" s="1">
        <v>0</v>
      </c>
      <c r="DK191" s="1">
        <v>0</v>
      </c>
      <c r="DL191" s="1">
        <v>0</v>
      </c>
      <c r="DM191" s="1">
        <v>9230.3130000000001</v>
      </c>
      <c r="DN191" s="1">
        <v>10815.95</v>
      </c>
      <c r="DO191" s="1">
        <v>7746.5169999999998</v>
      </c>
      <c r="DP191" s="1">
        <v>5501.8330000000014</v>
      </c>
      <c r="DQ191" s="1">
        <v>9230.3130000000001</v>
      </c>
      <c r="DR191" s="1">
        <v>10815.95</v>
      </c>
      <c r="DS191" s="1">
        <v>7746.5169999999998</v>
      </c>
      <c r="DT191" s="1">
        <v>5501.8330000000014</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38694.726999999999</v>
      </c>
      <c r="EL191" s="1">
        <v>41390.201000000001</v>
      </c>
      <c r="EM191" s="1">
        <v>32884.384999999987</v>
      </c>
      <c r="EN191" s="1">
        <v>23927.082999999999</v>
      </c>
      <c r="EO191" s="1">
        <v>38694.726999999999</v>
      </c>
      <c r="EP191" s="1">
        <v>41390.201000000001</v>
      </c>
      <c r="EQ191" s="1">
        <v>32884.384999999987</v>
      </c>
      <c r="ER191" s="1">
        <v>23927.082999999999</v>
      </c>
      <c r="ES191" s="1">
        <v>0</v>
      </c>
      <c r="ET191" s="1">
        <v>0</v>
      </c>
      <c r="EU191" s="1">
        <v>0</v>
      </c>
      <c r="EV191" s="1">
        <v>0</v>
      </c>
      <c r="EW191" s="1">
        <v>0</v>
      </c>
      <c r="EX191" s="1">
        <v>0</v>
      </c>
      <c r="EY191" s="1">
        <v>0</v>
      </c>
      <c r="EZ191" s="1">
        <v>0</v>
      </c>
      <c r="FA191" s="1">
        <v>0</v>
      </c>
      <c r="FB191" s="1">
        <v>0</v>
      </c>
      <c r="FC191" s="1">
        <v>0</v>
      </c>
      <c r="FD191" s="1">
        <v>0</v>
      </c>
      <c r="FE191" s="1">
        <v>65.716000000000008</v>
      </c>
      <c r="FF191" s="1">
        <v>9652.2129999999997</v>
      </c>
      <c r="FG191" s="1">
        <v>4894.7729999999992</v>
      </c>
      <c r="FH191" s="1">
        <v>168.47200000000001</v>
      </c>
      <c r="FI191" s="1">
        <v>65.716000000000008</v>
      </c>
      <c r="FJ191" s="1">
        <v>9652.2129999999997</v>
      </c>
      <c r="FK191" s="1">
        <v>4894.7729999999992</v>
      </c>
      <c r="FL191" s="1">
        <v>168.47200000000001</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v>0</v>
      </c>
      <c r="GC191" s="1">
        <v>3379.1669999999999</v>
      </c>
      <c r="GD191" s="1">
        <v>11009.901</v>
      </c>
      <c r="GE191" s="1">
        <v>9377.7669999999998</v>
      </c>
      <c r="GF191" s="1">
        <v>7079.4630000000006</v>
      </c>
      <c r="GG191" s="1">
        <v>3379.1669999999999</v>
      </c>
      <c r="GH191" s="1">
        <v>11009.901</v>
      </c>
      <c r="GI191" s="1">
        <v>9377.7669999999998</v>
      </c>
      <c r="GJ191" s="1">
        <v>7079.4630000000006</v>
      </c>
      <c r="GK191" s="1">
        <v>0</v>
      </c>
      <c r="GL191" s="1">
        <v>0</v>
      </c>
      <c r="GM191" s="1">
        <v>0</v>
      </c>
      <c r="GN191" s="1">
        <v>0</v>
      </c>
      <c r="GO191" s="1">
        <v>0</v>
      </c>
      <c r="GP191" s="1">
        <v>0</v>
      </c>
      <c r="GQ191" s="1">
        <v>0</v>
      </c>
      <c r="GR191" s="1">
        <v>0</v>
      </c>
      <c r="GS191" s="1">
        <v>0</v>
      </c>
      <c r="GT191" s="1">
        <v>0</v>
      </c>
      <c r="GU191" s="1">
        <v>0</v>
      </c>
      <c r="GV191" s="1">
        <v>0</v>
      </c>
      <c r="GW191" s="1">
        <v>0</v>
      </c>
      <c r="GX191" s="1">
        <v>0</v>
      </c>
      <c r="GY191" s="1">
        <v>0</v>
      </c>
      <c r="GZ191" s="1">
        <v>0</v>
      </c>
      <c r="HA191" s="1">
        <v>0</v>
      </c>
      <c r="HB191" s="1">
        <v>0</v>
      </c>
      <c r="HC191" s="1">
        <v>0</v>
      </c>
      <c r="HD191" s="1">
        <v>0</v>
      </c>
      <c r="HE191" s="1">
        <v>2204.7370000000001</v>
      </c>
      <c r="HF191" s="1">
        <v>0</v>
      </c>
      <c r="HG191" s="1">
        <v>0</v>
      </c>
      <c r="HH191" s="1">
        <v>0</v>
      </c>
      <c r="HI191" s="1">
        <v>2204.7370000000001</v>
      </c>
      <c r="HJ191" s="1">
        <v>0</v>
      </c>
      <c r="HK191" s="1">
        <v>0</v>
      </c>
      <c r="HL191" s="1">
        <v>0</v>
      </c>
      <c r="HM191" s="1">
        <v>0</v>
      </c>
      <c r="HN191" s="1">
        <v>0</v>
      </c>
      <c r="HO191" s="1">
        <v>0</v>
      </c>
      <c r="HP191" s="1">
        <v>0</v>
      </c>
      <c r="HQ191" s="1">
        <v>0</v>
      </c>
      <c r="HR191" s="1">
        <v>0</v>
      </c>
      <c r="HS191" s="1">
        <v>0</v>
      </c>
      <c r="HT191" s="1">
        <v>0</v>
      </c>
      <c r="HU191" s="1">
        <v>0</v>
      </c>
      <c r="HV191" s="1">
        <v>0</v>
      </c>
      <c r="HW191" s="1">
        <v>0</v>
      </c>
      <c r="HX191" s="1">
        <v>0</v>
      </c>
      <c r="HY191" s="1">
        <v>0</v>
      </c>
      <c r="HZ191" s="1">
        <v>0</v>
      </c>
      <c r="IA191" s="1">
        <v>0</v>
      </c>
      <c r="IB191" s="1">
        <v>0</v>
      </c>
      <c r="IC191" s="1">
        <v>0</v>
      </c>
      <c r="ID191" s="1">
        <v>0</v>
      </c>
      <c r="IE191" s="1">
        <v>0</v>
      </c>
      <c r="IF191" s="1">
        <v>0</v>
      </c>
      <c r="IG191" s="1">
        <v>0</v>
      </c>
      <c r="IH191" s="1">
        <v>0</v>
      </c>
      <c r="II191" s="1">
        <v>0</v>
      </c>
      <c r="IJ191" s="1">
        <v>0</v>
      </c>
      <c r="IK191" s="1">
        <v>0</v>
      </c>
      <c r="IL191" s="1">
        <v>0</v>
      </c>
      <c r="IM191" s="1">
        <v>0</v>
      </c>
      <c r="IN191" s="1">
        <v>0</v>
      </c>
      <c r="IO191" s="1">
        <v>0</v>
      </c>
      <c r="IP191" s="1">
        <v>0</v>
      </c>
      <c r="IQ191" s="1">
        <v>0</v>
      </c>
      <c r="IR191" s="1">
        <v>0</v>
      </c>
      <c r="IS191" s="1">
        <v>0</v>
      </c>
      <c r="IT191" s="1">
        <v>0</v>
      </c>
      <c r="IU191" s="1">
        <v>0</v>
      </c>
      <c r="IV191" s="1">
        <v>0</v>
      </c>
      <c r="IW191" s="1">
        <v>0</v>
      </c>
      <c r="IX191" s="1">
        <v>0</v>
      </c>
      <c r="IY191" s="1">
        <v>0</v>
      </c>
      <c r="IZ191" s="1">
        <v>0</v>
      </c>
      <c r="JA191" s="1">
        <v>0</v>
      </c>
      <c r="JB191" s="1">
        <v>0</v>
      </c>
      <c r="JC191" s="1">
        <v>0</v>
      </c>
      <c r="JD191" s="1">
        <v>0</v>
      </c>
      <c r="JE191" s="1">
        <v>0</v>
      </c>
      <c r="JF191" s="1">
        <v>0</v>
      </c>
      <c r="JG191" s="1">
        <v>0</v>
      </c>
      <c r="JH191" s="1">
        <v>0</v>
      </c>
      <c r="JI191" s="1">
        <v>0</v>
      </c>
      <c r="JJ191" s="1">
        <v>0</v>
      </c>
      <c r="JK191" s="1">
        <v>0</v>
      </c>
      <c r="JL191" s="1">
        <v>0</v>
      </c>
      <c r="JM191" s="1">
        <v>0</v>
      </c>
      <c r="JN191" s="1">
        <v>0</v>
      </c>
      <c r="JO191" s="1">
        <v>0</v>
      </c>
      <c r="JP191" s="1">
        <v>0</v>
      </c>
      <c r="JQ191" s="9"/>
      <c r="JR191" s="1">
        <f t="shared" si="38"/>
        <v>28694.620170000006</v>
      </c>
      <c r="JS191" s="1">
        <f t="shared" si="38"/>
        <v>29294.607149999996</v>
      </c>
      <c r="JT191" s="1">
        <f t="shared" si="38"/>
        <v>28591.407540000004</v>
      </c>
      <c r="JU191" s="1">
        <f t="shared" si="36"/>
        <v>30248.063280000002</v>
      </c>
      <c r="JV191" s="1">
        <f t="shared" si="39"/>
        <v>5313.8185500000009</v>
      </c>
      <c r="JW191" s="1">
        <f t="shared" si="39"/>
        <v>5424.9272499999997</v>
      </c>
      <c r="JX191" s="1">
        <f t="shared" si="39"/>
        <v>5294.705100000001</v>
      </c>
      <c r="JY191" s="1">
        <f t="shared" si="37"/>
        <v>5601.4932000000008</v>
      </c>
    </row>
    <row r="192" spans="1:285" x14ac:dyDescent="0.35">
      <c r="A192" s="2" t="s">
        <v>199</v>
      </c>
      <c r="B192" s="1">
        <v>86561</v>
      </c>
      <c r="C192" s="1">
        <v>86981</v>
      </c>
      <c r="D192" s="1">
        <v>87189</v>
      </c>
      <c r="E192" s="1">
        <v>87510</v>
      </c>
      <c r="F192" s="1">
        <v>26631.424999999999</v>
      </c>
      <c r="G192" s="1">
        <v>24622.345000000001</v>
      </c>
      <c r="H192" s="1">
        <v>20608.935000000001</v>
      </c>
      <c r="I192" s="1">
        <v>22006.848000000002</v>
      </c>
      <c r="J192" s="1">
        <f t="shared" si="40"/>
        <v>15329.333000000002</v>
      </c>
      <c r="K192" s="1">
        <f t="shared" si="41"/>
        <v>13376.640000000001</v>
      </c>
      <c r="L192" s="1">
        <f t="shared" si="42"/>
        <v>9929.2899999999991</v>
      </c>
      <c r="M192" s="1">
        <f t="shared" si="43"/>
        <v>11113.881999999998</v>
      </c>
      <c r="N192" s="1">
        <f t="shared" si="44"/>
        <v>11302.091999999997</v>
      </c>
      <c r="O192" s="1">
        <f t="shared" si="45"/>
        <v>11245.705</v>
      </c>
      <c r="P192" s="1">
        <f t="shared" si="46"/>
        <v>10679.645000000002</v>
      </c>
      <c r="Q192" s="1">
        <f t="shared" si="47"/>
        <v>10892.966000000004</v>
      </c>
      <c r="R192" s="1">
        <v>0</v>
      </c>
      <c r="S192" s="1">
        <v>0</v>
      </c>
      <c r="T192" s="1">
        <v>0</v>
      </c>
      <c r="U192" s="1">
        <v>0</v>
      </c>
      <c r="V192" s="1">
        <v>0</v>
      </c>
      <c r="W192" s="1">
        <v>0</v>
      </c>
      <c r="X192" s="1">
        <v>0</v>
      </c>
      <c r="Y192" s="1">
        <v>0</v>
      </c>
      <c r="Z192" s="1">
        <v>0</v>
      </c>
      <c r="AA192" s="1">
        <v>0</v>
      </c>
      <c r="AB192" s="1">
        <v>0</v>
      </c>
      <c r="AC192" s="1">
        <v>0</v>
      </c>
      <c r="AD192" s="1">
        <v>0</v>
      </c>
      <c r="AE192" s="1">
        <v>0</v>
      </c>
      <c r="AF192" s="1">
        <v>0</v>
      </c>
      <c r="AG192" s="1">
        <v>0</v>
      </c>
      <c r="AH192" s="1">
        <v>0</v>
      </c>
      <c r="AI192" s="1">
        <v>0</v>
      </c>
      <c r="AJ192" s="1">
        <v>0</v>
      </c>
      <c r="AK192" s="1">
        <v>0</v>
      </c>
      <c r="AL192" s="1">
        <v>0</v>
      </c>
      <c r="AM192" s="1">
        <v>0</v>
      </c>
      <c r="AN192" s="1">
        <v>0</v>
      </c>
      <c r="AO192" s="1">
        <v>0</v>
      </c>
      <c r="AP192" s="1">
        <v>0</v>
      </c>
      <c r="AQ192" s="1">
        <v>0.96</v>
      </c>
      <c r="AR192" s="1">
        <v>195.36</v>
      </c>
      <c r="AS192" s="1">
        <v>87.820000000000007</v>
      </c>
      <c r="AT192" s="1">
        <v>0</v>
      </c>
      <c r="AU192" s="1">
        <v>0</v>
      </c>
      <c r="AV192" s="1">
        <v>0</v>
      </c>
      <c r="AW192" s="1">
        <v>0</v>
      </c>
      <c r="AX192" s="1">
        <v>0</v>
      </c>
      <c r="AY192" s="1">
        <v>0.96</v>
      </c>
      <c r="AZ192" s="1">
        <v>0</v>
      </c>
      <c r="BA192" s="1">
        <v>0</v>
      </c>
      <c r="BB192" s="1">
        <v>0</v>
      </c>
      <c r="BC192" s="1">
        <v>195.36</v>
      </c>
      <c r="BD192" s="1">
        <v>0</v>
      </c>
      <c r="BE192" s="1">
        <v>0</v>
      </c>
      <c r="BF192" s="1">
        <v>87.820000000000007</v>
      </c>
      <c r="BG192" s="1">
        <v>0</v>
      </c>
      <c r="BH192" s="1">
        <v>0</v>
      </c>
      <c r="BI192" s="1">
        <v>0</v>
      </c>
      <c r="BJ192" s="1">
        <v>0</v>
      </c>
      <c r="BK192" s="1">
        <v>0</v>
      </c>
      <c r="BL192" s="1">
        <v>0</v>
      </c>
      <c r="BM192" s="1">
        <v>0</v>
      </c>
      <c r="BN192" s="1">
        <v>0</v>
      </c>
      <c r="BO192" s="1">
        <v>0</v>
      </c>
      <c r="BP192" s="1">
        <v>0</v>
      </c>
      <c r="BQ192" s="1">
        <v>0</v>
      </c>
      <c r="BR192" s="1">
        <v>0</v>
      </c>
      <c r="BS192" s="1">
        <v>0</v>
      </c>
      <c r="BT192" s="1">
        <v>0</v>
      </c>
      <c r="BU192" s="1">
        <v>7239.0669999999991</v>
      </c>
      <c r="BV192" s="1">
        <v>6395.9189999999999</v>
      </c>
      <c r="BW192" s="1">
        <v>4684.33</v>
      </c>
      <c r="BX192" s="1">
        <v>5665.1859999999997</v>
      </c>
      <c r="BY192" s="1">
        <v>7239.0669999999991</v>
      </c>
      <c r="BZ192" s="1">
        <v>6395.9189999999999</v>
      </c>
      <c r="CA192" s="1">
        <v>4684.33</v>
      </c>
      <c r="CB192" s="1">
        <v>5665.1859999999997</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2822.11</v>
      </c>
      <c r="CT192" s="1">
        <v>2688.66</v>
      </c>
      <c r="CU192" s="1">
        <v>1368.58</v>
      </c>
      <c r="CV192" s="1">
        <v>2087.16</v>
      </c>
      <c r="CW192" s="1">
        <v>2822.11</v>
      </c>
      <c r="CX192" s="1">
        <v>2688.66</v>
      </c>
      <c r="CY192" s="1">
        <v>1368.58</v>
      </c>
      <c r="CZ192" s="1">
        <v>2087.16</v>
      </c>
      <c r="DA192" s="1">
        <v>0</v>
      </c>
      <c r="DB192" s="1">
        <v>0</v>
      </c>
      <c r="DC192" s="1">
        <v>0</v>
      </c>
      <c r="DD192" s="1">
        <v>0</v>
      </c>
      <c r="DE192" s="1">
        <v>0</v>
      </c>
      <c r="DF192" s="1">
        <v>0</v>
      </c>
      <c r="DG192" s="1">
        <v>0</v>
      </c>
      <c r="DH192" s="1">
        <v>0</v>
      </c>
      <c r="DI192" s="1">
        <v>0</v>
      </c>
      <c r="DJ192" s="1">
        <v>0</v>
      </c>
      <c r="DK192" s="1">
        <v>0</v>
      </c>
      <c r="DL192" s="1">
        <v>0</v>
      </c>
      <c r="DM192" s="1">
        <v>2952.01</v>
      </c>
      <c r="DN192" s="1">
        <v>3084.91</v>
      </c>
      <c r="DO192" s="1">
        <v>2668.72</v>
      </c>
      <c r="DP192" s="1">
        <v>2559.25</v>
      </c>
      <c r="DQ192" s="1">
        <v>2952.01</v>
      </c>
      <c r="DR192" s="1">
        <v>3084.91</v>
      </c>
      <c r="DS192" s="1">
        <v>2668.72</v>
      </c>
      <c r="DT192" s="1">
        <v>2559.25</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2205.19</v>
      </c>
      <c r="EL192" s="1">
        <v>841.54</v>
      </c>
      <c r="EM192" s="1">
        <v>739.04</v>
      </c>
      <c r="EN192" s="1">
        <v>378.47</v>
      </c>
      <c r="EO192" s="1">
        <v>2205.0700000000002</v>
      </c>
      <c r="EP192" s="1">
        <v>841.43000000000006</v>
      </c>
      <c r="EQ192" s="1">
        <v>738.37</v>
      </c>
      <c r="ER192" s="1">
        <v>377.28</v>
      </c>
      <c r="ES192" s="1">
        <v>0.12</v>
      </c>
      <c r="ET192" s="1">
        <v>0.11</v>
      </c>
      <c r="EU192" s="1">
        <v>0.66999999999999993</v>
      </c>
      <c r="EV192" s="1">
        <v>1.19</v>
      </c>
      <c r="EW192" s="1">
        <v>0</v>
      </c>
      <c r="EX192" s="1">
        <v>0</v>
      </c>
      <c r="EY192" s="1">
        <v>0</v>
      </c>
      <c r="EZ192" s="1">
        <v>0</v>
      </c>
      <c r="FA192" s="1">
        <v>0</v>
      </c>
      <c r="FB192" s="1">
        <v>0</v>
      </c>
      <c r="FC192" s="1">
        <v>0</v>
      </c>
      <c r="FD192" s="1">
        <v>0</v>
      </c>
      <c r="FE192" s="1">
        <v>3.4060000000000001</v>
      </c>
      <c r="FF192" s="1">
        <v>19.632999999999999</v>
      </c>
      <c r="FG192" s="1">
        <v>42.381999999999998</v>
      </c>
      <c r="FH192" s="1">
        <v>40.186</v>
      </c>
      <c r="FI192" s="1">
        <v>3.4060000000000001</v>
      </c>
      <c r="FJ192" s="1">
        <v>19.632999999999999</v>
      </c>
      <c r="FK192" s="1">
        <v>42.381999999999998</v>
      </c>
      <c r="FL192" s="1">
        <v>40.186</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v>0</v>
      </c>
      <c r="GC192" s="1">
        <v>1.18</v>
      </c>
      <c r="GD192" s="1">
        <v>34.543999999999997</v>
      </c>
      <c r="GE192" s="1">
        <v>12.587999999999999</v>
      </c>
      <c r="GF192" s="1">
        <v>13.42</v>
      </c>
      <c r="GG192" s="1">
        <v>1.18</v>
      </c>
      <c r="GH192" s="1">
        <v>5.92</v>
      </c>
      <c r="GI192" s="1">
        <v>12.587999999999999</v>
      </c>
      <c r="GJ192" s="1">
        <v>13.42</v>
      </c>
      <c r="GK192" s="1">
        <v>0</v>
      </c>
      <c r="GL192" s="1">
        <v>28.623999999999999</v>
      </c>
      <c r="GM192" s="1">
        <v>0</v>
      </c>
      <c r="GN192" s="1">
        <v>0</v>
      </c>
      <c r="GO192" s="1">
        <v>0</v>
      </c>
      <c r="GP192" s="1">
        <v>0</v>
      </c>
      <c r="GQ192" s="1">
        <v>0</v>
      </c>
      <c r="GR192" s="1">
        <v>0</v>
      </c>
      <c r="GS192" s="1">
        <v>0</v>
      </c>
      <c r="GT192" s="1">
        <v>0</v>
      </c>
      <c r="GU192" s="1">
        <v>0</v>
      </c>
      <c r="GV192" s="1">
        <v>0</v>
      </c>
      <c r="GW192" s="1">
        <v>0</v>
      </c>
      <c r="GX192" s="1">
        <v>0</v>
      </c>
      <c r="GY192" s="1">
        <v>0</v>
      </c>
      <c r="GZ192" s="1">
        <v>0</v>
      </c>
      <c r="HA192" s="1">
        <v>0</v>
      </c>
      <c r="HB192" s="1">
        <v>0</v>
      </c>
      <c r="HC192" s="1">
        <v>0</v>
      </c>
      <c r="HD192" s="1">
        <v>0</v>
      </c>
      <c r="HE192" s="1">
        <v>0</v>
      </c>
      <c r="HF192" s="1">
        <v>0</v>
      </c>
      <c r="HG192" s="1">
        <v>0</v>
      </c>
      <c r="HH192" s="1">
        <v>0</v>
      </c>
      <c r="HI192" s="1">
        <v>0</v>
      </c>
      <c r="HJ192" s="1">
        <v>0</v>
      </c>
      <c r="HK192" s="1">
        <v>0</v>
      </c>
      <c r="HL192" s="1">
        <v>0</v>
      </c>
      <c r="HM192" s="1">
        <v>0</v>
      </c>
      <c r="HN192" s="1">
        <v>0</v>
      </c>
      <c r="HO192" s="1">
        <v>0</v>
      </c>
      <c r="HP192" s="1">
        <v>0</v>
      </c>
      <c r="HQ192" s="1">
        <v>0</v>
      </c>
      <c r="HR192" s="1">
        <v>0</v>
      </c>
      <c r="HS192" s="1">
        <v>0</v>
      </c>
      <c r="HT192" s="1">
        <v>0</v>
      </c>
      <c r="HU192" s="1">
        <v>0</v>
      </c>
      <c r="HV192" s="1">
        <v>0</v>
      </c>
      <c r="HW192" s="1">
        <v>0</v>
      </c>
      <c r="HX192" s="1">
        <v>0</v>
      </c>
      <c r="HY192" s="1">
        <v>0</v>
      </c>
      <c r="HZ192" s="1">
        <v>0</v>
      </c>
      <c r="IA192" s="1">
        <v>0</v>
      </c>
      <c r="IB192" s="1">
        <v>0</v>
      </c>
      <c r="IC192" s="1">
        <v>0</v>
      </c>
      <c r="ID192" s="1">
        <v>0</v>
      </c>
      <c r="IE192" s="1">
        <v>0</v>
      </c>
      <c r="IF192" s="1">
        <v>0</v>
      </c>
      <c r="IG192" s="1">
        <v>0</v>
      </c>
      <c r="IH192" s="1">
        <v>0</v>
      </c>
      <c r="II192" s="1">
        <v>0</v>
      </c>
      <c r="IJ192" s="1">
        <v>0</v>
      </c>
      <c r="IK192" s="1">
        <v>0</v>
      </c>
      <c r="IL192" s="1">
        <v>0</v>
      </c>
      <c r="IM192" s="1">
        <v>0</v>
      </c>
      <c r="IN192" s="1">
        <v>0</v>
      </c>
      <c r="IO192" s="1">
        <v>106.37</v>
      </c>
      <c r="IP192" s="1">
        <v>310.47399999999999</v>
      </c>
      <c r="IQ192" s="1">
        <v>218.29</v>
      </c>
      <c r="IR192" s="1">
        <v>282.39</v>
      </c>
      <c r="IS192" s="1">
        <v>106.37</v>
      </c>
      <c r="IT192" s="1">
        <v>281.85000000000002</v>
      </c>
      <c r="IU192" s="1">
        <v>218.29</v>
      </c>
      <c r="IV192" s="1">
        <v>282.39</v>
      </c>
      <c r="IW192" s="1">
        <v>0</v>
      </c>
      <c r="IX192" s="1">
        <v>28.623999999999999</v>
      </c>
      <c r="IY192" s="1">
        <v>0</v>
      </c>
      <c r="IZ192" s="1">
        <v>0</v>
      </c>
      <c r="JA192" s="1">
        <v>0</v>
      </c>
      <c r="JB192" s="1">
        <v>0</v>
      </c>
      <c r="JC192" s="1">
        <v>0</v>
      </c>
      <c r="JD192" s="1">
        <v>0</v>
      </c>
      <c r="JE192" s="1">
        <v>0</v>
      </c>
      <c r="JF192" s="1">
        <v>0</v>
      </c>
      <c r="JG192" s="1">
        <v>0</v>
      </c>
      <c r="JH192" s="1">
        <v>0</v>
      </c>
      <c r="JI192" s="1">
        <v>0</v>
      </c>
      <c r="JJ192" s="1">
        <v>0</v>
      </c>
      <c r="JK192" s="1">
        <v>0</v>
      </c>
      <c r="JL192" s="1">
        <v>0</v>
      </c>
      <c r="JM192" s="1">
        <v>0</v>
      </c>
      <c r="JN192" s="1">
        <v>0</v>
      </c>
      <c r="JO192" s="1">
        <v>0</v>
      </c>
      <c r="JP192" s="1">
        <v>0</v>
      </c>
      <c r="JQ192" s="9"/>
      <c r="JR192" s="1">
        <f t="shared" si="38"/>
        <v>3051.5648399999995</v>
      </c>
      <c r="JS192" s="1">
        <f t="shared" si="38"/>
        <v>3036.3403500000004</v>
      </c>
      <c r="JT192" s="1">
        <f t="shared" si="38"/>
        <v>2883.5041500000007</v>
      </c>
      <c r="JU192" s="1">
        <f t="shared" si="36"/>
        <v>2941.1008200000015</v>
      </c>
      <c r="JV192" s="1">
        <f t="shared" si="39"/>
        <v>565.10459999999989</v>
      </c>
      <c r="JW192" s="1">
        <f t="shared" si="39"/>
        <v>562.28525000000002</v>
      </c>
      <c r="JX192" s="1">
        <f t="shared" si="39"/>
        <v>533.98225000000014</v>
      </c>
      <c r="JY192" s="1">
        <f t="shared" si="37"/>
        <v>544.64830000000018</v>
      </c>
    </row>
    <row r="193" spans="1:285" x14ac:dyDescent="0.35">
      <c r="A193" s="2" t="s">
        <v>200</v>
      </c>
      <c r="B193" s="1">
        <v>149545</v>
      </c>
      <c r="C193" s="1">
        <v>151497</v>
      </c>
      <c r="D193" s="1">
        <v>153828</v>
      </c>
      <c r="E193" s="1">
        <v>156657</v>
      </c>
      <c r="F193" s="1">
        <v>47568.2</v>
      </c>
      <c r="G193" s="1">
        <v>54168.53</v>
      </c>
      <c r="H193" s="1">
        <v>51263.820000000007</v>
      </c>
      <c r="I193" s="1">
        <v>50777.53</v>
      </c>
      <c r="J193" s="1">
        <f t="shared" si="40"/>
        <v>34181.899999999994</v>
      </c>
      <c r="K193" s="1">
        <f t="shared" si="41"/>
        <v>41911.599999999999</v>
      </c>
      <c r="L193" s="1">
        <f t="shared" si="42"/>
        <v>41098.050000000003</v>
      </c>
      <c r="M193" s="1">
        <f t="shared" si="43"/>
        <v>39614.179999999986</v>
      </c>
      <c r="N193" s="1">
        <f t="shared" si="44"/>
        <v>13386.300000000003</v>
      </c>
      <c r="O193" s="1">
        <f t="shared" si="45"/>
        <v>12256.93</v>
      </c>
      <c r="P193" s="1">
        <f t="shared" si="46"/>
        <v>10165.770000000004</v>
      </c>
      <c r="Q193" s="1">
        <f t="shared" si="47"/>
        <v>11163.350000000013</v>
      </c>
      <c r="R193" s="1">
        <v>5137</v>
      </c>
      <c r="S193" s="1">
        <v>5138</v>
      </c>
      <c r="T193" s="1">
        <v>4741</v>
      </c>
      <c r="U193" s="1">
        <v>4452</v>
      </c>
      <c r="V193" s="1">
        <v>0</v>
      </c>
      <c r="W193" s="1">
        <v>0</v>
      </c>
      <c r="X193" s="1">
        <v>5137</v>
      </c>
      <c r="Y193" s="1">
        <v>0</v>
      </c>
      <c r="Z193" s="1">
        <v>0</v>
      </c>
      <c r="AA193" s="1">
        <v>5138</v>
      </c>
      <c r="AB193" s="1">
        <v>0</v>
      </c>
      <c r="AC193" s="1">
        <v>0</v>
      </c>
      <c r="AD193" s="1">
        <v>4741</v>
      </c>
      <c r="AE193" s="1">
        <v>0</v>
      </c>
      <c r="AF193" s="1">
        <v>0</v>
      </c>
      <c r="AG193" s="1">
        <v>4452</v>
      </c>
      <c r="AH193" s="1">
        <v>0</v>
      </c>
      <c r="AI193" s="1">
        <v>0</v>
      </c>
      <c r="AJ193" s="1">
        <v>0</v>
      </c>
      <c r="AK193" s="1">
        <v>0</v>
      </c>
      <c r="AL193" s="1">
        <v>0</v>
      </c>
      <c r="AM193" s="1">
        <v>0</v>
      </c>
      <c r="AN193" s="1">
        <v>0</v>
      </c>
      <c r="AO193" s="1">
        <v>0</v>
      </c>
      <c r="AP193" s="1">
        <v>7939</v>
      </c>
      <c r="AQ193" s="1">
        <v>10833</v>
      </c>
      <c r="AR193" s="1">
        <v>9529</v>
      </c>
      <c r="AS193" s="1">
        <v>10790</v>
      </c>
      <c r="AT193" s="1">
        <v>0</v>
      </c>
      <c r="AU193" s="1">
        <v>7939</v>
      </c>
      <c r="AV193" s="1">
        <v>0</v>
      </c>
      <c r="AW193" s="1">
        <v>0</v>
      </c>
      <c r="AX193" s="1">
        <v>0</v>
      </c>
      <c r="AY193" s="1">
        <v>10833</v>
      </c>
      <c r="AZ193" s="1">
        <v>0</v>
      </c>
      <c r="BA193" s="1">
        <v>0</v>
      </c>
      <c r="BB193" s="1">
        <v>0</v>
      </c>
      <c r="BC193" s="1">
        <v>9529</v>
      </c>
      <c r="BD193" s="1">
        <v>0</v>
      </c>
      <c r="BE193" s="1">
        <v>0</v>
      </c>
      <c r="BF193" s="1">
        <v>10790</v>
      </c>
      <c r="BG193" s="1">
        <v>0</v>
      </c>
      <c r="BH193" s="1">
        <v>0</v>
      </c>
      <c r="BI193" s="1">
        <v>0</v>
      </c>
      <c r="BJ193" s="1">
        <v>0</v>
      </c>
      <c r="BK193" s="1">
        <v>0</v>
      </c>
      <c r="BL193" s="1">
        <v>0</v>
      </c>
      <c r="BM193" s="1">
        <v>0</v>
      </c>
      <c r="BN193" s="1">
        <v>0</v>
      </c>
      <c r="BO193" s="1">
        <v>0</v>
      </c>
      <c r="BP193" s="1">
        <v>0</v>
      </c>
      <c r="BQ193" s="1">
        <v>0</v>
      </c>
      <c r="BR193" s="1">
        <v>0</v>
      </c>
      <c r="BS193" s="1">
        <v>0</v>
      </c>
      <c r="BT193" s="1">
        <v>0</v>
      </c>
      <c r="BU193" s="1">
        <v>11272</v>
      </c>
      <c r="BV193" s="1">
        <v>15240.4</v>
      </c>
      <c r="BW193" s="1">
        <v>13523</v>
      </c>
      <c r="BX193" s="1">
        <v>13677</v>
      </c>
      <c r="BY193" s="1">
        <v>11271.7</v>
      </c>
      <c r="BZ193" s="1">
        <v>15240.4</v>
      </c>
      <c r="CA193" s="1">
        <v>13523</v>
      </c>
      <c r="CB193" s="1">
        <v>13677</v>
      </c>
      <c r="CC193" s="1">
        <v>0.3</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2855.1</v>
      </c>
      <c r="CT193" s="1">
        <v>1828</v>
      </c>
      <c r="CU193" s="1">
        <v>1506.6</v>
      </c>
      <c r="CV193" s="1">
        <v>1273.5899999999999</v>
      </c>
      <c r="CW193" s="1">
        <v>2855.1</v>
      </c>
      <c r="CX193" s="1">
        <v>1828</v>
      </c>
      <c r="CY193" s="1">
        <v>1506.6</v>
      </c>
      <c r="CZ193" s="1">
        <v>1273.5899999999999</v>
      </c>
      <c r="DA193" s="1">
        <v>0</v>
      </c>
      <c r="DB193" s="1">
        <v>0</v>
      </c>
      <c r="DC193" s="1">
        <v>0</v>
      </c>
      <c r="DD193" s="1">
        <v>0</v>
      </c>
      <c r="DE193" s="1">
        <v>0</v>
      </c>
      <c r="DF193" s="1">
        <v>0</v>
      </c>
      <c r="DG193" s="1">
        <v>0</v>
      </c>
      <c r="DH193" s="1">
        <v>0</v>
      </c>
      <c r="DI193" s="1">
        <v>0</v>
      </c>
      <c r="DJ193" s="1">
        <v>0</v>
      </c>
      <c r="DK193" s="1">
        <v>0</v>
      </c>
      <c r="DL193" s="1">
        <v>0</v>
      </c>
      <c r="DM193" s="1">
        <v>4493</v>
      </c>
      <c r="DN193" s="1">
        <v>6201</v>
      </c>
      <c r="DO193" s="1">
        <v>9108</v>
      </c>
      <c r="DP193" s="1">
        <v>6486</v>
      </c>
      <c r="DQ193" s="1">
        <v>4493</v>
      </c>
      <c r="DR193" s="1">
        <v>6126</v>
      </c>
      <c r="DS193" s="1">
        <v>9108</v>
      </c>
      <c r="DT193" s="1">
        <v>6486</v>
      </c>
      <c r="DU193" s="1">
        <v>0</v>
      </c>
      <c r="DV193" s="1">
        <v>75</v>
      </c>
      <c r="DW193" s="1">
        <v>0</v>
      </c>
      <c r="DX193" s="1">
        <v>0</v>
      </c>
      <c r="DY193" s="1">
        <v>0</v>
      </c>
      <c r="DZ193" s="1">
        <v>0</v>
      </c>
      <c r="EA193" s="1">
        <v>0</v>
      </c>
      <c r="EB193" s="1">
        <v>0</v>
      </c>
      <c r="EC193" s="1">
        <v>0</v>
      </c>
      <c r="ED193" s="1">
        <v>0</v>
      </c>
      <c r="EE193" s="1">
        <v>0</v>
      </c>
      <c r="EF193" s="1">
        <v>0</v>
      </c>
      <c r="EG193" s="1">
        <v>0</v>
      </c>
      <c r="EH193" s="1">
        <v>0</v>
      </c>
      <c r="EI193" s="1">
        <v>0</v>
      </c>
      <c r="EJ193" s="1">
        <v>0</v>
      </c>
      <c r="EK193" s="1">
        <v>931.6</v>
      </c>
      <c r="EL193" s="1">
        <v>1120.3</v>
      </c>
      <c r="EM193" s="1">
        <v>1126.8</v>
      </c>
      <c r="EN193" s="1">
        <v>954.84</v>
      </c>
      <c r="EO193" s="1">
        <v>931.6</v>
      </c>
      <c r="EP193" s="1">
        <v>1120.3</v>
      </c>
      <c r="EQ193" s="1">
        <v>1126.8</v>
      </c>
      <c r="ER193" s="1">
        <v>954.84</v>
      </c>
      <c r="ES193" s="1">
        <v>0</v>
      </c>
      <c r="ET193" s="1">
        <v>0</v>
      </c>
      <c r="EU193" s="1">
        <v>0</v>
      </c>
      <c r="EV193" s="1">
        <v>0</v>
      </c>
      <c r="EW193" s="1">
        <v>0</v>
      </c>
      <c r="EX193" s="1">
        <v>0</v>
      </c>
      <c r="EY193" s="1">
        <v>0</v>
      </c>
      <c r="EZ193" s="1">
        <v>0</v>
      </c>
      <c r="FA193" s="1">
        <v>0</v>
      </c>
      <c r="FB193" s="1">
        <v>0</v>
      </c>
      <c r="FC193" s="1">
        <v>0</v>
      </c>
      <c r="FD193" s="1">
        <v>0</v>
      </c>
      <c r="FE193" s="1">
        <v>699</v>
      </c>
      <c r="FF193" s="1">
        <v>712.59999999999991</v>
      </c>
      <c r="FG193" s="1">
        <v>762.8</v>
      </c>
      <c r="FH193" s="1">
        <v>1021.09</v>
      </c>
      <c r="FI193" s="1">
        <v>458.6</v>
      </c>
      <c r="FJ193" s="1">
        <v>467.1</v>
      </c>
      <c r="FK193" s="1">
        <v>377.1</v>
      </c>
      <c r="FL193" s="1">
        <v>154.37</v>
      </c>
      <c r="FM193" s="1">
        <v>240.4</v>
      </c>
      <c r="FN193" s="1">
        <v>245.5</v>
      </c>
      <c r="FO193" s="1">
        <v>313.10000000000002</v>
      </c>
      <c r="FP193" s="1">
        <v>552.62</v>
      </c>
      <c r="FQ193" s="1">
        <v>0</v>
      </c>
      <c r="FR193" s="1">
        <v>0</v>
      </c>
      <c r="FS193" s="1">
        <v>0</v>
      </c>
      <c r="FT193" s="1">
        <v>0</v>
      </c>
      <c r="FU193" s="1">
        <v>0</v>
      </c>
      <c r="FV193" s="1">
        <v>0</v>
      </c>
      <c r="FW193" s="1">
        <v>0</v>
      </c>
      <c r="FX193" s="1">
        <v>0</v>
      </c>
      <c r="FY193" s="1">
        <v>0</v>
      </c>
      <c r="FZ193" s="1">
        <v>0</v>
      </c>
      <c r="GA193" s="1">
        <v>0</v>
      </c>
      <c r="GB193" s="1">
        <v>0</v>
      </c>
      <c r="GC193" s="1">
        <v>60.7</v>
      </c>
      <c r="GD193" s="1">
        <v>35.6</v>
      </c>
      <c r="GE193" s="1">
        <v>75.849999999999994</v>
      </c>
      <c r="GF193" s="1">
        <v>103.6</v>
      </c>
      <c r="GG193" s="1">
        <v>25.2</v>
      </c>
      <c r="GH193" s="1">
        <v>35.6</v>
      </c>
      <c r="GI193" s="1">
        <v>35.28</v>
      </c>
      <c r="GJ193" s="1">
        <v>46.4</v>
      </c>
      <c r="GK193" s="1">
        <v>35.5</v>
      </c>
      <c r="GL193" s="1">
        <v>0</v>
      </c>
      <c r="GM193" s="1">
        <v>40.57</v>
      </c>
      <c r="GN193" s="1">
        <v>57.2</v>
      </c>
      <c r="GO193" s="1">
        <v>0</v>
      </c>
      <c r="GP193" s="1">
        <v>0</v>
      </c>
      <c r="GQ193" s="1">
        <v>0</v>
      </c>
      <c r="GR193" s="1">
        <v>0</v>
      </c>
      <c r="GS193" s="1">
        <v>0</v>
      </c>
      <c r="GT193" s="1">
        <v>0</v>
      </c>
      <c r="GU193" s="1">
        <v>0</v>
      </c>
      <c r="GV193" s="1">
        <v>0</v>
      </c>
      <c r="GW193" s="1">
        <v>0</v>
      </c>
      <c r="GX193" s="1">
        <v>0</v>
      </c>
      <c r="GY193" s="1">
        <v>0</v>
      </c>
      <c r="GZ193" s="1">
        <v>0</v>
      </c>
      <c r="HA193" s="1">
        <v>0</v>
      </c>
      <c r="HB193" s="1">
        <v>0</v>
      </c>
      <c r="HC193" s="1">
        <v>0</v>
      </c>
      <c r="HD193" s="1">
        <v>0</v>
      </c>
      <c r="HE193" s="1">
        <v>0</v>
      </c>
      <c r="HF193" s="1">
        <v>0</v>
      </c>
      <c r="HG193" s="1">
        <v>0</v>
      </c>
      <c r="HH193" s="1">
        <v>0</v>
      </c>
      <c r="HI193" s="1">
        <v>0</v>
      </c>
      <c r="HJ193" s="1">
        <v>0</v>
      </c>
      <c r="HK193" s="1">
        <v>0</v>
      </c>
      <c r="HL193" s="1">
        <v>0</v>
      </c>
      <c r="HM193" s="1">
        <v>0</v>
      </c>
      <c r="HN193" s="1">
        <v>0</v>
      </c>
      <c r="HO193" s="1">
        <v>0</v>
      </c>
      <c r="HP193" s="1">
        <v>0</v>
      </c>
      <c r="HQ193" s="1">
        <v>0</v>
      </c>
      <c r="HR193" s="1">
        <v>0</v>
      </c>
      <c r="HS193" s="1">
        <v>0</v>
      </c>
      <c r="HT193" s="1">
        <v>0</v>
      </c>
      <c r="HU193" s="1">
        <v>0</v>
      </c>
      <c r="HV193" s="1">
        <v>0</v>
      </c>
      <c r="HW193" s="1">
        <v>0</v>
      </c>
      <c r="HX193" s="1">
        <v>0</v>
      </c>
      <c r="HY193" s="1">
        <v>0</v>
      </c>
      <c r="HZ193" s="1">
        <v>0</v>
      </c>
      <c r="IA193" s="1">
        <v>0</v>
      </c>
      <c r="IB193" s="1">
        <v>0</v>
      </c>
      <c r="IC193" s="1">
        <v>0</v>
      </c>
      <c r="ID193" s="1">
        <v>0</v>
      </c>
      <c r="IE193" s="1">
        <v>0</v>
      </c>
      <c r="IF193" s="1">
        <v>0</v>
      </c>
      <c r="IG193" s="1">
        <v>0</v>
      </c>
      <c r="IH193" s="1">
        <v>0</v>
      </c>
      <c r="II193" s="1">
        <v>0</v>
      </c>
      <c r="IJ193" s="1">
        <v>0</v>
      </c>
      <c r="IK193" s="1">
        <v>0</v>
      </c>
      <c r="IL193" s="1">
        <v>0</v>
      </c>
      <c r="IM193" s="1">
        <v>0</v>
      </c>
      <c r="IN193" s="1">
        <v>0</v>
      </c>
      <c r="IO193" s="1">
        <v>794.5</v>
      </c>
      <c r="IP193" s="1">
        <v>802.7</v>
      </c>
      <c r="IQ193" s="1">
        <v>725</v>
      </c>
      <c r="IR193" s="1">
        <v>856.06</v>
      </c>
      <c r="IS193" s="1">
        <v>464.5</v>
      </c>
      <c r="IT193" s="1">
        <v>527.5</v>
      </c>
      <c r="IU193" s="1">
        <v>406.6</v>
      </c>
      <c r="IV193" s="1">
        <v>494.7</v>
      </c>
      <c r="IW193" s="1">
        <v>0</v>
      </c>
      <c r="IX193" s="1">
        <v>0</v>
      </c>
      <c r="IY193" s="1">
        <v>0</v>
      </c>
      <c r="IZ193" s="1">
        <v>0</v>
      </c>
      <c r="JA193" s="1">
        <v>165</v>
      </c>
      <c r="JB193" s="1">
        <v>137.6</v>
      </c>
      <c r="JC193" s="1">
        <v>161</v>
      </c>
      <c r="JD193" s="1">
        <v>178.78</v>
      </c>
      <c r="JE193" s="1">
        <v>165</v>
      </c>
      <c r="JF193" s="1">
        <v>137.6</v>
      </c>
      <c r="JG193" s="1">
        <v>154</v>
      </c>
      <c r="JH193" s="1">
        <v>182.58</v>
      </c>
      <c r="JI193" s="1">
        <v>0</v>
      </c>
      <c r="JJ193" s="1">
        <v>0</v>
      </c>
      <c r="JK193" s="1">
        <v>0</v>
      </c>
      <c r="JL193" s="1">
        <v>0</v>
      </c>
      <c r="JM193" s="1">
        <v>0</v>
      </c>
      <c r="JN193" s="1">
        <v>0</v>
      </c>
      <c r="JO193" s="1">
        <v>3.4</v>
      </c>
      <c r="JP193" s="1">
        <v>0</v>
      </c>
      <c r="JQ193" s="9"/>
      <c r="JR193" s="1">
        <f t="shared" si="38"/>
        <v>3614.3010000000008</v>
      </c>
      <c r="JS193" s="1">
        <f t="shared" si="38"/>
        <v>3309.3711000000003</v>
      </c>
      <c r="JT193" s="1">
        <f t="shared" si="38"/>
        <v>2744.7579000000014</v>
      </c>
      <c r="JU193" s="1">
        <f t="shared" si="38"/>
        <v>3014.1045000000036</v>
      </c>
      <c r="JV193" s="1">
        <f t="shared" si="39"/>
        <v>669.31500000000017</v>
      </c>
      <c r="JW193" s="1">
        <f t="shared" si="39"/>
        <v>612.84649999999999</v>
      </c>
      <c r="JX193" s="1">
        <f t="shared" si="39"/>
        <v>508.28850000000023</v>
      </c>
      <c r="JY193" s="1">
        <f t="shared" si="39"/>
        <v>558.1675000000007</v>
      </c>
    </row>
    <row r="194" spans="1:285" x14ac:dyDescent="0.35">
      <c r="A194" s="2" t="s">
        <v>201</v>
      </c>
      <c r="B194" s="1">
        <v>60780</v>
      </c>
      <c r="C194" s="1">
        <v>61865</v>
      </c>
      <c r="D194" s="1">
        <v>63235</v>
      </c>
      <c r="E194" s="1">
        <v>64736</v>
      </c>
      <c r="F194" s="1">
        <v>14374.427</v>
      </c>
      <c r="G194" s="1">
        <v>14937.246999999999</v>
      </c>
      <c r="H194" s="1">
        <v>14532.253000000001</v>
      </c>
      <c r="I194" s="1">
        <v>14666.239</v>
      </c>
      <c r="J194" s="1">
        <f t="shared" si="40"/>
        <v>8954.2849999999999</v>
      </c>
      <c r="K194" s="1">
        <f t="shared" si="41"/>
        <v>9173.1679999999997</v>
      </c>
      <c r="L194" s="1">
        <f t="shared" si="42"/>
        <v>8661.9549999999981</v>
      </c>
      <c r="M194" s="1">
        <f t="shared" si="43"/>
        <v>8612.6840000000011</v>
      </c>
      <c r="N194" s="1">
        <f t="shared" si="44"/>
        <v>5420.1419999999998</v>
      </c>
      <c r="O194" s="1">
        <f t="shared" si="45"/>
        <v>5764.0789999999997</v>
      </c>
      <c r="P194" s="1">
        <f t="shared" si="46"/>
        <v>5870.2980000000025</v>
      </c>
      <c r="Q194" s="1">
        <f t="shared" si="47"/>
        <v>6053.5549999999985</v>
      </c>
      <c r="R194" s="1">
        <v>0</v>
      </c>
      <c r="S194" s="1">
        <v>0</v>
      </c>
      <c r="T194" s="1">
        <v>0</v>
      </c>
      <c r="U194" s="1">
        <v>0</v>
      </c>
      <c r="V194" s="1">
        <v>0</v>
      </c>
      <c r="W194" s="1">
        <v>0</v>
      </c>
      <c r="X194" s="1">
        <v>0</v>
      </c>
      <c r="Y194" s="1">
        <v>0</v>
      </c>
      <c r="Z194" s="1">
        <v>0</v>
      </c>
      <c r="AA194" s="1">
        <v>0</v>
      </c>
      <c r="AB194" s="1">
        <v>0</v>
      </c>
      <c r="AC194" s="1">
        <v>0</v>
      </c>
      <c r="AD194" s="1">
        <v>0</v>
      </c>
      <c r="AE194" s="1">
        <v>0</v>
      </c>
      <c r="AF194" s="1">
        <v>0</v>
      </c>
      <c r="AG194" s="1">
        <v>0</v>
      </c>
      <c r="AH194" s="1">
        <v>0</v>
      </c>
      <c r="AI194" s="1">
        <v>0</v>
      </c>
      <c r="AJ194" s="1">
        <v>0</v>
      </c>
      <c r="AK194" s="1">
        <v>0</v>
      </c>
      <c r="AL194" s="1">
        <v>0</v>
      </c>
      <c r="AM194" s="1">
        <v>0</v>
      </c>
      <c r="AN194" s="1">
        <v>0</v>
      </c>
      <c r="AO194" s="1">
        <v>0</v>
      </c>
      <c r="AP194" s="1">
        <v>4080.16</v>
      </c>
      <c r="AQ194" s="1">
        <v>3834.7799999999997</v>
      </c>
      <c r="AR194" s="1">
        <v>3599.3199999999997</v>
      </c>
      <c r="AS194" s="1">
        <v>3752.32</v>
      </c>
      <c r="AT194" s="1">
        <v>0</v>
      </c>
      <c r="AU194" s="1">
        <v>4080.16</v>
      </c>
      <c r="AV194" s="1">
        <v>0</v>
      </c>
      <c r="AW194" s="1">
        <v>0</v>
      </c>
      <c r="AX194" s="1">
        <v>0</v>
      </c>
      <c r="AY194" s="1">
        <v>3834.7799999999997</v>
      </c>
      <c r="AZ194" s="1">
        <v>0</v>
      </c>
      <c r="BA194" s="1">
        <v>0</v>
      </c>
      <c r="BB194" s="1">
        <v>0</v>
      </c>
      <c r="BC194" s="1">
        <v>3599.3199999999997</v>
      </c>
      <c r="BD194" s="1">
        <v>0</v>
      </c>
      <c r="BE194" s="1">
        <v>0</v>
      </c>
      <c r="BF194" s="1">
        <v>3752.32</v>
      </c>
      <c r="BG194" s="1">
        <v>0</v>
      </c>
      <c r="BH194" s="1">
        <v>0</v>
      </c>
      <c r="BI194" s="1">
        <v>0</v>
      </c>
      <c r="BJ194" s="1">
        <v>0</v>
      </c>
      <c r="BK194" s="1">
        <v>0</v>
      </c>
      <c r="BL194" s="1">
        <v>0</v>
      </c>
      <c r="BM194" s="1">
        <v>0</v>
      </c>
      <c r="BN194" s="1">
        <v>0</v>
      </c>
      <c r="BO194" s="1">
        <v>0</v>
      </c>
      <c r="BP194" s="1">
        <v>0</v>
      </c>
      <c r="BQ194" s="1">
        <v>0</v>
      </c>
      <c r="BR194" s="1">
        <v>0</v>
      </c>
      <c r="BS194" s="1">
        <v>0</v>
      </c>
      <c r="BT194" s="1">
        <v>0</v>
      </c>
      <c r="BU194" s="1">
        <v>1157.848</v>
      </c>
      <c r="BV194" s="1">
        <v>1708.068</v>
      </c>
      <c r="BW194" s="1">
        <v>1602.59</v>
      </c>
      <c r="BX194" s="1">
        <v>1512.26</v>
      </c>
      <c r="BY194" s="1">
        <v>1157.848</v>
      </c>
      <c r="BZ194" s="1">
        <v>1708.068</v>
      </c>
      <c r="CA194" s="1">
        <v>1602.59</v>
      </c>
      <c r="CB194" s="1">
        <v>1512.26</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564.48</v>
      </c>
      <c r="CT194" s="1">
        <v>565.6</v>
      </c>
      <c r="CU194" s="1">
        <v>452.59399999999999</v>
      </c>
      <c r="CV194" s="1">
        <v>428.79</v>
      </c>
      <c r="CW194" s="1">
        <v>564.48</v>
      </c>
      <c r="CX194" s="1">
        <v>565.6</v>
      </c>
      <c r="CY194" s="1">
        <v>452.59399999999999</v>
      </c>
      <c r="CZ194" s="1">
        <v>428.79</v>
      </c>
      <c r="DA194" s="1">
        <v>0</v>
      </c>
      <c r="DB194" s="1">
        <v>0</v>
      </c>
      <c r="DC194" s="1">
        <v>0</v>
      </c>
      <c r="DD194" s="1">
        <v>0</v>
      </c>
      <c r="DE194" s="1">
        <v>0</v>
      </c>
      <c r="DF194" s="1">
        <v>0</v>
      </c>
      <c r="DG194" s="1">
        <v>0</v>
      </c>
      <c r="DH194" s="1">
        <v>0</v>
      </c>
      <c r="DI194" s="1">
        <v>0</v>
      </c>
      <c r="DJ194" s="1">
        <v>0</v>
      </c>
      <c r="DK194" s="1">
        <v>0</v>
      </c>
      <c r="DL194" s="1">
        <v>0</v>
      </c>
      <c r="DM194" s="1">
        <v>2125.6799999999998</v>
      </c>
      <c r="DN194" s="1">
        <v>1896.79</v>
      </c>
      <c r="DO194" s="1">
        <v>1757.24</v>
      </c>
      <c r="DP194" s="1">
        <v>1733.4</v>
      </c>
      <c r="DQ194" s="1">
        <v>2125.6799999999998</v>
      </c>
      <c r="DR194" s="1">
        <v>1896.79</v>
      </c>
      <c r="DS194" s="1">
        <v>1757.24</v>
      </c>
      <c r="DT194" s="1">
        <v>1733.4</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629.76</v>
      </c>
      <c r="EL194" s="1">
        <v>601.96</v>
      </c>
      <c r="EM194" s="1">
        <v>495.32000000000011</v>
      </c>
      <c r="EN194" s="1">
        <v>443.25</v>
      </c>
      <c r="EO194" s="1">
        <v>629.76</v>
      </c>
      <c r="EP194" s="1">
        <v>601.96</v>
      </c>
      <c r="EQ194" s="1">
        <v>495.32000000000011</v>
      </c>
      <c r="ER194" s="1">
        <v>443.25</v>
      </c>
      <c r="ES194" s="1">
        <v>0</v>
      </c>
      <c r="ET194" s="1">
        <v>0</v>
      </c>
      <c r="EU194" s="1">
        <v>0</v>
      </c>
      <c r="EV194" s="1">
        <v>0</v>
      </c>
      <c r="EW194" s="1">
        <v>0</v>
      </c>
      <c r="EX194" s="1">
        <v>0</v>
      </c>
      <c r="EY194" s="1">
        <v>0</v>
      </c>
      <c r="EZ194" s="1">
        <v>0</v>
      </c>
      <c r="FA194" s="1">
        <v>0</v>
      </c>
      <c r="FB194" s="1">
        <v>0</v>
      </c>
      <c r="FC194" s="1">
        <v>0</v>
      </c>
      <c r="FD194" s="1">
        <v>0</v>
      </c>
      <c r="FE194" s="1">
        <v>27.501999999999999</v>
      </c>
      <c r="FF194" s="1">
        <v>41.728000000000002</v>
      </c>
      <c r="FG194" s="1">
        <v>20.015999999999998</v>
      </c>
      <c r="FH194" s="1">
        <v>28.617000000000001</v>
      </c>
      <c r="FI194" s="1">
        <v>27.501999999999999</v>
      </c>
      <c r="FJ194" s="1">
        <v>41.728000000000002</v>
      </c>
      <c r="FK194" s="1">
        <v>20.015999999999998</v>
      </c>
      <c r="FL194" s="1">
        <v>28.617000000000001</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v>0</v>
      </c>
      <c r="GC194" s="1">
        <v>262.69499999999999</v>
      </c>
      <c r="GD194" s="1">
        <v>245.512</v>
      </c>
      <c r="GE194" s="1">
        <v>186.29499999999999</v>
      </c>
      <c r="GF194" s="1">
        <v>250.39699999999999</v>
      </c>
      <c r="GG194" s="1">
        <v>262.69499999999999</v>
      </c>
      <c r="GH194" s="1">
        <v>245.512</v>
      </c>
      <c r="GI194" s="1">
        <v>186.29499999999999</v>
      </c>
      <c r="GJ194" s="1">
        <v>250.39699999999999</v>
      </c>
      <c r="GK194" s="1">
        <v>0</v>
      </c>
      <c r="GL194" s="1">
        <v>0</v>
      </c>
      <c r="GM194" s="1">
        <v>0</v>
      </c>
      <c r="GN194" s="1">
        <v>0</v>
      </c>
      <c r="GO194" s="1">
        <v>0</v>
      </c>
      <c r="GP194" s="1">
        <v>0</v>
      </c>
      <c r="GQ194" s="1">
        <v>0</v>
      </c>
      <c r="GR194" s="1">
        <v>0</v>
      </c>
      <c r="GS194" s="1">
        <v>0</v>
      </c>
      <c r="GT194" s="1">
        <v>0</v>
      </c>
      <c r="GU194" s="1">
        <v>0</v>
      </c>
      <c r="GV194" s="1">
        <v>0</v>
      </c>
      <c r="GW194" s="1">
        <v>0</v>
      </c>
      <c r="GX194" s="1">
        <v>0</v>
      </c>
      <c r="GY194" s="1">
        <v>0</v>
      </c>
      <c r="GZ194" s="1">
        <v>0</v>
      </c>
      <c r="HA194" s="1">
        <v>0</v>
      </c>
      <c r="HB194" s="1">
        <v>0</v>
      </c>
      <c r="HC194" s="1">
        <v>0</v>
      </c>
      <c r="HD194" s="1">
        <v>0</v>
      </c>
      <c r="HE194" s="1">
        <v>0</v>
      </c>
      <c r="HF194" s="1">
        <v>0</v>
      </c>
      <c r="HG194" s="1">
        <v>0</v>
      </c>
      <c r="HH194" s="1">
        <v>0</v>
      </c>
      <c r="HI194" s="1">
        <v>0</v>
      </c>
      <c r="HJ194" s="1">
        <v>0</v>
      </c>
      <c r="HK194" s="1">
        <v>0</v>
      </c>
      <c r="HL194" s="1">
        <v>0</v>
      </c>
      <c r="HM194" s="1">
        <v>0</v>
      </c>
      <c r="HN194" s="1">
        <v>0</v>
      </c>
      <c r="HO194" s="1">
        <v>0</v>
      </c>
      <c r="HP194" s="1">
        <v>0</v>
      </c>
      <c r="HQ194" s="1">
        <v>0</v>
      </c>
      <c r="HR194" s="1">
        <v>0</v>
      </c>
      <c r="HS194" s="1">
        <v>0</v>
      </c>
      <c r="HT194" s="1">
        <v>0</v>
      </c>
      <c r="HU194" s="1">
        <v>0</v>
      </c>
      <c r="HV194" s="1">
        <v>0</v>
      </c>
      <c r="HW194" s="1">
        <v>0</v>
      </c>
      <c r="HX194" s="1">
        <v>0</v>
      </c>
      <c r="HY194" s="1">
        <v>0</v>
      </c>
      <c r="HZ194" s="1">
        <v>0</v>
      </c>
      <c r="IA194" s="1">
        <v>0</v>
      </c>
      <c r="IB194" s="1">
        <v>0</v>
      </c>
      <c r="IC194" s="1">
        <v>0</v>
      </c>
      <c r="ID194" s="1">
        <v>0</v>
      </c>
      <c r="IE194" s="1">
        <v>0</v>
      </c>
      <c r="IF194" s="1">
        <v>0</v>
      </c>
      <c r="IG194" s="1">
        <v>0</v>
      </c>
      <c r="IH194" s="1">
        <v>0</v>
      </c>
      <c r="II194" s="1">
        <v>0</v>
      </c>
      <c r="IJ194" s="1">
        <v>0</v>
      </c>
      <c r="IK194" s="1">
        <v>0</v>
      </c>
      <c r="IL194" s="1">
        <v>0</v>
      </c>
      <c r="IM194" s="1">
        <v>0</v>
      </c>
      <c r="IN194" s="1">
        <v>0</v>
      </c>
      <c r="IO194" s="1">
        <v>106.16</v>
      </c>
      <c r="IP194" s="1">
        <v>278.73</v>
      </c>
      <c r="IQ194" s="1">
        <v>548.57999999999993</v>
      </c>
      <c r="IR194" s="1">
        <v>463.65</v>
      </c>
      <c r="IS194" s="1">
        <v>106.16</v>
      </c>
      <c r="IT194" s="1">
        <v>278.73</v>
      </c>
      <c r="IU194" s="1">
        <v>548.57999999999993</v>
      </c>
      <c r="IV194" s="1">
        <v>463.65</v>
      </c>
      <c r="IW194" s="1">
        <v>0</v>
      </c>
      <c r="IX194" s="1">
        <v>0</v>
      </c>
      <c r="IY194" s="1">
        <v>0</v>
      </c>
      <c r="IZ194" s="1">
        <v>0</v>
      </c>
      <c r="JA194" s="1">
        <v>0</v>
      </c>
      <c r="JB194" s="1">
        <v>0</v>
      </c>
      <c r="JC194" s="1">
        <v>0</v>
      </c>
      <c r="JD194" s="1">
        <v>0</v>
      </c>
      <c r="JE194" s="1">
        <v>0</v>
      </c>
      <c r="JF194" s="1">
        <v>0</v>
      </c>
      <c r="JG194" s="1">
        <v>0</v>
      </c>
      <c r="JH194" s="1">
        <v>0</v>
      </c>
      <c r="JI194" s="1">
        <v>0</v>
      </c>
      <c r="JJ194" s="1">
        <v>0</v>
      </c>
      <c r="JK194" s="1">
        <v>0</v>
      </c>
      <c r="JL194" s="1">
        <v>0</v>
      </c>
      <c r="JM194" s="1">
        <v>0</v>
      </c>
      <c r="JN194" s="1">
        <v>0</v>
      </c>
      <c r="JO194" s="1">
        <v>0</v>
      </c>
      <c r="JP194" s="1">
        <v>0</v>
      </c>
      <c r="JQ194" s="9"/>
      <c r="JR194" s="1">
        <f t="shared" ref="JR194:JU257" si="48">27%*N194</f>
        <v>1463.4383400000002</v>
      </c>
      <c r="JS194" s="1">
        <f t="shared" si="48"/>
        <v>1556.30133</v>
      </c>
      <c r="JT194" s="1">
        <f t="shared" si="48"/>
        <v>1584.9804600000007</v>
      </c>
      <c r="JU194" s="1">
        <f t="shared" si="48"/>
        <v>1634.4598499999997</v>
      </c>
      <c r="JV194" s="1">
        <f t="shared" ref="JV194:JY257" si="49">5%*N194</f>
        <v>271.00709999999998</v>
      </c>
      <c r="JW194" s="1">
        <f t="shared" si="49"/>
        <v>288.20395000000002</v>
      </c>
      <c r="JX194" s="1">
        <f t="shared" si="49"/>
        <v>293.51490000000013</v>
      </c>
      <c r="JY194" s="1">
        <f t="shared" si="49"/>
        <v>302.67774999999995</v>
      </c>
    </row>
    <row r="195" spans="1:285" x14ac:dyDescent="0.35">
      <c r="A195" s="2" t="s">
        <v>202</v>
      </c>
      <c r="B195" s="1">
        <v>197797</v>
      </c>
      <c r="C195" s="1">
        <v>195315</v>
      </c>
      <c r="D195" s="1">
        <v>195295</v>
      </c>
      <c r="E195" s="1">
        <v>196061</v>
      </c>
      <c r="F195" s="1">
        <v>48165.057999999997</v>
      </c>
      <c r="G195" s="1">
        <v>49121.582000000002</v>
      </c>
      <c r="H195" s="1">
        <v>44244.347000000002</v>
      </c>
      <c r="I195" s="1">
        <v>44323.432999999997</v>
      </c>
      <c r="J195" s="1">
        <f t="shared" ref="J195:J258" si="50">R195+AP195+BU195+CS195+DM195+EK195+FE195+GC195+HE195+IO195</f>
        <v>33213.087999999996</v>
      </c>
      <c r="K195" s="1">
        <f t="shared" ref="K195:K258" si="51">S195+AQ195+BV195+CT195+DN195+EL195+FF195+GD195+HF195+IP195</f>
        <v>35282.228999999999</v>
      </c>
      <c r="L195" s="1">
        <f t="shared" ref="L195:L258" si="52">T195+AR195+BW195+CU195+DO195+EM195+FG195+GE195+HG195+IQ195</f>
        <v>30904.494999999995</v>
      </c>
      <c r="M195" s="1">
        <f t="shared" ref="M195:M258" si="53">U195+AS195+BX195+CV195+DP195+EN195+FH195+GF195+HH195+IR195</f>
        <v>30774.198999999997</v>
      </c>
      <c r="N195" s="1">
        <f t="shared" ref="N195:N258" si="54">F195-J195</f>
        <v>14951.970000000001</v>
      </c>
      <c r="O195" s="1">
        <f t="shared" ref="O195:O258" si="55">G195-K195</f>
        <v>13839.353000000003</v>
      </c>
      <c r="P195" s="1">
        <f t="shared" ref="P195:P258" si="56">H195-L195</f>
        <v>13339.852000000006</v>
      </c>
      <c r="Q195" s="1">
        <f t="shared" ref="Q195:Q258" si="57">I195-M195</f>
        <v>13549.234</v>
      </c>
      <c r="R195" s="1">
        <v>2945.2139999999999</v>
      </c>
      <c r="S195" s="1">
        <v>3104.83</v>
      </c>
      <c r="T195" s="1">
        <v>2745.01</v>
      </c>
      <c r="U195" s="1">
        <v>2599.5700000000002</v>
      </c>
      <c r="V195" s="1">
        <v>0</v>
      </c>
      <c r="W195" s="1">
        <v>0</v>
      </c>
      <c r="X195" s="1">
        <v>2945.2139999999999</v>
      </c>
      <c r="Y195" s="1">
        <v>0</v>
      </c>
      <c r="Z195" s="1">
        <v>0</v>
      </c>
      <c r="AA195" s="1">
        <v>3104.83</v>
      </c>
      <c r="AB195" s="1">
        <v>0</v>
      </c>
      <c r="AC195" s="1">
        <v>0</v>
      </c>
      <c r="AD195" s="1">
        <v>2745.01</v>
      </c>
      <c r="AE195" s="1">
        <v>0</v>
      </c>
      <c r="AF195" s="1">
        <v>0</v>
      </c>
      <c r="AG195" s="1">
        <v>2599.5700000000002</v>
      </c>
      <c r="AH195" s="1">
        <v>0</v>
      </c>
      <c r="AI195" s="1">
        <v>0</v>
      </c>
      <c r="AJ195" s="1">
        <v>0</v>
      </c>
      <c r="AK195" s="1">
        <v>0</v>
      </c>
      <c r="AL195" s="1">
        <v>0</v>
      </c>
      <c r="AM195" s="1">
        <v>0</v>
      </c>
      <c r="AN195" s="1">
        <v>0</v>
      </c>
      <c r="AO195" s="1">
        <v>0</v>
      </c>
      <c r="AP195" s="1">
        <v>8727.6</v>
      </c>
      <c r="AQ195" s="1">
        <v>7465.3200000000006</v>
      </c>
      <c r="AR195" s="1">
        <v>8124.0999999999995</v>
      </c>
      <c r="AS195" s="1">
        <v>9904.66</v>
      </c>
      <c r="AT195" s="1">
        <v>0</v>
      </c>
      <c r="AU195" s="1">
        <v>8727.6</v>
      </c>
      <c r="AV195" s="1">
        <v>0</v>
      </c>
      <c r="AW195" s="1">
        <v>0</v>
      </c>
      <c r="AX195" s="1">
        <v>0</v>
      </c>
      <c r="AY195" s="1">
        <v>7465.3200000000006</v>
      </c>
      <c r="AZ195" s="1">
        <v>0</v>
      </c>
      <c r="BA195" s="1">
        <v>0</v>
      </c>
      <c r="BB195" s="1">
        <v>0</v>
      </c>
      <c r="BC195" s="1">
        <v>8124.0999999999995</v>
      </c>
      <c r="BD195" s="1">
        <v>0</v>
      </c>
      <c r="BE195" s="1">
        <v>0</v>
      </c>
      <c r="BF195" s="1">
        <v>9904.66</v>
      </c>
      <c r="BG195" s="1">
        <v>0</v>
      </c>
      <c r="BH195" s="1">
        <v>0</v>
      </c>
      <c r="BI195" s="1">
        <v>0</v>
      </c>
      <c r="BJ195" s="1">
        <v>0</v>
      </c>
      <c r="BK195" s="1">
        <v>0</v>
      </c>
      <c r="BL195" s="1">
        <v>0</v>
      </c>
      <c r="BM195" s="1">
        <v>0</v>
      </c>
      <c r="BN195" s="1">
        <v>0</v>
      </c>
      <c r="BO195" s="1">
        <v>0</v>
      </c>
      <c r="BP195" s="1">
        <v>0</v>
      </c>
      <c r="BQ195" s="1">
        <v>0</v>
      </c>
      <c r="BR195" s="1">
        <v>0</v>
      </c>
      <c r="BS195" s="1">
        <v>0</v>
      </c>
      <c r="BT195" s="1">
        <v>0</v>
      </c>
      <c r="BU195" s="1">
        <v>10499.311</v>
      </c>
      <c r="BV195" s="1">
        <v>10817.833000000001</v>
      </c>
      <c r="BW195" s="1">
        <v>9685.5</v>
      </c>
      <c r="BX195" s="1">
        <v>8821.616</v>
      </c>
      <c r="BY195" s="1">
        <v>10436.091</v>
      </c>
      <c r="BZ195" s="1">
        <v>10745.893</v>
      </c>
      <c r="CA195" s="1">
        <v>9612.2799999999988</v>
      </c>
      <c r="CB195" s="1">
        <v>8750.3559999999998</v>
      </c>
      <c r="CC195" s="1">
        <v>63.22</v>
      </c>
      <c r="CD195" s="1">
        <v>71.94</v>
      </c>
      <c r="CE195" s="1">
        <v>73.22</v>
      </c>
      <c r="CF195" s="1">
        <v>71.259999999999991</v>
      </c>
      <c r="CG195" s="1">
        <v>0</v>
      </c>
      <c r="CH195" s="1">
        <v>0</v>
      </c>
      <c r="CI195" s="1">
        <v>0</v>
      </c>
      <c r="CJ195" s="1">
        <v>0</v>
      </c>
      <c r="CK195" s="1">
        <v>0</v>
      </c>
      <c r="CL195" s="1">
        <v>0</v>
      </c>
      <c r="CM195" s="1">
        <v>0</v>
      </c>
      <c r="CN195" s="1">
        <v>0</v>
      </c>
      <c r="CO195" s="1">
        <v>0</v>
      </c>
      <c r="CP195" s="1">
        <v>0</v>
      </c>
      <c r="CQ195" s="1">
        <v>0</v>
      </c>
      <c r="CR195" s="1">
        <v>0</v>
      </c>
      <c r="CS195" s="1">
        <v>1470.0419999999999</v>
      </c>
      <c r="CT195" s="1">
        <v>5001.0550000000003</v>
      </c>
      <c r="CU195" s="1">
        <v>2165.1210000000001</v>
      </c>
      <c r="CV195" s="1">
        <v>1224.5119999999999</v>
      </c>
      <c r="CW195" s="1">
        <v>1470.0419999999999</v>
      </c>
      <c r="CX195" s="1">
        <v>5001.0550000000003</v>
      </c>
      <c r="CY195" s="1">
        <v>2165.1210000000001</v>
      </c>
      <c r="CZ195" s="1">
        <v>1224.5119999999999</v>
      </c>
      <c r="DA195" s="1">
        <v>0</v>
      </c>
      <c r="DB195" s="1">
        <v>0</v>
      </c>
      <c r="DC195" s="1">
        <v>0</v>
      </c>
      <c r="DD195" s="1">
        <v>0</v>
      </c>
      <c r="DE195" s="1">
        <v>0</v>
      </c>
      <c r="DF195" s="1">
        <v>0</v>
      </c>
      <c r="DG195" s="1">
        <v>0</v>
      </c>
      <c r="DH195" s="1">
        <v>0</v>
      </c>
      <c r="DI195" s="1">
        <v>0</v>
      </c>
      <c r="DJ195" s="1">
        <v>0</v>
      </c>
      <c r="DK195" s="1">
        <v>0</v>
      </c>
      <c r="DL195" s="1">
        <v>0</v>
      </c>
      <c r="DM195" s="1">
        <v>7327.0030000000006</v>
      </c>
      <c r="DN195" s="1">
        <v>6942.8590000000004</v>
      </c>
      <c r="DO195" s="1">
        <v>6254.5870000000004</v>
      </c>
      <c r="DP195" s="1">
        <v>5839.0030000000006</v>
      </c>
      <c r="DQ195" s="1">
        <v>7327.0030000000006</v>
      </c>
      <c r="DR195" s="1">
        <v>6942.8590000000004</v>
      </c>
      <c r="DS195" s="1">
        <v>6254.5870000000004</v>
      </c>
      <c r="DT195" s="1">
        <v>5839.0030000000006</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1081.9480000000001</v>
      </c>
      <c r="EL195" s="1">
        <v>961.14200000000005</v>
      </c>
      <c r="EM195" s="1">
        <v>939.81700000000001</v>
      </c>
      <c r="EN195" s="1">
        <v>983.98799999999994</v>
      </c>
      <c r="EO195" s="1">
        <v>1081.9480000000001</v>
      </c>
      <c r="EP195" s="1">
        <v>961.14200000000005</v>
      </c>
      <c r="EQ195" s="1">
        <v>939.81700000000001</v>
      </c>
      <c r="ER195" s="1">
        <v>983.98799999999994</v>
      </c>
      <c r="ES195" s="1">
        <v>0</v>
      </c>
      <c r="ET195" s="1">
        <v>0</v>
      </c>
      <c r="EU195" s="1">
        <v>0</v>
      </c>
      <c r="EV195" s="1">
        <v>0</v>
      </c>
      <c r="EW195" s="1">
        <v>0</v>
      </c>
      <c r="EX195" s="1">
        <v>0</v>
      </c>
      <c r="EY195" s="1">
        <v>0</v>
      </c>
      <c r="EZ195" s="1">
        <v>0</v>
      </c>
      <c r="FA195" s="1">
        <v>0</v>
      </c>
      <c r="FB195" s="1">
        <v>0</v>
      </c>
      <c r="FC195" s="1">
        <v>0</v>
      </c>
      <c r="FD195" s="1">
        <v>0</v>
      </c>
      <c r="FE195" s="1">
        <v>598.25</v>
      </c>
      <c r="FF195" s="1">
        <v>582.01</v>
      </c>
      <c r="FG195" s="1">
        <v>534.98</v>
      </c>
      <c r="FH195" s="1">
        <v>566.85</v>
      </c>
      <c r="FI195" s="1">
        <v>0</v>
      </c>
      <c r="FJ195" s="1">
        <v>0</v>
      </c>
      <c r="FK195" s="1">
        <v>0</v>
      </c>
      <c r="FL195" s="1">
        <v>0</v>
      </c>
      <c r="FM195" s="1">
        <v>598.25</v>
      </c>
      <c r="FN195" s="1">
        <v>582.01</v>
      </c>
      <c r="FO195" s="1">
        <v>534.98</v>
      </c>
      <c r="FP195" s="1">
        <v>566.85</v>
      </c>
      <c r="FQ195" s="1">
        <v>0</v>
      </c>
      <c r="FR195" s="1">
        <v>0</v>
      </c>
      <c r="FS195" s="1">
        <v>0</v>
      </c>
      <c r="FT195" s="1">
        <v>0</v>
      </c>
      <c r="FU195" s="1">
        <v>0</v>
      </c>
      <c r="FV195" s="1">
        <v>0</v>
      </c>
      <c r="FW195" s="1">
        <v>0</v>
      </c>
      <c r="FX195" s="1">
        <v>0</v>
      </c>
      <c r="FY195" s="1">
        <v>0</v>
      </c>
      <c r="FZ195" s="1">
        <v>0</v>
      </c>
      <c r="GA195" s="1">
        <v>0</v>
      </c>
      <c r="GB195" s="1">
        <v>0</v>
      </c>
      <c r="GC195" s="1">
        <v>472.7</v>
      </c>
      <c r="GD195" s="1">
        <v>337.52</v>
      </c>
      <c r="GE195" s="1">
        <v>413.76</v>
      </c>
      <c r="GF195" s="1">
        <v>716.52</v>
      </c>
      <c r="GG195" s="1">
        <v>472.7</v>
      </c>
      <c r="GH195" s="1">
        <v>337.52</v>
      </c>
      <c r="GI195" s="1">
        <v>413.76</v>
      </c>
      <c r="GJ195" s="1">
        <v>716.52</v>
      </c>
      <c r="GK195" s="1">
        <v>0</v>
      </c>
      <c r="GL195" s="1">
        <v>0</v>
      </c>
      <c r="GM195" s="1">
        <v>0</v>
      </c>
      <c r="GN195" s="1">
        <v>0</v>
      </c>
      <c r="GO195" s="1">
        <v>0</v>
      </c>
      <c r="GP195" s="1">
        <v>0</v>
      </c>
      <c r="GQ195" s="1">
        <v>0</v>
      </c>
      <c r="GR195" s="1">
        <v>0</v>
      </c>
      <c r="GS195" s="1">
        <v>0</v>
      </c>
      <c r="GT195" s="1">
        <v>0</v>
      </c>
      <c r="GU195" s="1">
        <v>0</v>
      </c>
      <c r="GV195" s="1">
        <v>0</v>
      </c>
      <c r="GW195" s="1">
        <v>0</v>
      </c>
      <c r="GX195" s="1">
        <v>0</v>
      </c>
      <c r="GY195" s="1">
        <v>0</v>
      </c>
      <c r="GZ195" s="1">
        <v>0</v>
      </c>
      <c r="HA195" s="1">
        <v>0</v>
      </c>
      <c r="HB195" s="1">
        <v>0</v>
      </c>
      <c r="HC195" s="1">
        <v>0</v>
      </c>
      <c r="HD195" s="1">
        <v>0</v>
      </c>
      <c r="HE195" s="1">
        <v>0</v>
      </c>
      <c r="HF195" s="1">
        <v>0</v>
      </c>
      <c r="HG195" s="1">
        <v>0</v>
      </c>
      <c r="HH195" s="1">
        <v>0</v>
      </c>
      <c r="HI195" s="1">
        <v>0</v>
      </c>
      <c r="HJ195" s="1">
        <v>0</v>
      </c>
      <c r="HK195" s="1">
        <v>0</v>
      </c>
      <c r="HL195" s="1">
        <v>0</v>
      </c>
      <c r="HM195" s="1">
        <v>0</v>
      </c>
      <c r="HN195" s="1">
        <v>0</v>
      </c>
      <c r="HO195" s="1">
        <v>0</v>
      </c>
      <c r="HP195" s="1">
        <v>0</v>
      </c>
      <c r="HQ195" s="1">
        <v>0</v>
      </c>
      <c r="HR195" s="1">
        <v>0</v>
      </c>
      <c r="HS195" s="1">
        <v>0</v>
      </c>
      <c r="HT195" s="1">
        <v>0</v>
      </c>
      <c r="HU195" s="1">
        <v>0</v>
      </c>
      <c r="HV195" s="1">
        <v>0</v>
      </c>
      <c r="HW195" s="1">
        <v>0</v>
      </c>
      <c r="HX195" s="1">
        <v>0</v>
      </c>
      <c r="HY195" s="1">
        <v>0</v>
      </c>
      <c r="HZ195" s="1">
        <v>0</v>
      </c>
      <c r="IA195" s="1">
        <v>0</v>
      </c>
      <c r="IB195" s="1">
        <v>0</v>
      </c>
      <c r="IC195" s="1">
        <v>0</v>
      </c>
      <c r="ID195" s="1">
        <v>0</v>
      </c>
      <c r="IE195" s="1">
        <v>0</v>
      </c>
      <c r="IF195" s="1">
        <v>0</v>
      </c>
      <c r="IG195" s="1">
        <v>0</v>
      </c>
      <c r="IH195" s="1">
        <v>0</v>
      </c>
      <c r="II195" s="1">
        <v>0</v>
      </c>
      <c r="IJ195" s="1">
        <v>0</v>
      </c>
      <c r="IK195" s="1">
        <v>0</v>
      </c>
      <c r="IL195" s="1">
        <v>0</v>
      </c>
      <c r="IM195" s="1">
        <v>0</v>
      </c>
      <c r="IN195" s="1">
        <v>0</v>
      </c>
      <c r="IO195" s="1">
        <v>91.02000000000001</v>
      </c>
      <c r="IP195" s="1">
        <v>69.66</v>
      </c>
      <c r="IQ195" s="1">
        <v>41.62</v>
      </c>
      <c r="IR195" s="1">
        <v>117.48</v>
      </c>
      <c r="IS195" s="1">
        <v>70.02000000000001</v>
      </c>
      <c r="IT195" s="1">
        <v>69.66</v>
      </c>
      <c r="IU195" s="1">
        <v>41.62</v>
      </c>
      <c r="IV195" s="1">
        <v>117.48</v>
      </c>
      <c r="IW195" s="1">
        <v>21</v>
      </c>
      <c r="IX195" s="1">
        <v>0</v>
      </c>
      <c r="IY195" s="1">
        <v>0</v>
      </c>
      <c r="IZ195" s="1">
        <v>0</v>
      </c>
      <c r="JA195" s="1">
        <v>0</v>
      </c>
      <c r="JB195" s="1">
        <v>0</v>
      </c>
      <c r="JC195" s="1">
        <v>0</v>
      </c>
      <c r="JD195" s="1">
        <v>0</v>
      </c>
      <c r="JE195" s="1">
        <v>0</v>
      </c>
      <c r="JF195" s="1">
        <v>0</v>
      </c>
      <c r="JG195" s="1">
        <v>0</v>
      </c>
      <c r="JH195" s="1">
        <v>0</v>
      </c>
      <c r="JI195" s="1">
        <v>0</v>
      </c>
      <c r="JJ195" s="1">
        <v>0</v>
      </c>
      <c r="JK195" s="1">
        <v>0</v>
      </c>
      <c r="JL195" s="1">
        <v>0</v>
      </c>
      <c r="JM195" s="1">
        <v>0</v>
      </c>
      <c r="JN195" s="1">
        <v>0</v>
      </c>
      <c r="JO195" s="1">
        <v>0</v>
      </c>
      <c r="JP195" s="1">
        <v>0</v>
      </c>
      <c r="JQ195" s="9"/>
      <c r="JR195" s="1">
        <f t="shared" si="48"/>
        <v>4037.0319000000004</v>
      </c>
      <c r="JS195" s="1">
        <f t="shared" si="48"/>
        <v>3736.6253100000008</v>
      </c>
      <c r="JT195" s="1">
        <f t="shared" si="48"/>
        <v>3601.7600400000019</v>
      </c>
      <c r="JU195" s="1">
        <f t="shared" si="48"/>
        <v>3658.2931800000001</v>
      </c>
      <c r="JV195" s="1">
        <f t="shared" si="49"/>
        <v>747.59850000000006</v>
      </c>
      <c r="JW195" s="1">
        <f t="shared" si="49"/>
        <v>691.96765000000016</v>
      </c>
      <c r="JX195" s="1">
        <f t="shared" si="49"/>
        <v>666.99260000000038</v>
      </c>
      <c r="JY195" s="1">
        <f t="shared" si="49"/>
        <v>677.46170000000006</v>
      </c>
    </row>
    <row r="196" spans="1:285" x14ac:dyDescent="0.35">
      <c r="A196" s="2" t="s">
        <v>203</v>
      </c>
      <c r="B196" s="1">
        <v>223024</v>
      </c>
      <c r="C196" s="1">
        <v>224127</v>
      </c>
      <c r="D196" s="1">
        <v>227715</v>
      </c>
      <c r="E196" s="1">
        <v>231217</v>
      </c>
      <c r="F196" s="1">
        <v>54800.963000000003</v>
      </c>
      <c r="G196" s="1">
        <v>54856.722000000002</v>
      </c>
      <c r="H196" s="1">
        <v>51027.461000000003</v>
      </c>
      <c r="I196" s="1">
        <v>50704.191000000013</v>
      </c>
      <c r="J196" s="1">
        <f t="shared" si="50"/>
        <v>38827.243000000002</v>
      </c>
      <c r="K196" s="1">
        <f t="shared" si="51"/>
        <v>37724.902000000002</v>
      </c>
      <c r="L196" s="1">
        <f t="shared" si="52"/>
        <v>33699.886999999995</v>
      </c>
      <c r="M196" s="1">
        <f t="shared" si="53"/>
        <v>33924.516000000003</v>
      </c>
      <c r="N196" s="1">
        <f t="shared" si="54"/>
        <v>15973.720000000001</v>
      </c>
      <c r="O196" s="1">
        <f t="shared" si="55"/>
        <v>17131.82</v>
      </c>
      <c r="P196" s="1">
        <f t="shared" si="56"/>
        <v>17327.574000000008</v>
      </c>
      <c r="Q196" s="1">
        <f t="shared" si="57"/>
        <v>16779.67500000001</v>
      </c>
      <c r="R196" s="1">
        <v>0</v>
      </c>
      <c r="S196" s="1">
        <v>0</v>
      </c>
      <c r="T196" s="1">
        <v>0</v>
      </c>
      <c r="U196" s="1">
        <v>0</v>
      </c>
      <c r="V196" s="1">
        <v>0</v>
      </c>
      <c r="W196" s="1">
        <v>0</v>
      </c>
      <c r="X196" s="1">
        <v>0</v>
      </c>
      <c r="Y196" s="1">
        <v>0</v>
      </c>
      <c r="Z196" s="1">
        <v>0</v>
      </c>
      <c r="AA196" s="1">
        <v>0</v>
      </c>
      <c r="AB196" s="1">
        <v>0</v>
      </c>
      <c r="AC196" s="1">
        <v>0</v>
      </c>
      <c r="AD196" s="1">
        <v>0</v>
      </c>
      <c r="AE196" s="1">
        <v>0</v>
      </c>
      <c r="AF196" s="1">
        <v>0</v>
      </c>
      <c r="AG196" s="1">
        <v>0</v>
      </c>
      <c r="AH196" s="1">
        <v>0</v>
      </c>
      <c r="AI196" s="1">
        <v>0</v>
      </c>
      <c r="AJ196" s="1">
        <v>0</v>
      </c>
      <c r="AK196" s="1">
        <v>0</v>
      </c>
      <c r="AL196" s="1">
        <v>0</v>
      </c>
      <c r="AM196" s="1">
        <v>0</v>
      </c>
      <c r="AN196" s="1">
        <v>0</v>
      </c>
      <c r="AO196" s="1">
        <v>0</v>
      </c>
      <c r="AP196" s="1">
        <v>22700.890000000003</v>
      </c>
      <c r="AQ196" s="1">
        <v>20800.440000000002</v>
      </c>
      <c r="AR196" s="1">
        <v>19106.478999999996</v>
      </c>
      <c r="AS196" s="1">
        <v>18992.28</v>
      </c>
      <c r="AT196" s="1">
        <v>22700.890000000003</v>
      </c>
      <c r="AU196" s="1">
        <v>0</v>
      </c>
      <c r="AV196" s="1">
        <v>0</v>
      </c>
      <c r="AW196" s="1">
        <v>0</v>
      </c>
      <c r="AX196" s="1">
        <v>20800.440000000002</v>
      </c>
      <c r="AY196" s="1">
        <v>0</v>
      </c>
      <c r="AZ196" s="1">
        <v>0</v>
      </c>
      <c r="BA196" s="1">
        <v>0</v>
      </c>
      <c r="BB196" s="1">
        <v>19106.478999999996</v>
      </c>
      <c r="BC196" s="1">
        <v>0</v>
      </c>
      <c r="BD196" s="1">
        <v>0</v>
      </c>
      <c r="BE196" s="1">
        <v>18992.28</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6043.7</v>
      </c>
      <c r="BV196" s="1">
        <v>6807.73</v>
      </c>
      <c r="BW196" s="1">
        <v>5754.8220000000001</v>
      </c>
      <c r="BX196" s="1">
        <v>6071.2560000000003</v>
      </c>
      <c r="BY196" s="1">
        <v>6043.7</v>
      </c>
      <c r="BZ196" s="1">
        <v>6807.73</v>
      </c>
      <c r="CA196" s="1">
        <v>5754.8220000000001</v>
      </c>
      <c r="CB196" s="1">
        <v>6071.2560000000003</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1327.5509999999999</v>
      </c>
      <c r="CT196" s="1">
        <v>1447.03</v>
      </c>
      <c r="CU196" s="1">
        <v>1317.336</v>
      </c>
      <c r="CV196" s="1">
        <v>1364.4549999999999</v>
      </c>
      <c r="CW196" s="1">
        <v>1327.5509999999999</v>
      </c>
      <c r="CX196" s="1">
        <v>1447.03</v>
      </c>
      <c r="CY196" s="1">
        <v>1317.336</v>
      </c>
      <c r="CZ196" s="1">
        <v>1364.4549999999999</v>
      </c>
      <c r="DA196" s="1">
        <v>0</v>
      </c>
      <c r="DB196" s="1">
        <v>0</v>
      </c>
      <c r="DC196" s="1">
        <v>0</v>
      </c>
      <c r="DD196" s="1">
        <v>0</v>
      </c>
      <c r="DE196" s="1">
        <v>0</v>
      </c>
      <c r="DF196" s="1">
        <v>0</v>
      </c>
      <c r="DG196" s="1">
        <v>0</v>
      </c>
      <c r="DH196" s="1">
        <v>0</v>
      </c>
      <c r="DI196" s="1">
        <v>0</v>
      </c>
      <c r="DJ196" s="1">
        <v>0</v>
      </c>
      <c r="DK196" s="1">
        <v>0</v>
      </c>
      <c r="DL196" s="1">
        <v>0</v>
      </c>
      <c r="DM196" s="1">
        <v>6819.4400000000014</v>
      </c>
      <c r="DN196" s="1">
        <v>6827.88</v>
      </c>
      <c r="DO196" s="1">
        <v>5939.6809999999996</v>
      </c>
      <c r="DP196" s="1">
        <v>5754.5540000000001</v>
      </c>
      <c r="DQ196" s="1">
        <v>6819.4400000000014</v>
      </c>
      <c r="DR196" s="1">
        <v>6827.88</v>
      </c>
      <c r="DS196" s="1">
        <v>5939.6809999999996</v>
      </c>
      <c r="DT196" s="1">
        <v>5754.5540000000001</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1805.84</v>
      </c>
      <c r="EL196" s="1">
        <v>1726.65</v>
      </c>
      <c r="EM196" s="1">
        <v>1465.617</v>
      </c>
      <c r="EN196" s="1">
        <v>1669.6469999999999</v>
      </c>
      <c r="EO196" s="1">
        <v>1805.84</v>
      </c>
      <c r="EP196" s="1">
        <v>1726.65</v>
      </c>
      <c r="EQ196" s="1">
        <v>1465.617</v>
      </c>
      <c r="ER196" s="1">
        <v>1669.6469999999999</v>
      </c>
      <c r="ES196" s="1">
        <v>0</v>
      </c>
      <c r="ET196" s="1">
        <v>0</v>
      </c>
      <c r="EU196" s="1">
        <v>0</v>
      </c>
      <c r="EV196" s="1">
        <v>0</v>
      </c>
      <c r="EW196" s="1">
        <v>0</v>
      </c>
      <c r="EX196" s="1">
        <v>0</v>
      </c>
      <c r="EY196" s="1">
        <v>0</v>
      </c>
      <c r="EZ196" s="1">
        <v>0</v>
      </c>
      <c r="FA196" s="1">
        <v>0</v>
      </c>
      <c r="FB196" s="1">
        <v>0</v>
      </c>
      <c r="FC196" s="1">
        <v>0</v>
      </c>
      <c r="FD196" s="1">
        <v>0</v>
      </c>
      <c r="FE196" s="1">
        <v>106.452</v>
      </c>
      <c r="FF196" s="1">
        <v>115.172</v>
      </c>
      <c r="FG196" s="1">
        <v>115.952</v>
      </c>
      <c r="FH196" s="1">
        <v>72.323999999999998</v>
      </c>
      <c r="FI196" s="1">
        <v>106.452</v>
      </c>
      <c r="FJ196" s="1">
        <v>115.172</v>
      </c>
      <c r="FK196" s="1">
        <v>115.952</v>
      </c>
      <c r="FL196" s="1">
        <v>72.323999999999998</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v>0</v>
      </c>
      <c r="GC196" s="1">
        <v>23.37</v>
      </c>
      <c r="GD196" s="1">
        <v>0</v>
      </c>
      <c r="GE196" s="1">
        <v>0</v>
      </c>
      <c r="GF196" s="1">
        <v>0</v>
      </c>
      <c r="GG196" s="1">
        <v>23.37</v>
      </c>
      <c r="GH196" s="1">
        <v>0</v>
      </c>
      <c r="GI196" s="1">
        <v>0</v>
      </c>
      <c r="GJ196" s="1">
        <v>0</v>
      </c>
      <c r="GK196" s="1">
        <v>0</v>
      </c>
      <c r="GL196" s="1">
        <v>0</v>
      </c>
      <c r="GM196" s="1">
        <v>0</v>
      </c>
      <c r="GN196" s="1">
        <v>0</v>
      </c>
      <c r="GO196" s="1">
        <v>0</v>
      </c>
      <c r="GP196" s="1">
        <v>0</v>
      </c>
      <c r="GQ196" s="1">
        <v>0</v>
      </c>
      <c r="GR196" s="1">
        <v>0</v>
      </c>
      <c r="GS196" s="1">
        <v>0</v>
      </c>
      <c r="GT196" s="1">
        <v>0</v>
      </c>
      <c r="GU196" s="1">
        <v>0</v>
      </c>
      <c r="GV196" s="1">
        <v>0</v>
      </c>
      <c r="GW196" s="1">
        <v>0</v>
      </c>
      <c r="GX196" s="1">
        <v>0</v>
      </c>
      <c r="GY196" s="1">
        <v>0</v>
      </c>
      <c r="GZ196" s="1">
        <v>0</v>
      </c>
      <c r="HA196" s="1">
        <v>0</v>
      </c>
      <c r="HB196" s="1">
        <v>0</v>
      </c>
      <c r="HC196" s="1">
        <v>0</v>
      </c>
      <c r="HD196" s="1">
        <v>0</v>
      </c>
      <c r="HE196" s="1">
        <v>0</v>
      </c>
      <c r="HF196" s="1">
        <v>0</v>
      </c>
      <c r="HG196" s="1">
        <v>0</v>
      </c>
      <c r="HH196" s="1">
        <v>0</v>
      </c>
      <c r="HI196" s="1">
        <v>0</v>
      </c>
      <c r="HJ196" s="1">
        <v>0</v>
      </c>
      <c r="HK196" s="1">
        <v>0</v>
      </c>
      <c r="HL196" s="1">
        <v>0</v>
      </c>
      <c r="HM196" s="1">
        <v>0</v>
      </c>
      <c r="HN196" s="1">
        <v>0</v>
      </c>
      <c r="HO196" s="1">
        <v>0</v>
      </c>
      <c r="HP196" s="1">
        <v>0</v>
      </c>
      <c r="HQ196" s="1">
        <v>0</v>
      </c>
      <c r="HR196" s="1">
        <v>0</v>
      </c>
      <c r="HS196" s="1">
        <v>0</v>
      </c>
      <c r="HT196" s="1">
        <v>0</v>
      </c>
      <c r="HU196" s="1">
        <v>0</v>
      </c>
      <c r="HV196" s="1">
        <v>0</v>
      </c>
      <c r="HW196" s="1">
        <v>0</v>
      </c>
      <c r="HX196" s="1">
        <v>0</v>
      </c>
      <c r="HY196" s="1">
        <v>0</v>
      </c>
      <c r="HZ196" s="1">
        <v>0</v>
      </c>
      <c r="IA196" s="1">
        <v>0</v>
      </c>
      <c r="IB196" s="1">
        <v>0</v>
      </c>
      <c r="IC196" s="1">
        <v>0</v>
      </c>
      <c r="ID196" s="1">
        <v>0</v>
      </c>
      <c r="IE196" s="1">
        <v>0</v>
      </c>
      <c r="IF196" s="1">
        <v>0</v>
      </c>
      <c r="IG196" s="1">
        <v>0</v>
      </c>
      <c r="IH196" s="1">
        <v>0</v>
      </c>
      <c r="II196" s="1">
        <v>0</v>
      </c>
      <c r="IJ196" s="1">
        <v>0</v>
      </c>
      <c r="IK196" s="1">
        <v>0</v>
      </c>
      <c r="IL196" s="1">
        <v>0</v>
      </c>
      <c r="IM196" s="1">
        <v>0</v>
      </c>
      <c r="IN196" s="1">
        <v>0</v>
      </c>
      <c r="IO196" s="1">
        <v>0</v>
      </c>
      <c r="IP196" s="1">
        <v>0</v>
      </c>
      <c r="IQ196" s="1">
        <v>0</v>
      </c>
      <c r="IR196" s="1">
        <v>0</v>
      </c>
      <c r="IS196" s="1">
        <v>0</v>
      </c>
      <c r="IT196" s="1">
        <v>0</v>
      </c>
      <c r="IU196" s="1">
        <v>0</v>
      </c>
      <c r="IV196" s="1">
        <v>0</v>
      </c>
      <c r="IW196" s="1">
        <v>0</v>
      </c>
      <c r="IX196" s="1">
        <v>0</v>
      </c>
      <c r="IY196" s="1">
        <v>0</v>
      </c>
      <c r="IZ196" s="1">
        <v>0</v>
      </c>
      <c r="JA196" s="1">
        <v>0</v>
      </c>
      <c r="JB196" s="1">
        <v>0</v>
      </c>
      <c r="JC196" s="1">
        <v>0</v>
      </c>
      <c r="JD196" s="1">
        <v>0</v>
      </c>
      <c r="JE196" s="1">
        <v>0</v>
      </c>
      <c r="JF196" s="1">
        <v>0</v>
      </c>
      <c r="JG196" s="1">
        <v>0</v>
      </c>
      <c r="JH196" s="1">
        <v>0</v>
      </c>
      <c r="JI196" s="1">
        <v>0</v>
      </c>
      <c r="JJ196" s="1">
        <v>0</v>
      </c>
      <c r="JK196" s="1">
        <v>0</v>
      </c>
      <c r="JL196" s="1">
        <v>0</v>
      </c>
      <c r="JM196" s="1">
        <v>0</v>
      </c>
      <c r="JN196" s="1">
        <v>0</v>
      </c>
      <c r="JO196" s="1">
        <v>0</v>
      </c>
      <c r="JP196" s="1">
        <v>0</v>
      </c>
      <c r="JQ196" s="9"/>
      <c r="JR196" s="1">
        <f t="shared" si="48"/>
        <v>4312.9044000000004</v>
      </c>
      <c r="JS196" s="1">
        <f t="shared" si="48"/>
        <v>4625.5914000000002</v>
      </c>
      <c r="JT196" s="1">
        <f t="shared" si="48"/>
        <v>4678.444980000002</v>
      </c>
      <c r="JU196" s="1">
        <f t="shared" si="48"/>
        <v>4530.5122500000034</v>
      </c>
      <c r="JV196" s="1">
        <f t="shared" si="49"/>
        <v>798.68600000000015</v>
      </c>
      <c r="JW196" s="1">
        <f t="shared" si="49"/>
        <v>856.59100000000001</v>
      </c>
      <c r="JX196" s="1">
        <f t="shared" si="49"/>
        <v>866.37870000000044</v>
      </c>
      <c r="JY196" s="1">
        <f t="shared" si="49"/>
        <v>838.98375000000055</v>
      </c>
    </row>
    <row r="197" spans="1:285" x14ac:dyDescent="0.35">
      <c r="A197" s="2" t="s">
        <v>204</v>
      </c>
      <c r="B197" s="1">
        <v>85213</v>
      </c>
      <c r="C197" s="1">
        <v>86181</v>
      </c>
      <c r="D197" s="1">
        <v>87272</v>
      </c>
      <c r="E197" s="1">
        <v>88560</v>
      </c>
      <c r="F197" s="1">
        <v>37228.123</v>
      </c>
      <c r="G197" s="1">
        <v>37661.517999999996</v>
      </c>
      <c r="H197" s="1">
        <v>35434.870000000003</v>
      </c>
      <c r="I197" s="1">
        <v>35557.063999999998</v>
      </c>
      <c r="J197" s="1">
        <f t="shared" si="50"/>
        <v>25616.66</v>
      </c>
      <c r="K197" s="1">
        <f t="shared" si="51"/>
        <v>25655.619999999995</v>
      </c>
      <c r="L197" s="1">
        <f t="shared" si="52"/>
        <v>23787.531000000003</v>
      </c>
      <c r="M197" s="1">
        <f t="shared" si="53"/>
        <v>23851.530999999999</v>
      </c>
      <c r="N197" s="1">
        <f t="shared" si="54"/>
        <v>11611.463</v>
      </c>
      <c r="O197" s="1">
        <f t="shared" si="55"/>
        <v>12005.898000000001</v>
      </c>
      <c r="P197" s="1">
        <f t="shared" si="56"/>
        <v>11647.339</v>
      </c>
      <c r="Q197" s="1">
        <f t="shared" si="57"/>
        <v>11705.532999999999</v>
      </c>
      <c r="R197" s="1">
        <v>0</v>
      </c>
      <c r="S197" s="1">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1">
        <v>0</v>
      </c>
      <c r="AJ197" s="1">
        <v>0</v>
      </c>
      <c r="AK197" s="1">
        <v>0</v>
      </c>
      <c r="AL197" s="1">
        <v>0</v>
      </c>
      <c r="AM197" s="1">
        <v>0</v>
      </c>
      <c r="AN197" s="1">
        <v>0</v>
      </c>
      <c r="AO197" s="1">
        <v>0</v>
      </c>
      <c r="AP197" s="1">
        <v>12454.54</v>
      </c>
      <c r="AQ197" s="1">
        <v>12645.302</v>
      </c>
      <c r="AR197" s="1">
        <v>11977.119999999999</v>
      </c>
      <c r="AS197" s="1">
        <v>11724.119999999999</v>
      </c>
      <c r="AT197" s="1">
        <v>12454.54</v>
      </c>
      <c r="AU197" s="1">
        <v>0</v>
      </c>
      <c r="AV197" s="1">
        <v>0</v>
      </c>
      <c r="AW197" s="1">
        <v>0</v>
      </c>
      <c r="AX197" s="1">
        <v>12645.302</v>
      </c>
      <c r="AY197" s="1">
        <v>0</v>
      </c>
      <c r="AZ197" s="1">
        <v>0</v>
      </c>
      <c r="BA197" s="1">
        <v>0</v>
      </c>
      <c r="BB197" s="1">
        <v>11977.119999999999</v>
      </c>
      <c r="BC197" s="1">
        <v>0</v>
      </c>
      <c r="BD197" s="1">
        <v>0</v>
      </c>
      <c r="BE197" s="1">
        <v>11724.119999999999</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7183.48</v>
      </c>
      <c r="BV197" s="1">
        <v>7666.68</v>
      </c>
      <c r="BW197" s="1">
        <v>6633.4</v>
      </c>
      <c r="BX197" s="1">
        <v>5811.37</v>
      </c>
      <c r="BY197" s="1">
        <v>7183.48</v>
      </c>
      <c r="BZ197" s="1">
        <v>7666.68</v>
      </c>
      <c r="CA197" s="1">
        <v>6633.4</v>
      </c>
      <c r="CB197" s="1">
        <v>5811.37</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2241.61</v>
      </c>
      <c r="CT197" s="1">
        <v>1815.6</v>
      </c>
      <c r="CU197" s="1">
        <v>1671.396</v>
      </c>
      <c r="CV197" s="1">
        <v>2088.0300000000002</v>
      </c>
      <c r="CW197" s="1">
        <v>2241.61</v>
      </c>
      <c r="CX197" s="1">
        <v>1815.6</v>
      </c>
      <c r="CY197" s="1">
        <v>1671.396</v>
      </c>
      <c r="CZ197" s="1">
        <v>2088.0300000000002</v>
      </c>
      <c r="DA197" s="1">
        <v>0</v>
      </c>
      <c r="DB197" s="1">
        <v>0</v>
      </c>
      <c r="DC197" s="1">
        <v>0</v>
      </c>
      <c r="DD197" s="1">
        <v>0</v>
      </c>
      <c r="DE197" s="1">
        <v>0</v>
      </c>
      <c r="DF197" s="1">
        <v>0</v>
      </c>
      <c r="DG197" s="1">
        <v>0</v>
      </c>
      <c r="DH197" s="1">
        <v>0</v>
      </c>
      <c r="DI197" s="1">
        <v>0</v>
      </c>
      <c r="DJ197" s="1">
        <v>0</v>
      </c>
      <c r="DK197" s="1">
        <v>0</v>
      </c>
      <c r="DL197" s="1">
        <v>0</v>
      </c>
      <c r="DM197" s="1">
        <v>2225.7249999999999</v>
      </c>
      <c r="DN197" s="1">
        <v>2276.33</v>
      </c>
      <c r="DO197" s="1">
        <v>2389.4360000000001</v>
      </c>
      <c r="DP197" s="1">
        <v>2066.1799999999998</v>
      </c>
      <c r="DQ197" s="1">
        <v>2225.7249999999999</v>
      </c>
      <c r="DR197" s="1">
        <v>2276.33</v>
      </c>
      <c r="DS197" s="1">
        <v>2389.4360000000001</v>
      </c>
      <c r="DT197" s="1">
        <v>2066.1799999999998</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964.76700000000005</v>
      </c>
      <c r="EL197" s="1">
        <v>816.94</v>
      </c>
      <c r="EM197" s="1">
        <v>734.79</v>
      </c>
      <c r="EN197" s="1">
        <v>1779.84</v>
      </c>
      <c r="EO197" s="1">
        <v>964.76700000000005</v>
      </c>
      <c r="EP197" s="1">
        <v>816.94</v>
      </c>
      <c r="EQ197" s="1">
        <v>734.79</v>
      </c>
      <c r="ER197" s="1">
        <v>1779.84</v>
      </c>
      <c r="ES197" s="1">
        <v>0</v>
      </c>
      <c r="ET197" s="1">
        <v>0</v>
      </c>
      <c r="EU197" s="1">
        <v>0</v>
      </c>
      <c r="EV197" s="1">
        <v>0</v>
      </c>
      <c r="EW197" s="1">
        <v>0</v>
      </c>
      <c r="EX197" s="1">
        <v>0</v>
      </c>
      <c r="EY197" s="1">
        <v>0</v>
      </c>
      <c r="EZ197" s="1">
        <v>0</v>
      </c>
      <c r="FA197" s="1">
        <v>0</v>
      </c>
      <c r="FB197" s="1">
        <v>0</v>
      </c>
      <c r="FC197" s="1">
        <v>0</v>
      </c>
      <c r="FD197" s="1">
        <v>0</v>
      </c>
      <c r="FE197" s="1">
        <v>234.09299999999999</v>
      </c>
      <c r="FF197" s="1">
        <v>245.53800000000001</v>
      </c>
      <c r="FG197" s="1">
        <v>175.988</v>
      </c>
      <c r="FH197" s="1">
        <v>155.47300000000001</v>
      </c>
      <c r="FI197" s="1">
        <v>16.128</v>
      </c>
      <c r="FJ197" s="1">
        <v>15.994</v>
      </c>
      <c r="FK197" s="1">
        <v>11.009</v>
      </c>
      <c r="FL197" s="1">
        <v>10.474</v>
      </c>
      <c r="FM197" s="1">
        <v>217.965</v>
      </c>
      <c r="FN197" s="1">
        <v>229.54400000000001</v>
      </c>
      <c r="FO197" s="1">
        <v>164.97900000000001</v>
      </c>
      <c r="FP197" s="1">
        <v>144.999</v>
      </c>
      <c r="FQ197" s="1">
        <v>0</v>
      </c>
      <c r="FR197" s="1">
        <v>0</v>
      </c>
      <c r="FS197" s="1">
        <v>0</v>
      </c>
      <c r="FT197" s="1">
        <v>0</v>
      </c>
      <c r="FU197" s="1">
        <v>0</v>
      </c>
      <c r="FV197" s="1">
        <v>0</v>
      </c>
      <c r="FW197" s="1">
        <v>0</v>
      </c>
      <c r="FX197" s="1">
        <v>0</v>
      </c>
      <c r="FY197" s="1">
        <v>0</v>
      </c>
      <c r="FZ197" s="1">
        <v>0</v>
      </c>
      <c r="GA197" s="1">
        <v>0</v>
      </c>
      <c r="GB197" s="1">
        <v>0</v>
      </c>
      <c r="GC197" s="1">
        <v>246.05600000000001</v>
      </c>
      <c r="GD197" s="1">
        <v>189.23</v>
      </c>
      <c r="GE197" s="1">
        <v>201.06100000000001</v>
      </c>
      <c r="GF197" s="1">
        <v>186.869</v>
      </c>
      <c r="GG197" s="1">
        <v>134.75200000000001</v>
      </c>
      <c r="GH197" s="1">
        <v>95.061999999999998</v>
      </c>
      <c r="GI197" s="1">
        <v>75.180999999999997</v>
      </c>
      <c r="GJ197" s="1">
        <v>71.697000000000003</v>
      </c>
      <c r="GK197" s="1">
        <v>111.304</v>
      </c>
      <c r="GL197" s="1">
        <v>94.167999999999992</v>
      </c>
      <c r="GM197" s="1">
        <v>125.88</v>
      </c>
      <c r="GN197" s="1">
        <v>115.172</v>
      </c>
      <c r="GO197" s="1">
        <v>0</v>
      </c>
      <c r="GP197" s="1">
        <v>0</v>
      </c>
      <c r="GQ197" s="1">
        <v>0</v>
      </c>
      <c r="GR197" s="1">
        <v>0</v>
      </c>
      <c r="GS197" s="1">
        <v>0</v>
      </c>
      <c r="GT197" s="1">
        <v>0</v>
      </c>
      <c r="GU197" s="1">
        <v>0</v>
      </c>
      <c r="GV197" s="1">
        <v>0</v>
      </c>
      <c r="GW197" s="1">
        <v>0</v>
      </c>
      <c r="GX197" s="1">
        <v>0</v>
      </c>
      <c r="GY197" s="1">
        <v>0</v>
      </c>
      <c r="GZ197" s="1">
        <v>0</v>
      </c>
      <c r="HA197" s="1">
        <v>0</v>
      </c>
      <c r="HB197" s="1">
        <v>0</v>
      </c>
      <c r="HC197" s="1">
        <v>0</v>
      </c>
      <c r="HD197" s="1">
        <v>0</v>
      </c>
      <c r="HE197" s="1">
        <v>0</v>
      </c>
      <c r="HF197" s="1">
        <v>0</v>
      </c>
      <c r="HG197" s="1">
        <v>0</v>
      </c>
      <c r="HH197" s="1">
        <v>0</v>
      </c>
      <c r="HI197" s="1">
        <v>0</v>
      </c>
      <c r="HJ197" s="1">
        <v>0</v>
      </c>
      <c r="HK197" s="1">
        <v>0</v>
      </c>
      <c r="HL197" s="1">
        <v>0</v>
      </c>
      <c r="HM197" s="1">
        <v>0</v>
      </c>
      <c r="HN197" s="1">
        <v>0</v>
      </c>
      <c r="HO197" s="1">
        <v>0</v>
      </c>
      <c r="HP197" s="1">
        <v>0</v>
      </c>
      <c r="HQ197" s="1">
        <v>0</v>
      </c>
      <c r="HR197" s="1">
        <v>0</v>
      </c>
      <c r="HS197" s="1">
        <v>0</v>
      </c>
      <c r="HT197" s="1">
        <v>0</v>
      </c>
      <c r="HU197" s="1">
        <v>0</v>
      </c>
      <c r="HV197" s="1">
        <v>0</v>
      </c>
      <c r="HW197" s="1">
        <v>0</v>
      </c>
      <c r="HX197" s="1">
        <v>0</v>
      </c>
      <c r="HY197" s="1">
        <v>0</v>
      </c>
      <c r="HZ197" s="1">
        <v>0</v>
      </c>
      <c r="IA197" s="1">
        <v>0</v>
      </c>
      <c r="IB197" s="1">
        <v>0</v>
      </c>
      <c r="IC197" s="1">
        <v>0</v>
      </c>
      <c r="ID197" s="1">
        <v>0</v>
      </c>
      <c r="IE197" s="1">
        <v>0</v>
      </c>
      <c r="IF197" s="1">
        <v>0</v>
      </c>
      <c r="IG197" s="1">
        <v>0</v>
      </c>
      <c r="IH197" s="1">
        <v>0</v>
      </c>
      <c r="II197" s="1">
        <v>0</v>
      </c>
      <c r="IJ197" s="1">
        <v>0</v>
      </c>
      <c r="IK197" s="1">
        <v>0</v>
      </c>
      <c r="IL197" s="1">
        <v>0</v>
      </c>
      <c r="IM197" s="1">
        <v>0</v>
      </c>
      <c r="IN197" s="1">
        <v>0</v>
      </c>
      <c r="IO197" s="1">
        <v>66.38900000000001</v>
      </c>
      <c r="IP197" s="1">
        <v>0</v>
      </c>
      <c r="IQ197" s="1">
        <v>4.34</v>
      </c>
      <c r="IR197" s="1">
        <v>39.649000000000001</v>
      </c>
      <c r="IS197" s="1">
        <v>66.38900000000001</v>
      </c>
      <c r="IT197" s="1">
        <v>0</v>
      </c>
      <c r="IU197" s="1">
        <v>4.34</v>
      </c>
      <c r="IV197" s="1">
        <v>39.649000000000001</v>
      </c>
      <c r="IW197" s="1">
        <v>0</v>
      </c>
      <c r="IX197" s="1">
        <v>0</v>
      </c>
      <c r="IY197" s="1">
        <v>0</v>
      </c>
      <c r="IZ197" s="1">
        <v>0</v>
      </c>
      <c r="JA197" s="1">
        <v>0</v>
      </c>
      <c r="JB197" s="1">
        <v>0</v>
      </c>
      <c r="JC197" s="1">
        <v>0</v>
      </c>
      <c r="JD197" s="1">
        <v>0</v>
      </c>
      <c r="JE197" s="1">
        <v>0</v>
      </c>
      <c r="JF197" s="1">
        <v>0</v>
      </c>
      <c r="JG197" s="1">
        <v>0</v>
      </c>
      <c r="JH197" s="1">
        <v>0</v>
      </c>
      <c r="JI197" s="1">
        <v>0</v>
      </c>
      <c r="JJ197" s="1">
        <v>0</v>
      </c>
      <c r="JK197" s="1">
        <v>0</v>
      </c>
      <c r="JL197" s="1">
        <v>0</v>
      </c>
      <c r="JM197" s="1">
        <v>0</v>
      </c>
      <c r="JN197" s="1">
        <v>0</v>
      </c>
      <c r="JO197" s="1">
        <v>0</v>
      </c>
      <c r="JP197" s="1">
        <v>0</v>
      </c>
      <c r="JQ197" s="9"/>
      <c r="JR197" s="1">
        <f t="shared" si="48"/>
        <v>3135.09501</v>
      </c>
      <c r="JS197" s="1">
        <f t="shared" si="48"/>
        <v>3241.5924600000003</v>
      </c>
      <c r="JT197" s="1">
        <f t="shared" si="48"/>
        <v>3144.7815300000002</v>
      </c>
      <c r="JU197" s="1">
        <f t="shared" si="48"/>
        <v>3160.4939100000001</v>
      </c>
      <c r="JV197" s="1">
        <f t="shared" si="49"/>
        <v>580.57315000000006</v>
      </c>
      <c r="JW197" s="1">
        <f t="shared" si="49"/>
        <v>600.2949000000001</v>
      </c>
      <c r="JX197" s="1">
        <f t="shared" si="49"/>
        <v>582.36694999999997</v>
      </c>
      <c r="JY197" s="1">
        <f t="shared" si="49"/>
        <v>585.27665000000002</v>
      </c>
    </row>
    <row r="198" spans="1:285" x14ac:dyDescent="0.35">
      <c r="A198" s="2" t="s">
        <v>205</v>
      </c>
      <c r="B198" s="1">
        <v>70811</v>
      </c>
      <c r="C198" s="1">
        <v>71008</v>
      </c>
      <c r="D198" s="1">
        <v>71264</v>
      </c>
      <c r="E198" s="1">
        <v>71962</v>
      </c>
      <c r="F198" s="1">
        <v>14155.441000000001</v>
      </c>
      <c r="G198" s="1">
        <v>15237.811</v>
      </c>
      <c r="H198" s="1">
        <v>15689.876</v>
      </c>
      <c r="I198" s="1">
        <v>15483.705</v>
      </c>
      <c r="J198" s="1">
        <f t="shared" si="50"/>
        <v>8793.3209999999999</v>
      </c>
      <c r="K198" s="1">
        <f t="shared" si="51"/>
        <v>8408.110999999999</v>
      </c>
      <c r="L198" s="1">
        <f t="shared" si="52"/>
        <v>7641.1859999999997</v>
      </c>
      <c r="M198" s="1">
        <f t="shared" si="53"/>
        <v>7454.3869999999997</v>
      </c>
      <c r="N198" s="1">
        <f t="shared" si="54"/>
        <v>5362.1200000000008</v>
      </c>
      <c r="O198" s="1">
        <f t="shared" si="55"/>
        <v>6829.7000000000007</v>
      </c>
      <c r="P198" s="1">
        <f t="shared" si="56"/>
        <v>8048.6900000000005</v>
      </c>
      <c r="Q198" s="1">
        <f t="shared" si="57"/>
        <v>8029.3180000000002</v>
      </c>
      <c r="R198" s="1">
        <v>0</v>
      </c>
      <c r="S198" s="1">
        <v>0</v>
      </c>
      <c r="T198" s="1">
        <v>0</v>
      </c>
      <c r="U198" s="1">
        <v>0</v>
      </c>
      <c r="V198" s="1">
        <v>0</v>
      </c>
      <c r="W198" s="1">
        <v>0</v>
      </c>
      <c r="X198" s="1">
        <v>0</v>
      </c>
      <c r="Y198" s="1">
        <v>0</v>
      </c>
      <c r="Z198" s="1">
        <v>0</v>
      </c>
      <c r="AA198" s="1">
        <v>0</v>
      </c>
      <c r="AB198" s="1">
        <v>0</v>
      </c>
      <c r="AC198" s="1">
        <v>0</v>
      </c>
      <c r="AD198" s="1">
        <v>0</v>
      </c>
      <c r="AE198" s="1">
        <v>0</v>
      </c>
      <c r="AF198" s="1">
        <v>0</v>
      </c>
      <c r="AG198" s="1">
        <v>0</v>
      </c>
      <c r="AH198" s="1">
        <v>0</v>
      </c>
      <c r="AI198" s="1">
        <v>0</v>
      </c>
      <c r="AJ198" s="1">
        <v>0</v>
      </c>
      <c r="AK198" s="1">
        <v>0</v>
      </c>
      <c r="AL198" s="1">
        <v>0</v>
      </c>
      <c r="AM198" s="1">
        <v>0</v>
      </c>
      <c r="AN198" s="1">
        <v>0</v>
      </c>
      <c r="AO198" s="1">
        <v>0</v>
      </c>
      <c r="AP198" s="1">
        <v>1994.3400000000001</v>
      </c>
      <c r="AQ198" s="1">
        <v>1866.3400000000001</v>
      </c>
      <c r="AR198" s="1">
        <v>1705.37</v>
      </c>
      <c r="AS198" s="1">
        <v>1810.07</v>
      </c>
      <c r="AT198" s="1">
        <v>1994.3400000000001</v>
      </c>
      <c r="AU198" s="1">
        <v>0</v>
      </c>
      <c r="AV198" s="1">
        <v>0</v>
      </c>
      <c r="AW198" s="1">
        <v>0</v>
      </c>
      <c r="AX198" s="1">
        <v>1849.44</v>
      </c>
      <c r="AY198" s="1">
        <v>16.899999999999999</v>
      </c>
      <c r="AZ198" s="1">
        <v>0</v>
      </c>
      <c r="BA198" s="1">
        <v>0</v>
      </c>
      <c r="BB198" s="1">
        <v>1705.37</v>
      </c>
      <c r="BC198" s="1">
        <v>0</v>
      </c>
      <c r="BD198" s="1">
        <v>0</v>
      </c>
      <c r="BE198" s="1">
        <v>1810.07</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2313.9940000000001</v>
      </c>
      <c r="BV198" s="1">
        <v>2433.605</v>
      </c>
      <c r="BW198" s="1">
        <v>2177.6320000000001</v>
      </c>
      <c r="BX198" s="1">
        <v>2209.7820000000002</v>
      </c>
      <c r="BY198" s="1">
        <v>2313.9940000000001</v>
      </c>
      <c r="BZ198" s="1">
        <v>2433.605</v>
      </c>
      <c r="CA198" s="1">
        <v>2177.6320000000001</v>
      </c>
      <c r="CB198" s="1">
        <v>2209.7820000000002</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789.88999999999987</v>
      </c>
      <c r="CT198" s="1">
        <v>703.38</v>
      </c>
      <c r="CU198" s="1">
        <v>540.79</v>
      </c>
      <c r="CV198" s="1">
        <v>546.04700000000003</v>
      </c>
      <c r="CW198" s="1">
        <v>789.88999999999987</v>
      </c>
      <c r="CX198" s="1">
        <v>703.38</v>
      </c>
      <c r="CY198" s="1">
        <v>540.79</v>
      </c>
      <c r="CZ198" s="1">
        <v>546.04700000000003</v>
      </c>
      <c r="DA198" s="1">
        <v>0</v>
      </c>
      <c r="DB198" s="1">
        <v>0</v>
      </c>
      <c r="DC198" s="1">
        <v>0</v>
      </c>
      <c r="DD198" s="1">
        <v>0</v>
      </c>
      <c r="DE198" s="1">
        <v>0</v>
      </c>
      <c r="DF198" s="1">
        <v>0</v>
      </c>
      <c r="DG198" s="1">
        <v>0</v>
      </c>
      <c r="DH198" s="1">
        <v>0</v>
      </c>
      <c r="DI198" s="1">
        <v>0</v>
      </c>
      <c r="DJ198" s="1">
        <v>0</v>
      </c>
      <c r="DK198" s="1">
        <v>0</v>
      </c>
      <c r="DL198" s="1">
        <v>0</v>
      </c>
      <c r="DM198" s="1">
        <v>2659.36</v>
      </c>
      <c r="DN198" s="1">
        <v>2388.9299999999998</v>
      </c>
      <c r="DO198" s="1">
        <v>1829.06</v>
      </c>
      <c r="DP198" s="1">
        <v>1710.867</v>
      </c>
      <c r="DQ198" s="1">
        <v>2659.36</v>
      </c>
      <c r="DR198" s="1">
        <v>2388.9299999999998</v>
      </c>
      <c r="DS198" s="1">
        <v>1829.06</v>
      </c>
      <c r="DT198" s="1">
        <v>1710.867</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705</v>
      </c>
      <c r="EL198" s="1">
        <v>578.37</v>
      </c>
      <c r="EM198" s="1">
        <v>549.12</v>
      </c>
      <c r="EN198" s="1">
        <v>454.25</v>
      </c>
      <c r="EO198" s="1">
        <v>705</v>
      </c>
      <c r="EP198" s="1">
        <v>578.37</v>
      </c>
      <c r="EQ198" s="1">
        <v>549.12</v>
      </c>
      <c r="ER198" s="1">
        <v>454.25</v>
      </c>
      <c r="ES198" s="1">
        <v>0</v>
      </c>
      <c r="ET198" s="1">
        <v>0</v>
      </c>
      <c r="EU198" s="1">
        <v>0</v>
      </c>
      <c r="EV198" s="1">
        <v>0</v>
      </c>
      <c r="EW198" s="1">
        <v>0</v>
      </c>
      <c r="EX198" s="1">
        <v>0</v>
      </c>
      <c r="EY198" s="1">
        <v>0</v>
      </c>
      <c r="EZ198" s="1">
        <v>0</v>
      </c>
      <c r="FA198" s="1">
        <v>0</v>
      </c>
      <c r="FB198" s="1">
        <v>0</v>
      </c>
      <c r="FC198" s="1">
        <v>0</v>
      </c>
      <c r="FD198" s="1">
        <v>0</v>
      </c>
      <c r="FE198" s="1">
        <v>75.237000000000009</v>
      </c>
      <c r="FF198" s="1">
        <v>103.60599999999999</v>
      </c>
      <c r="FG198" s="1">
        <v>107.944</v>
      </c>
      <c r="FH198" s="1">
        <v>85.754999999999995</v>
      </c>
      <c r="FI198" s="1">
        <v>75.237000000000009</v>
      </c>
      <c r="FJ198" s="1">
        <v>103.60599999999999</v>
      </c>
      <c r="FK198" s="1">
        <v>107.944</v>
      </c>
      <c r="FL198" s="1">
        <v>85.754999999999995</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v>0</v>
      </c>
      <c r="GC198" s="1">
        <v>0</v>
      </c>
      <c r="GD198" s="1">
        <v>0</v>
      </c>
      <c r="GE198" s="1">
        <v>0</v>
      </c>
      <c r="GF198" s="1">
        <v>13.584</v>
      </c>
      <c r="GG198" s="1">
        <v>0</v>
      </c>
      <c r="GH198" s="1">
        <v>0</v>
      </c>
      <c r="GI198" s="1">
        <v>0</v>
      </c>
      <c r="GJ198" s="1">
        <v>13.584</v>
      </c>
      <c r="GK198" s="1">
        <v>0</v>
      </c>
      <c r="GL198" s="1">
        <v>0</v>
      </c>
      <c r="GM198" s="1">
        <v>0</v>
      </c>
      <c r="GN198" s="1">
        <v>0</v>
      </c>
      <c r="GO198" s="1">
        <v>0</v>
      </c>
      <c r="GP198" s="1">
        <v>0</v>
      </c>
      <c r="GQ198" s="1">
        <v>0</v>
      </c>
      <c r="GR198" s="1">
        <v>0</v>
      </c>
      <c r="GS198" s="1">
        <v>0</v>
      </c>
      <c r="GT198" s="1">
        <v>0</v>
      </c>
      <c r="GU198" s="1">
        <v>0</v>
      </c>
      <c r="GV198" s="1">
        <v>0</v>
      </c>
      <c r="GW198" s="1">
        <v>0</v>
      </c>
      <c r="GX198" s="1">
        <v>0</v>
      </c>
      <c r="GY198" s="1">
        <v>0</v>
      </c>
      <c r="GZ198" s="1">
        <v>0</v>
      </c>
      <c r="HA198" s="1">
        <v>0</v>
      </c>
      <c r="HB198" s="1">
        <v>0</v>
      </c>
      <c r="HC198" s="1">
        <v>0</v>
      </c>
      <c r="HD198" s="1">
        <v>0</v>
      </c>
      <c r="HE198" s="1">
        <v>0</v>
      </c>
      <c r="HF198" s="1">
        <v>0</v>
      </c>
      <c r="HG198" s="1">
        <v>0</v>
      </c>
      <c r="HH198" s="1">
        <v>0</v>
      </c>
      <c r="HI198" s="1">
        <v>0</v>
      </c>
      <c r="HJ198" s="1">
        <v>0</v>
      </c>
      <c r="HK198" s="1">
        <v>0</v>
      </c>
      <c r="HL198" s="1">
        <v>0</v>
      </c>
      <c r="HM198" s="1">
        <v>0</v>
      </c>
      <c r="HN198" s="1">
        <v>0</v>
      </c>
      <c r="HO198" s="1">
        <v>0</v>
      </c>
      <c r="HP198" s="1">
        <v>0</v>
      </c>
      <c r="HQ198" s="1">
        <v>0</v>
      </c>
      <c r="HR198" s="1">
        <v>0</v>
      </c>
      <c r="HS198" s="1">
        <v>0</v>
      </c>
      <c r="HT198" s="1">
        <v>0</v>
      </c>
      <c r="HU198" s="1">
        <v>0</v>
      </c>
      <c r="HV198" s="1">
        <v>0</v>
      </c>
      <c r="HW198" s="1">
        <v>0</v>
      </c>
      <c r="HX198" s="1">
        <v>0</v>
      </c>
      <c r="HY198" s="1">
        <v>0</v>
      </c>
      <c r="HZ198" s="1">
        <v>0</v>
      </c>
      <c r="IA198" s="1">
        <v>0</v>
      </c>
      <c r="IB198" s="1">
        <v>0</v>
      </c>
      <c r="IC198" s="1">
        <v>0</v>
      </c>
      <c r="ID198" s="1">
        <v>0</v>
      </c>
      <c r="IE198" s="1">
        <v>0</v>
      </c>
      <c r="IF198" s="1">
        <v>0</v>
      </c>
      <c r="IG198" s="1">
        <v>0</v>
      </c>
      <c r="IH198" s="1">
        <v>0</v>
      </c>
      <c r="II198" s="1">
        <v>0</v>
      </c>
      <c r="IJ198" s="1">
        <v>0</v>
      </c>
      <c r="IK198" s="1">
        <v>0</v>
      </c>
      <c r="IL198" s="1">
        <v>0</v>
      </c>
      <c r="IM198" s="1">
        <v>0</v>
      </c>
      <c r="IN198" s="1">
        <v>0</v>
      </c>
      <c r="IO198" s="1">
        <v>255.5</v>
      </c>
      <c r="IP198" s="1">
        <v>333.88</v>
      </c>
      <c r="IQ198" s="1">
        <v>731.27</v>
      </c>
      <c r="IR198" s="1">
        <v>624.03200000000004</v>
      </c>
      <c r="IS198" s="1">
        <v>255.5</v>
      </c>
      <c r="IT198" s="1">
        <v>333.88</v>
      </c>
      <c r="IU198" s="1">
        <v>731.27</v>
      </c>
      <c r="IV198" s="1">
        <v>624.03200000000004</v>
      </c>
      <c r="IW198" s="1">
        <v>0</v>
      </c>
      <c r="IX198" s="1">
        <v>0</v>
      </c>
      <c r="IY198" s="1">
        <v>0</v>
      </c>
      <c r="IZ198" s="1">
        <v>0</v>
      </c>
      <c r="JA198" s="1">
        <v>0</v>
      </c>
      <c r="JB198" s="1">
        <v>0</v>
      </c>
      <c r="JC198" s="1">
        <v>0</v>
      </c>
      <c r="JD198" s="1">
        <v>0</v>
      </c>
      <c r="JE198" s="1">
        <v>0</v>
      </c>
      <c r="JF198" s="1">
        <v>0</v>
      </c>
      <c r="JG198" s="1">
        <v>0</v>
      </c>
      <c r="JH198" s="1">
        <v>0</v>
      </c>
      <c r="JI198" s="1">
        <v>0</v>
      </c>
      <c r="JJ198" s="1">
        <v>0</v>
      </c>
      <c r="JK198" s="1">
        <v>0</v>
      </c>
      <c r="JL198" s="1">
        <v>0</v>
      </c>
      <c r="JM198" s="1">
        <v>0</v>
      </c>
      <c r="JN198" s="1">
        <v>0</v>
      </c>
      <c r="JO198" s="1">
        <v>0</v>
      </c>
      <c r="JP198" s="1">
        <v>0</v>
      </c>
      <c r="JQ198" s="9"/>
      <c r="JR198" s="1">
        <f t="shared" si="48"/>
        <v>1447.7724000000003</v>
      </c>
      <c r="JS198" s="1">
        <f t="shared" si="48"/>
        <v>1844.0190000000002</v>
      </c>
      <c r="JT198" s="1">
        <f t="shared" si="48"/>
        <v>2173.1463000000003</v>
      </c>
      <c r="JU198" s="1">
        <f t="shared" si="48"/>
        <v>2167.9158600000001</v>
      </c>
      <c r="JV198" s="1">
        <f t="shared" si="49"/>
        <v>268.10600000000005</v>
      </c>
      <c r="JW198" s="1">
        <f t="shared" si="49"/>
        <v>341.48500000000007</v>
      </c>
      <c r="JX198" s="1">
        <f t="shared" si="49"/>
        <v>402.43450000000007</v>
      </c>
      <c r="JY198" s="1">
        <f t="shared" si="49"/>
        <v>401.46590000000003</v>
      </c>
    </row>
    <row r="199" spans="1:285" x14ac:dyDescent="0.35">
      <c r="A199" s="2" t="s">
        <v>206</v>
      </c>
      <c r="B199" s="1">
        <v>92734</v>
      </c>
      <c r="C199" s="1">
        <v>93409</v>
      </c>
      <c r="D199" s="1">
        <v>94323</v>
      </c>
      <c r="E199" s="1">
        <v>95089</v>
      </c>
      <c r="F199" s="1">
        <v>37393.387999999999</v>
      </c>
      <c r="G199" s="1">
        <v>37130.332999999999</v>
      </c>
      <c r="H199" s="1">
        <v>31522.97</v>
      </c>
      <c r="I199" s="1">
        <v>33909.256000000001</v>
      </c>
      <c r="J199" s="1">
        <f t="shared" si="50"/>
        <v>25191.225999999999</v>
      </c>
      <c r="K199" s="1">
        <f t="shared" si="51"/>
        <v>26051.322</v>
      </c>
      <c r="L199" s="1">
        <f t="shared" si="52"/>
        <v>20774.231999999996</v>
      </c>
      <c r="M199" s="1">
        <f t="shared" si="53"/>
        <v>22330.116999999998</v>
      </c>
      <c r="N199" s="1">
        <f t="shared" si="54"/>
        <v>12202.162</v>
      </c>
      <c r="O199" s="1">
        <f t="shared" si="55"/>
        <v>11079.010999999999</v>
      </c>
      <c r="P199" s="1">
        <f t="shared" si="56"/>
        <v>10748.738000000005</v>
      </c>
      <c r="Q199" s="1">
        <f t="shared" si="57"/>
        <v>11579.139000000003</v>
      </c>
      <c r="R199" s="1">
        <v>0</v>
      </c>
      <c r="S199" s="1">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1">
        <v>0</v>
      </c>
      <c r="AJ199" s="1">
        <v>0</v>
      </c>
      <c r="AK199" s="1">
        <v>0</v>
      </c>
      <c r="AL199" s="1">
        <v>0</v>
      </c>
      <c r="AM199" s="1">
        <v>0</v>
      </c>
      <c r="AN199" s="1">
        <v>0</v>
      </c>
      <c r="AO199" s="1">
        <v>0</v>
      </c>
      <c r="AP199" s="1">
        <v>7163.97</v>
      </c>
      <c r="AQ199" s="1">
        <v>9105.5619999999999</v>
      </c>
      <c r="AR199" s="1">
        <v>8070.96</v>
      </c>
      <c r="AS199" s="1">
        <v>8853.5</v>
      </c>
      <c r="AT199" s="1">
        <v>7163.97</v>
      </c>
      <c r="AU199" s="1">
        <v>0</v>
      </c>
      <c r="AV199" s="1">
        <v>0</v>
      </c>
      <c r="AW199" s="1">
        <v>0</v>
      </c>
      <c r="AX199" s="1">
        <v>9105.5619999999999</v>
      </c>
      <c r="AY199" s="1">
        <v>0</v>
      </c>
      <c r="AZ199" s="1">
        <v>0</v>
      </c>
      <c r="BA199" s="1">
        <v>0</v>
      </c>
      <c r="BB199" s="1">
        <v>8070.96</v>
      </c>
      <c r="BC199" s="1">
        <v>0</v>
      </c>
      <c r="BD199" s="1">
        <v>0</v>
      </c>
      <c r="BE199" s="1">
        <v>8853.5</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12041.455</v>
      </c>
      <c r="BV199" s="1">
        <v>11097.126</v>
      </c>
      <c r="BW199" s="1">
        <v>6551.8530000000001</v>
      </c>
      <c r="BX199" s="1">
        <v>7676.7710000000006</v>
      </c>
      <c r="BY199" s="1">
        <v>12041.455</v>
      </c>
      <c r="BZ199" s="1">
        <v>11097.126</v>
      </c>
      <c r="CA199" s="1">
        <v>6551.8530000000001</v>
      </c>
      <c r="CB199" s="1">
        <v>7676.7710000000006</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2665.0140000000001</v>
      </c>
      <c r="CT199" s="1">
        <v>2365.4299999999998</v>
      </c>
      <c r="CU199" s="1">
        <v>2278.6260000000002</v>
      </c>
      <c r="CV199" s="1">
        <v>1925.6610000000001</v>
      </c>
      <c r="CW199" s="1">
        <v>2665.0140000000001</v>
      </c>
      <c r="CX199" s="1">
        <v>2365.4299999999998</v>
      </c>
      <c r="CY199" s="1">
        <v>2278.6260000000002</v>
      </c>
      <c r="CZ199" s="1">
        <v>1925.6610000000001</v>
      </c>
      <c r="DA199" s="1">
        <v>0</v>
      </c>
      <c r="DB199" s="1">
        <v>0</v>
      </c>
      <c r="DC199" s="1">
        <v>0</v>
      </c>
      <c r="DD199" s="1">
        <v>0</v>
      </c>
      <c r="DE199" s="1">
        <v>0</v>
      </c>
      <c r="DF199" s="1">
        <v>0</v>
      </c>
      <c r="DG199" s="1">
        <v>0</v>
      </c>
      <c r="DH199" s="1">
        <v>0</v>
      </c>
      <c r="DI199" s="1">
        <v>0</v>
      </c>
      <c r="DJ199" s="1">
        <v>0</v>
      </c>
      <c r="DK199" s="1">
        <v>0</v>
      </c>
      <c r="DL199" s="1">
        <v>0</v>
      </c>
      <c r="DM199" s="1">
        <v>2320.163</v>
      </c>
      <c r="DN199" s="1">
        <v>2306.27</v>
      </c>
      <c r="DO199" s="1">
        <v>2569.511</v>
      </c>
      <c r="DP199" s="1">
        <v>2319.4009999999998</v>
      </c>
      <c r="DQ199" s="1">
        <v>2320.163</v>
      </c>
      <c r="DR199" s="1">
        <v>2306.27</v>
      </c>
      <c r="DS199" s="1">
        <v>2569.511</v>
      </c>
      <c r="DT199" s="1">
        <v>2319.4009999999998</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656.79399999999998</v>
      </c>
      <c r="EL199" s="1">
        <v>781.60299999999995</v>
      </c>
      <c r="EM199" s="1">
        <v>946.24600000000009</v>
      </c>
      <c r="EN199" s="1">
        <v>1214.643</v>
      </c>
      <c r="EO199" s="1">
        <v>656.79399999999998</v>
      </c>
      <c r="EP199" s="1">
        <v>781.60299999999995</v>
      </c>
      <c r="EQ199" s="1">
        <v>946.24600000000009</v>
      </c>
      <c r="ER199" s="1">
        <v>1214.643</v>
      </c>
      <c r="ES199" s="1">
        <v>0</v>
      </c>
      <c r="ET199" s="1">
        <v>0</v>
      </c>
      <c r="EU199" s="1">
        <v>0</v>
      </c>
      <c r="EV199" s="1">
        <v>0</v>
      </c>
      <c r="EW199" s="1">
        <v>0</v>
      </c>
      <c r="EX199" s="1">
        <v>0</v>
      </c>
      <c r="EY199" s="1">
        <v>0</v>
      </c>
      <c r="EZ199" s="1">
        <v>0</v>
      </c>
      <c r="FA199" s="1">
        <v>0</v>
      </c>
      <c r="FB199" s="1">
        <v>0</v>
      </c>
      <c r="FC199" s="1">
        <v>0</v>
      </c>
      <c r="FD199" s="1">
        <v>0</v>
      </c>
      <c r="FE199" s="1">
        <v>222.8</v>
      </c>
      <c r="FF199" s="1">
        <v>258.17099999999999</v>
      </c>
      <c r="FG199" s="1">
        <v>203.64599999999999</v>
      </c>
      <c r="FH199" s="1">
        <v>179.68100000000001</v>
      </c>
      <c r="FI199" s="1">
        <v>0</v>
      </c>
      <c r="FJ199" s="1">
        <v>0</v>
      </c>
      <c r="FK199" s="1">
        <v>0</v>
      </c>
      <c r="FL199" s="1">
        <v>0</v>
      </c>
      <c r="FM199" s="1">
        <v>222.8</v>
      </c>
      <c r="FN199" s="1">
        <v>258.17099999999999</v>
      </c>
      <c r="FO199" s="1">
        <v>203.64599999999999</v>
      </c>
      <c r="FP199" s="1">
        <v>179.68100000000001</v>
      </c>
      <c r="FQ199" s="1">
        <v>0</v>
      </c>
      <c r="FR199" s="1">
        <v>0</v>
      </c>
      <c r="FS199" s="1">
        <v>0</v>
      </c>
      <c r="FT199" s="1">
        <v>0</v>
      </c>
      <c r="FU199" s="1">
        <v>0</v>
      </c>
      <c r="FV199" s="1">
        <v>0</v>
      </c>
      <c r="FW199" s="1">
        <v>0</v>
      </c>
      <c r="FX199" s="1">
        <v>0</v>
      </c>
      <c r="FY199" s="1">
        <v>0</v>
      </c>
      <c r="FZ199" s="1">
        <v>0</v>
      </c>
      <c r="GA199" s="1">
        <v>0</v>
      </c>
      <c r="GB199" s="1">
        <v>0</v>
      </c>
      <c r="GC199" s="1">
        <v>121.03</v>
      </c>
      <c r="GD199" s="1">
        <v>137.16</v>
      </c>
      <c r="GE199" s="1">
        <v>153.38999999999999</v>
      </c>
      <c r="GF199" s="1">
        <v>160.46</v>
      </c>
      <c r="GG199" s="1">
        <v>121.03</v>
      </c>
      <c r="GH199" s="1">
        <v>137.16</v>
      </c>
      <c r="GI199" s="1">
        <v>153.38999999999999</v>
      </c>
      <c r="GJ199" s="1">
        <v>160.46</v>
      </c>
      <c r="GK199" s="1">
        <v>0</v>
      </c>
      <c r="GL199" s="1">
        <v>0</v>
      </c>
      <c r="GM199" s="1">
        <v>0</v>
      </c>
      <c r="GN199" s="1">
        <v>0</v>
      </c>
      <c r="GO199" s="1">
        <v>0</v>
      </c>
      <c r="GP199" s="1">
        <v>0</v>
      </c>
      <c r="GQ199" s="1">
        <v>0</v>
      </c>
      <c r="GR199" s="1">
        <v>0</v>
      </c>
      <c r="GS199" s="1">
        <v>0</v>
      </c>
      <c r="GT199" s="1">
        <v>0</v>
      </c>
      <c r="GU199" s="1">
        <v>0</v>
      </c>
      <c r="GV199" s="1">
        <v>0</v>
      </c>
      <c r="GW199" s="1">
        <v>0</v>
      </c>
      <c r="GX199" s="1">
        <v>0</v>
      </c>
      <c r="GY199" s="1">
        <v>0</v>
      </c>
      <c r="GZ199" s="1">
        <v>0</v>
      </c>
      <c r="HA199" s="1">
        <v>0</v>
      </c>
      <c r="HB199" s="1">
        <v>0</v>
      </c>
      <c r="HC199" s="1">
        <v>0</v>
      </c>
      <c r="HD199" s="1">
        <v>0</v>
      </c>
      <c r="HE199" s="1">
        <v>0</v>
      </c>
      <c r="HF199" s="1">
        <v>0</v>
      </c>
      <c r="HG199" s="1">
        <v>0</v>
      </c>
      <c r="HH199" s="1">
        <v>0</v>
      </c>
      <c r="HI199" s="1">
        <v>0</v>
      </c>
      <c r="HJ199" s="1">
        <v>0</v>
      </c>
      <c r="HK199" s="1">
        <v>0</v>
      </c>
      <c r="HL199" s="1">
        <v>0</v>
      </c>
      <c r="HM199" s="1">
        <v>0</v>
      </c>
      <c r="HN199" s="1">
        <v>0</v>
      </c>
      <c r="HO199" s="1">
        <v>0</v>
      </c>
      <c r="HP199" s="1">
        <v>0</v>
      </c>
      <c r="HQ199" s="1">
        <v>0</v>
      </c>
      <c r="HR199" s="1">
        <v>0</v>
      </c>
      <c r="HS199" s="1">
        <v>0</v>
      </c>
      <c r="HT199" s="1">
        <v>0</v>
      </c>
      <c r="HU199" s="1">
        <v>0</v>
      </c>
      <c r="HV199" s="1">
        <v>0</v>
      </c>
      <c r="HW199" s="1">
        <v>0</v>
      </c>
      <c r="HX199" s="1">
        <v>0</v>
      </c>
      <c r="HY199" s="1">
        <v>0</v>
      </c>
      <c r="HZ199" s="1">
        <v>0</v>
      </c>
      <c r="IA199" s="1">
        <v>0</v>
      </c>
      <c r="IB199" s="1">
        <v>0</v>
      </c>
      <c r="IC199" s="1">
        <v>0</v>
      </c>
      <c r="ID199" s="1">
        <v>0</v>
      </c>
      <c r="IE199" s="1">
        <v>0</v>
      </c>
      <c r="IF199" s="1">
        <v>0</v>
      </c>
      <c r="IG199" s="1">
        <v>0</v>
      </c>
      <c r="IH199" s="1">
        <v>0</v>
      </c>
      <c r="II199" s="1">
        <v>0</v>
      </c>
      <c r="IJ199" s="1">
        <v>0</v>
      </c>
      <c r="IK199" s="1">
        <v>0</v>
      </c>
      <c r="IL199" s="1">
        <v>0</v>
      </c>
      <c r="IM199" s="1">
        <v>0</v>
      </c>
      <c r="IN199" s="1">
        <v>0</v>
      </c>
      <c r="IO199" s="1">
        <v>0</v>
      </c>
      <c r="IP199" s="1">
        <v>0</v>
      </c>
      <c r="IQ199" s="1">
        <v>0</v>
      </c>
      <c r="IR199" s="1">
        <v>0</v>
      </c>
      <c r="IS199" s="1">
        <v>0</v>
      </c>
      <c r="IT199" s="1">
        <v>0</v>
      </c>
      <c r="IU199" s="1">
        <v>0</v>
      </c>
      <c r="IV199" s="1">
        <v>0</v>
      </c>
      <c r="IW199" s="1">
        <v>0</v>
      </c>
      <c r="IX199" s="1">
        <v>0</v>
      </c>
      <c r="IY199" s="1">
        <v>0</v>
      </c>
      <c r="IZ199" s="1">
        <v>0</v>
      </c>
      <c r="JA199" s="1">
        <v>0</v>
      </c>
      <c r="JB199" s="1">
        <v>0</v>
      </c>
      <c r="JC199" s="1">
        <v>0</v>
      </c>
      <c r="JD199" s="1">
        <v>0</v>
      </c>
      <c r="JE199" s="1">
        <v>0</v>
      </c>
      <c r="JF199" s="1">
        <v>0</v>
      </c>
      <c r="JG199" s="1">
        <v>0</v>
      </c>
      <c r="JH199" s="1">
        <v>0</v>
      </c>
      <c r="JI199" s="1">
        <v>0</v>
      </c>
      <c r="JJ199" s="1">
        <v>0</v>
      </c>
      <c r="JK199" s="1">
        <v>0</v>
      </c>
      <c r="JL199" s="1">
        <v>0</v>
      </c>
      <c r="JM199" s="1">
        <v>0</v>
      </c>
      <c r="JN199" s="1">
        <v>0</v>
      </c>
      <c r="JO199" s="1">
        <v>0</v>
      </c>
      <c r="JP199" s="1">
        <v>0</v>
      </c>
      <c r="JQ199" s="9"/>
      <c r="JR199" s="1">
        <f t="shared" si="48"/>
        <v>3294.5837400000005</v>
      </c>
      <c r="JS199" s="1">
        <f t="shared" si="48"/>
        <v>2991.3329699999999</v>
      </c>
      <c r="JT199" s="1">
        <f t="shared" si="48"/>
        <v>2902.1592600000013</v>
      </c>
      <c r="JU199" s="1">
        <f t="shared" si="48"/>
        <v>3126.3675300000009</v>
      </c>
      <c r="JV199" s="1">
        <f t="shared" si="49"/>
        <v>610.10810000000004</v>
      </c>
      <c r="JW199" s="1">
        <f t="shared" si="49"/>
        <v>553.95054999999991</v>
      </c>
      <c r="JX199" s="1">
        <f t="shared" si="49"/>
        <v>537.43690000000026</v>
      </c>
      <c r="JY199" s="1">
        <f t="shared" si="49"/>
        <v>578.95695000000012</v>
      </c>
    </row>
    <row r="200" spans="1:285" x14ac:dyDescent="0.35">
      <c r="A200" s="2" t="s">
        <v>207</v>
      </c>
      <c r="B200" s="1">
        <v>265593</v>
      </c>
      <c r="C200" s="1">
        <v>266173</v>
      </c>
      <c r="D200" s="1">
        <v>268707</v>
      </c>
      <c r="E200" s="1">
        <v>272648</v>
      </c>
      <c r="F200" s="1">
        <v>255619.74400000001</v>
      </c>
      <c r="G200" s="1">
        <v>265465.83299999998</v>
      </c>
      <c r="H200" s="1">
        <v>252134.50700000001</v>
      </c>
      <c r="I200" s="1">
        <v>252053.402</v>
      </c>
      <c r="J200" s="1">
        <f t="shared" si="50"/>
        <v>49978.732000000011</v>
      </c>
      <c r="K200" s="1">
        <f t="shared" si="51"/>
        <v>52409.488000000005</v>
      </c>
      <c r="L200" s="1">
        <f t="shared" si="52"/>
        <v>50584.112000000001</v>
      </c>
      <c r="M200" s="1">
        <f t="shared" si="53"/>
        <v>50921.076000000008</v>
      </c>
      <c r="N200" s="1">
        <f t="shared" si="54"/>
        <v>205641.01199999999</v>
      </c>
      <c r="O200" s="1">
        <f t="shared" si="55"/>
        <v>213056.34499999997</v>
      </c>
      <c r="P200" s="1">
        <f t="shared" si="56"/>
        <v>201550.39500000002</v>
      </c>
      <c r="Q200" s="1">
        <f t="shared" si="57"/>
        <v>201132.326</v>
      </c>
      <c r="R200" s="1">
        <v>0</v>
      </c>
      <c r="S200" s="1">
        <v>0</v>
      </c>
      <c r="T200" s="1">
        <v>0</v>
      </c>
      <c r="U200" s="1">
        <v>0</v>
      </c>
      <c r="V200" s="1">
        <v>0</v>
      </c>
      <c r="W200" s="1">
        <v>0</v>
      </c>
      <c r="X200" s="1">
        <v>0</v>
      </c>
      <c r="Y200" s="1">
        <v>0</v>
      </c>
      <c r="Z200" s="1">
        <v>0</v>
      </c>
      <c r="AA200" s="1">
        <v>0</v>
      </c>
      <c r="AB200" s="1">
        <v>0</v>
      </c>
      <c r="AC200" s="1">
        <v>0</v>
      </c>
      <c r="AD200" s="1">
        <v>0</v>
      </c>
      <c r="AE200" s="1">
        <v>0</v>
      </c>
      <c r="AF200" s="1">
        <v>0</v>
      </c>
      <c r="AG200" s="1">
        <v>0</v>
      </c>
      <c r="AH200" s="1">
        <v>0</v>
      </c>
      <c r="AI200" s="1">
        <v>0</v>
      </c>
      <c r="AJ200" s="1">
        <v>0</v>
      </c>
      <c r="AK200" s="1">
        <v>0</v>
      </c>
      <c r="AL200" s="1">
        <v>0</v>
      </c>
      <c r="AM200" s="1">
        <v>0</v>
      </c>
      <c r="AN200" s="1">
        <v>0</v>
      </c>
      <c r="AO200" s="1">
        <v>0</v>
      </c>
      <c r="AP200" s="1">
        <v>12538.310000000001</v>
      </c>
      <c r="AQ200" s="1">
        <v>14246.84</v>
      </c>
      <c r="AR200" s="1">
        <v>12617.846</v>
      </c>
      <c r="AS200" s="1">
        <v>14851.18</v>
      </c>
      <c r="AT200" s="1">
        <v>3969.42</v>
      </c>
      <c r="AU200" s="1">
        <v>8568.8900000000012</v>
      </c>
      <c r="AV200" s="1">
        <v>0</v>
      </c>
      <c r="AW200" s="1">
        <v>0</v>
      </c>
      <c r="AX200" s="1">
        <v>0</v>
      </c>
      <c r="AY200" s="1">
        <v>14246.84</v>
      </c>
      <c r="AZ200" s="1">
        <v>0</v>
      </c>
      <c r="BA200" s="1">
        <v>0</v>
      </c>
      <c r="BB200" s="1">
        <v>0</v>
      </c>
      <c r="BC200" s="1">
        <v>12617.846</v>
      </c>
      <c r="BD200" s="1">
        <v>0</v>
      </c>
      <c r="BE200" s="1">
        <v>0</v>
      </c>
      <c r="BF200" s="1">
        <v>14851.18</v>
      </c>
      <c r="BG200" s="1">
        <v>0</v>
      </c>
      <c r="BH200" s="1">
        <v>0</v>
      </c>
      <c r="BI200" s="1">
        <v>0</v>
      </c>
      <c r="BJ200" s="1">
        <v>0</v>
      </c>
      <c r="BK200" s="1">
        <v>0</v>
      </c>
      <c r="BL200" s="1">
        <v>0</v>
      </c>
      <c r="BM200" s="1">
        <v>0</v>
      </c>
      <c r="BN200" s="1">
        <v>0</v>
      </c>
      <c r="BO200" s="1">
        <v>0</v>
      </c>
      <c r="BP200" s="1">
        <v>0</v>
      </c>
      <c r="BQ200" s="1">
        <v>0</v>
      </c>
      <c r="BR200" s="1">
        <v>0</v>
      </c>
      <c r="BS200" s="1">
        <v>0</v>
      </c>
      <c r="BT200" s="1">
        <v>0</v>
      </c>
      <c r="BU200" s="1">
        <v>13570.76</v>
      </c>
      <c r="BV200" s="1">
        <v>14540.297</v>
      </c>
      <c r="BW200" s="1">
        <v>13796.014999999999</v>
      </c>
      <c r="BX200" s="1">
        <v>13854.24</v>
      </c>
      <c r="BY200" s="1">
        <v>13570.76</v>
      </c>
      <c r="BZ200" s="1">
        <v>14540.297</v>
      </c>
      <c r="CA200" s="1">
        <v>13796.014999999999</v>
      </c>
      <c r="CB200" s="1">
        <v>13854.24</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2981.1410000000001</v>
      </c>
      <c r="CT200" s="1">
        <v>2828.5529999999999</v>
      </c>
      <c r="CU200" s="1">
        <v>3611.4639999999999</v>
      </c>
      <c r="CV200" s="1">
        <v>3619.3789999999999</v>
      </c>
      <c r="CW200" s="1">
        <v>2945.3809999999999</v>
      </c>
      <c r="CX200" s="1">
        <v>2780.3829999999998</v>
      </c>
      <c r="CY200" s="1">
        <v>3556.489</v>
      </c>
      <c r="CZ200" s="1">
        <v>3557.241</v>
      </c>
      <c r="DA200" s="1">
        <v>35.760000000000012</v>
      </c>
      <c r="DB200" s="1">
        <v>48.17</v>
      </c>
      <c r="DC200" s="1">
        <v>54.975000000000001</v>
      </c>
      <c r="DD200" s="1">
        <v>62.138000000000012</v>
      </c>
      <c r="DE200" s="1">
        <v>0</v>
      </c>
      <c r="DF200" s="1">
        <v>0</v>
      </c>
      <c r="DG200" s="1">
        <v>0</v>
      </c>
      <c r="DH200" s="1">
        <v>0</v>
      </c>
      <c r="DI200" s="1">
        <v>0</v>
      </c>
      <c r="DJ200" s="1">
        <v>0</v>
      </c>
      <c r="DK200" s="1">
        <v>0</v>
      </c>
      <c r="DL200" s="1">
        <v>0</v>
      </c>
      <c r="DM200" s="1">
        <v>9197.9369999999999</v>
      </c>
      <c r="DN200" s="1">
        <v>9736.7029999999995</v>
      </c>
      <c r="DO200" s="1">
        <v>9081.7720000000008</v>
      </c>
      <c r="DP200" s="1">
        <v>8991.6740000000009</v>
      </c>
      <c r="DQ200" s="1">
        <v>9197.9369999999999</v>
      </c>
      <c r="DR200" s="1">
        <v>9736.7029999999995</v>
      </c>
      <c r="DS200" s="1">
        <v>9081.7720000000008</v>
      </c>
      <c r="DT200" s="1">
        <v>8991.6740000000009</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4835.6980000000003</v>
      </c>
      <c r="EL200" s="1">
        <v>4643.9620000000004</v>
      </c>
      <c r="EM200" s="1">
        <v>3838.49</v>
      </c>
      <c r="EN200" s="1">
        <v>3832.4189999999999</v>
      </c>
      <c r="EO200" s="1">
        <v>4757.808</v>
      </c>
      <c r="EP200" s="1">
        <v>4571.8720000000003</v>
      </c>
      <c r="EQ200" s="1">
        <v>3731.69</v>
      </c>
      <c r="ER200" s="1">
        <v>3702.5549999999998</v>
      </c>
      <c r="ES200" s="1">
        <v>77.890000000000015</v>
      </c>
      <c r="ET200" s="1">
        <v>72.09</v>
      </c>
      <c r="EU200" s="1">
        <v>106.8</v>
      </c>
      <c r="EV200" s="1">
        <v>129.864</v>
      </c>
      <c r="EW200" s="1">
        <v>0</v>
      </c>
      <c r="EX200" s="1">
        <v>0</v>
      </c>
      <c r="EY200" s="1">
        <v>0</v>
      </c>
      <c r="EZ200" s="1">
        <v>0</v>
      </c>
      <c r="FA200" s="1">
        <v>0</v>
      </c>
      <c r="FB200" s="1">
        <v>0</v>
      </c>
      <c r="FC200" s="1">
        <v>0</v>
      </c>
      <c r="FD200" s="1">
        <v>0</v>
      </c>
      <c r="FE200" s="1">
        <v>293.10300000000001</v>
      </c>
      <c r="FF200" s="1">
        <v>249.52799999999999</v>
      </c>
      <c r="FG200" s="1">
        <v>279.36799999999999</v>
      </c>
      <c r="FH200" s="1">
        <v>300.37900000000002</v>
      </c>
      <c r="FI200" s="1">
        <v>292.57799999999997</v>
      </c>
      <c r="FJ200" s="1">
        <v>247.34899999999999</v>
      </c>
      <c r="FK200" s="1">
        <v>278.34899999999999</v>
      </c>
      <c r="FL200" s="1">
        <v>300.12400000000002</v>
      </c>
      <c r="FM200" s="1">
        <v>0.52500000000000002</v>
      </c>
      <c r="FN200" s="1">
        <v>2.1789999999999998</v>
      </c>
      <c r="FO200" s="1">
        <v>1.0189999999999999</v>
      </c>
      <c r="FP200" s="1">
        <v>0.255</v>
      </c>
      <c r="FQ200" s="1">
        <v>0</v>
      </c>
      <c r="FR200" s="1">
        <v>0</v>
      </c>
      <c r="FS200" s="1">
        <v>0</v>
      </c>
      <c r="FT200" s="1">
        <v>0</v>
      </c>
      <c r="FU200" s="1">
        <v>0</v>
      </c>
      <c r="FV200" s="1">
        <v>0</v>
      </c>
      <c r="FW200" s="1">
        <v>0</v>
      </c>
      <c r="FX200" s="1">
        <v>0</v>
      </c>
      <c r="FY200" s="1">
        <v>0</v>
      </c>
      <c r="FZ200" s="1">
        <v>0</v>
      </c>
      <c r="GA200" s="1">
        <v>0</v>
      </c>
      <c r="GB200" s="1">
        <v>0</v>
      </c>
      <c r="GC200" s="1">
        <v>4101.1419999999998</v>
      </c>
      <c r="GD200" s="1">
        <v>2992.819</v>
      </c>
      <c r="GE200" s="1">
        <v>3794.902</v>
      </c>
      <c r="GF200" s="1">
        <v>1992.6220000000001</v>
      </c>
      <c r="GG200" s="1">
        <v>3961.1660000000002</v>
      </c>
      <c r="GH200" s="1">
        <v>2866.1410000000001</v>
      </c>
      <c r="GI200" s="1">
        <v>3591.2</v>
      </c>
      <c r="GJ200" s="1">
        <v>1745.1880000000001</v>
      </c>
      <c r="GK200" s="1">
        <v>139.976</v>
      </c>
      <c r="GL200" s="1">
        <v>126.678</v>
      </c>
      <c r="GM200" s="1">
        <v>203.702</v>
      </c>
      <c r="GN200" s="1">
        <v>247.434</v>
      </c>
      <c r="GO200" s="1">
        <v>0</v>
      </c>
      <c r="GP200" s="1">
        <v>0</v>
      </c>
      <c r="GQ200" s="1">
        <v>0</v>
      </c>
      <c r="GR200" s="1">
        <v>0</v>
      </c>
      <c r="GS200" s="1">
        <v>0</v>
      </c>
      <c r="GT200" s="1">
        <v>0</v>
      </c>
      <c r="GU200" s="1">
        <v>0</v>
      </c>
      <c r="GV200" s="1">
        <v>0</v>
      </c>
      <c r="GW200" s="1">
        <v>0</v>
      </c>
      <c r="GX200" s="1">
        <v>0</v>
      </c>
      <c r="GY200" s="1">
        <v>0</v>
      </c>
      <c r="GZ200" s="1">
        <v>0</v>
      </c>
      <c r="HA200" s="1">
        <v>0</v>
      </c>
      <c r="HB200" s="1">
        <v>0</v>
      </c>
      <c r="HC200" s="1">
        <v>0</v>
      </c>
      <c r="HD200" s="1">
        <v>0</v>
      </c>
      <c r="HE200" s="1">
        <v>431.32100000000003</v>
      </c>
      <c r="HF200" s="1">
        <v>531.57500000000005</v>
      </c>
      <c r="HG200" s="1">
        <v>768.99900000000002</v>
      </c>
      <c r="HH200" s="1">
        <v>1122.9760000000001</v>
      </c>
      <c r="HI200" s="1">
        <v>431.32100000000003</v>
      </c>
      <c r="HJ200" s="1">
        <v>531.57500000000005</v>
      </c>
      <c r="HK200" s="1">
        <v>768.99900000000002</v>
      </c>
      <c r="HL200" s="1">
        <v>1122.9760000000001</v>
      </c>
      <c r="HM200" s="1">
        <v>0</v>
      </c>
      <c r="HN200" s="1">
        <v>0</v>
      </c>
      <c r="HO200" s="1">
        <v>0</v>
      </c>
      <c r="HP200" s="1">
        <v>0</v>
      </c>
      <c r="HQ200" s="1">
        <v>0</v>
      </c>
      <c r="HR200" s="1">
        <v>0</v>
      </c>
      <c r="HS200" s="1">
        <v>0</v>
      </c>
      <c r="HT200" s="1">
        <v>0</v>
      </c>
      <c r="HU200" s="1">
        <v>0</v>
      </c>
      <c r="HV200" s="1">
        <v>0</v>
      </c>
      <c r="HW200" s="1">
        <v>0</v>
      </c>
      <c r="HX200" s="1">
        <v>0</v>
      </c>
      <c r="HY200" s="1">
        <v>0</v>
      </c>
      <c r="HZ200" s="1">
        <v>0</v>
      </c>
      <c r="IA200" s="1">
        <v>0</v>
      </c>
      <c r="IB200" s="1">
        <v>0</v>
      </c>
      <c r="IC200" s="1">
        <v>0</v>
      </c>
      <c r="ID200" s="1">
        <v>0</v>
      </c>
      <c r="IE200" s="1">
        <v>0</v>
      </c>
      <c r="IF200" s="1">
        <v>0</v>
      </c>
      <c r="IG200" s="1">
        <v>0</v>
      </c>
      <c r="IH200" s="1">
        <v>0</v>
      </c>
      <c r="II200" s="1">
        <v>0</v>
      </c>
      <c r="IJ200" s="1">
        <v>0</v>
      </c>
      <c r="IK200" s="1">
        <v>0</v>
      </c>
      <c r="IL200" s="1">
        <v>0</v>
      </c>
      <c r="IM200" s="1">
        <v>0</v>
      </c>
      <c r="IN200" s="1">
        <v>0</v>
      </c>
      <c r="IO200" s="1">
        <v>2029.32</v>
      </c>
      <c r="IP200" s="1">
        <v>2639.2109999999998</v>
      </c>
      <c r="IQ200" s="1">
        <v>2795.2559999999999</v>
      </c>
      <c r="IR200" s="1">
        <v>2356.2069999999999</v>
      </c>
      <c r="IS200" s="1">
        <v>2029.32</v>
      </c>
      <c r="IT200" s="1">
        <v>2639.2109999999998</v>
      </c>
      <c r="IU200" s="1">
        <v>2794.5010000000002</v>
      </c>
      <c r="IV200" s="1">
        <v>2344.5030000000002</v>
      </c>
      <c r="IW200" s="1">
        <v>0</v>
      </c>
      <c r="IX200" s="1">
        <v>0</v>
      </c>
      <c r="IY200" s="1">
        <v>0.755</v>
      </c>
      <c r="IZ200" s="1">
        <v>11.704000000000001</v>
      </c>
      <c r="JA200" s="1">
        <v>0</v>
      </c>
      <c r="JB200" s="1">
        <v>0</v>
      </c>
      <c r="JC200" s="1">
        <v>0</v>
      </c>
      <c r="JD200" s="1">
        <v>0</v>
      </c>
      <c r="JE200" s="1">
        <v>0</v>
      </c>
      <c r="JF200" s="1">
        <v>0</v>
      </c>
      <c r="JG200" s="1">
        <v>0</v>
      </c>
      <c r="JH200" s="1">
        <v>0</v>
      </c>
      <c r="JI200" s="1">
        <v>0</v>
      </c>
      <c r="JJ200" s="1">
        <v>0</v>
      </c>
      <c r="JK200" s="1">
        <v>0</v>
      </c>
      <c r="JL200" s="1">
        <v>0</v>
      </c>
      <c r="JM200" s="1">
        <v>0</v>
      </c>
      <c r="JN200" s="1">
        <v>0</v>
      </c>
      <c r="JO200" s="1">
        <v>0</v>
      </c>
      <c r="JP200" s="1">
        <v>0</v>
      </c>
      <c r="JQ200" s="9"/>
      <c r="JR200" s="1">
        <f t="shared" si="48"/>
        <v>55523.073239999998</v>
      </c>
      <c r="JS200" s="1">
        <f t="shared" si="48"/>
        <v>57525.213149999996</v>
      </c>
      <c r="JT200" s="1">
        <f t="shared" si="48"/>
        <v>54418.606650000009</v>
      </c>
      <c r="JU200" s="1">
        <f t="shared" si="48"/>
        <v>54305.728020000002</v>
      </c>
      <c r="JV200" s="1">
        <f t="shared" si="49"/>
        <v>10282.0506</v>
      </c>
      <c r="JW200" s="1">
        <f t="shared" si="49"/>
        <v>10652.81725</v>
      </c>
      <c r="JX200" s="1">
        <f t="shared" si="49"/>
        <v>10077.519750000001</v>
      </c>
      <c r="JY200" s="1">
        <f t="shared" si="49"/>
        <v>10056.616300000002</v>
      </c>
    </row>
    <row r="201" spans="1:285" x14ac:dyDescent="0.35">
      <c r="A201" s="2" t="s">
        <v>208</v>
      </c>
      <c r="B201" s="1">
        <v>112672</v>
      </c>
      <c r="C201" s="1">
        <v>114835</v>
      </c>
      <c r="D201" s="1">
        <v>116631</v>
      </c>
      <c r="E201" s="1">
        <v>119395</v>
      </c>
      <c r="F201" s="1">
        <v>106686.36</v>
      </c>
      <c r="G201" s="1">
        <v>104922.73</v>
      </c>
      <c r="H201" s="1">
        <v>102516.09</v>
      </c>
      <c r="I201" s="1">
        <v>107616.9</v>
      </c>
      <c r="J201" s="1">
        <f t="shared" si="50"/>
        <v>91387.699999999983</v>
      </c>
      <c r="K201" s="1">
        <f t="shared" si="51"/>
        <v>90110.700000000012</v>
      </c>
      <c r="L201" s="1">
        <f t="shared" si="52"/>
        <v>88284.99000000002</v>
      </c>
      <c r="M201" s="1">
        <f t="shared" si="53"/>
        <v>92439.400000000009</v>
      </c>
      <c r="N201" s="1">
        <f t="shared" si="54"/>
        <v>15298.660000000018</v>
      </c>
      <c r="O201" s="1">
        <f t="shared" si="55"/>
        <v>14812.029999999984</v>
      </c>
      <c r="P201" s="1">
        <f t="shared" si="56"/>
        <v>14231.099999999977</v>
      </c>
      <c r="Q201" s="1">
        <f t="shared" si="57"/>
        <v>15177.499999999985</v>
      </c>
      <c r="R201" s="1">
        <v>0</v>
      </c>
      <c r="S201" s="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1">
        <v>0</v>
      </c>
      <c r="AJ201" s="1">
        <v>0</v>
      </c>
      <c r="AK201" s="1">
        <v>0</v>
      </c>
      <c r="AL201" s="1">
        <v>0</v>
      </c>
      <c r="AM201" s="1">
        <v>0</v>
      </c>
      <c r="AN201" s="1">
        <v>0</v>
      </c>
      <c r="AO201" s="1">
        <v>0</v>
      </c>
      <c r="AP201" s="1">
        <v>8803.48</v>
      </c>
      <c r="AQ201" s="1">
        <v>8671.6999999999989</v>
      </c>
      <c r="AR201" s="1">
        <v>7131.21</v>
      </c>
      <c r="AS201" s="1">
        <v>8362.2799999999988</v>
      </c>
      <c r="AT201" s="1">
        <v>8630.5</v>
      </c>
      <c r="AU201" s="1">
        <v>172.97999999999956</v>
      </c>
      <c r="AV201" s="1">
        <v>0</v>
      </c>
      <c r="AW201" s="1">
        <v>0</v>
      </c>
      <c r="AX201" s="1">
        <v>8545.4599999999991</v>
      </c>
      <c r="AY201" s="1">
        <v>126.24000000000001</v>
      </c>
      <c r="AZ201" s="1">
        <v>0</v>
      </c>
      <c r="BA201" s="1">
        <v>0</v>
      </c>
      <c r="BB201" s="1">
        <v>7005.92</v>
      </c>
      <c r="BC201" s="1">
        <v>125.29</v>
      </c>
      <c r="BD201" s="1">
        <v>0</v>
      </c>
      <c r="BE201" s="1">
        <v>8232.0600000000013</v>
      </c>
      <c r="BF201" s="1">
        <v>130.21999999999753</v>
      </c>
      <c r="BG201" s="1">
        <v>0</v>
      </c>
      <c r="BH201" s="1">
        <v>0</v>
      </c>
      <c r="BI201" s="1">
        <v>0</v>
      </c>
      <c r="BJ201" s="1">
        <v>0</v>
      </c>
      <c r="BK201" s="1">
        <v>0</v>
      </c>
      <c r="BL201" s="1">
        <v>0</v>
      </c>
      <c r="BM201" s="1">
        <v>0</v>
      </c>
      <c r="BN201" s="1">
        <v>0</v>
      </c>
      <c r="BO201" s="1">
        <v>0</v>
      </c>
      <c r="BP201" s="1">
        <v>0</v>
      </c>
      <c r="BQ201" s="1">
        <v>0</v>
      </c>
      <c r="BR201" s="1">
        <v>0</v>
      </c>
      <c r="BS201" s="1">
        <v>0</v>
      </c>
      <c r="BT201" s="1">
        <v>0</v>
      </c>
      <c r="BU201" s="1">
        <v>27390.45</v>
      </c>
      <c r="BV201" s="1">
        <v>27030.87</v>
      </c>
      <c r="BW201" s="1">
        <v>26177.43</v>
      </c>
      <c r="BX201" s="1">
        <v>27854.97</v>
      </c>
      <c r="BY201" s="1">
        <v>27390.45</v>
      </c>
      <c r="BZ201" s="1">
        <v>27030.87</v>
      </c>
      <c r="CA201" s="1">
        <v>26177.43</v>
      </c>
      <c r="CB201" s="1">
        <v>27854.97</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27390.45</v>
      </c>
      <c r="CT201" s="1">
        <v>27030.87</v>
      </c>
      <c r="CU201" s="1">
        <v>26177.43</v>
      </c>
      <c r="CV201" s="1">
        <v>27854.97</v>
      </c>
      <c r="CW201" s="1">
        <v>27390.45</v>
      </c>
      <c r="CX201" s="1">
        <v>27030.87</v>
      </c>
      <c r="CY201" s="1">
        <v>26177.43</v>
      </c>
      <c r="CZ201" s="1">
        <v>27854.97</v>
      </c>
      <c r="DA201" s="1">
        <v>0</v>
      </c>
      <c r="DB201" s="1">
        <v>0</v>
      </c>
      <c r="DC201" s="1">
        <v>0</v>
      </c>
      <c r="DD201" s="1">
        <v>0</v>
      </c>
      <c r="DE201" s="1">
        <v>0</v>
      </c>
      <c r="DF201" s="1">
        <v>0</v>
      </c>
      <c r="DG201" s="1">
        <v>0</v>
      </c>
      <c r="DH201" s="1">
        <v>0</v>
      </c>
      <c r="DI201" s="1">
        <v>0</v>
      </c>
      <c r="DJ201" s="1">
        <v>0</v>
      </c>
      <c r="DK201" s="1">
        <v>0</v>
      </c>
      <c r="DL201" s="1">
        <v>0</v>
      </c>
      <c r="DM201" s="1">
        <v>9130.15</v>
      </c>
      <c r="DN201" s="1">
        <v>9010.2900000000009</v>
      </c>
      <c r="DO201" s="1">
        <v>8725.8100000000013</v>
      </c>
      <c r="DP201" s="1">
        <v>9356.35</v>
      </c>
      <c r="DQ201" s="1">
        <v>9130.15</v>
      </c>
      <c r="DR201" s="1">
        <v>9010.2900000000009</v>
      </c>
      <c r="DS201" s="1">
        <v>8725.8100000000013</v>
      </c>
      <c r="DT201" s="1">
        <v>9356.35</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18260.650000000001</v>
      </c>
      <c r="EL201" s="1">
        <v>18020.98</v>
      </c>
      <c r="EM201" s="1">
        <v>17452.22</v>
      </c>
      <c r="EN201" s="1">
        <v>18575.580000000002</v>
      </c>
      <c r="EO201" s="1">
        <v>18260.650000000001</v>
      </c>
      <c r="EP201" s="1">
        <v>18020.98</v>
      </c>
      <c r="EQ201" s="1">
        <v>17452.22</v>
      </c>
      <c r="ER201" s="1">
        <v>18575.580000000002</v>
      </c>
      <c r="ES201" s="1">
        <v>0</v>
      </c>
      <c r="ET201" s="1">
        <v>0</v>
      </c>
      <c r="EU201" s="1">
        <v>0</v>
      </c>
      <c r="EV201" s="1">
        <v>0</v>
      </c>
      <c r="EW201" s="1">
        <v>0</v>
      </c>
      <c r="EX201" s="1">
        <v>0</v>
      </c>
      <c r="EY201" s="1">
        <v>0</v>
      </c>
      <c r="EZ201" s="1">
        <v>0</v>
      </c>
      <c r="FA201" s="1">
        <v>0</v>
      </c>
      <c r="FB201" s="1">
        <v>0</v>
      </c>
      <c r="FC201" s="1">
        <v>0</v>
      </c>
      <c r="FD201" s="1">
        <v>0</v>
      </c>
      <c r="FE201" s="1">
        <v>4.9800000000000004</v>
      </c>
      <c r="FF201" s="1">
        <v>32.25</v>
      </c>
      <c r="FG201" s="1">
        <v>2396.8200000000002</v>
      </c>
      <c r="FH201" s="1">
        <v>35.58</v>
      </c>
      <c r="FI201" s="1">
        <v>0</v>
      </c>
      <c r="FJ201" s="1">
        <v>0</v>
      </c>
      <c r="FK201" s="1">
        <v>2354.21</v>
      </c>
      <c r="FL201" s="1">
        <v>0</v>
      </c>
      <c r="FM201" s="1">
        <v>4.9800000000000004</v>
      </c>
      <c r="FN201" s="1">
        <v>32.25</v>
      </c>
      <c r="FO201" s="1">
        <v>42.61</v>
      </c>
      <c r="FP201" s="1">
        <v>35.58</v>
      </c>
      <c r="FQ201" s="1">
        <v>0</v>
      </c>
      <c r="FR201" s="1">
        <v>0</v>
      </c>
      <c r="FS201" s="1">
        <v>0</v>
      </c>
      <c r="FT201" s="1">
        <v>0</v>
      </c>
      <c r="FU201" s="1">
        <v>0</v>
      </c>
      <c r="FV201" s="1">
        <v>0</v>
      </c>
      <c r="FW201" s="1">
        <v>0</v>
      </c>
      <c r="FX201" s="1">
        <v>0</v>
      </c>
      <c r="FY201" s="1">
        <v>0</v>
      </c>
      <c r="FZ201" s="1">
        <v>0</v>
      </c>
      <c r="GA201" s="1">
        <v>0</v>
      </c>
      <c r="GB201" s="1">
        <v>0</v>
      </c>
      <c r="GC201" s="1">
        <v>0</v>
      </c>
      <c r="GD201" s="1">
        <v>0</v>
      </c>
      <c r="GE201" s="1">
        <v>0</v>
      </c>
      <c r="GF201" s="1">
        <v>0</v>
      </c>
      <c r="GG201" s="1">
        <v>0</v>
      </c>
      <c r="GH201" s="1">
        <v>0</v>
      </c>
      <c r="GI201" s="1">
        <v>0</v>
      </c>
      <c r="GJ201" s="1">
        <v>0</v>
      </c>
      <c r="GK201" s="1">
        <v>0</v>
      </c>
      <c r="GL201" s="1">
        <v>0</v>
      </c>
      <c r="GM201" s="1">
        <v>0</v>
      </c>
      <c r="GN201" s="1">
        <v>0</v>
      </c>
      <c r="GO201" s="1">
        <v>0</v>
      </c>
      <c r="GP201" s="1">
        <v>0</v>
      </c>
      <c r="GQ201" s="1">
        <v>0</v>
      </c>
      <c r="GR201" s="1">
        <v>0</v>
      </c>
      <c r="GS201" s="1">
        <v>0</v>
      </c>
      <c r="GT201" s="1">
        <v>0</v>
      </c>
      <c r="GU201" s="1">
        <v>0</v>
      </c>
      <c r="GV201" s="1">
        <v>0</v>
      </c>
      <c r="GW201" s="1">
        <v>0</v>
      </c>
      <c r="GX201" s="1">
        <v>0</v>
      </c>
      <c r="GY201" s="1">
        <v>0</v>
      </c>
      <c r="GZ201" s="1">
        <v>0</v>
      </c>
      <c r="HA201" s="1">
        <v>0</v>
      </c>
      <c r="HB201" s="1">
        <v>0</v>
      </c>
      <c r="HC201" s="1">
        <v>0</v>
      </c>
      <c r="HD201" s="1">
        <v>0</v>
      </c>
      <c r="HE201" s="1">
        <v>0</v>
      </c>
      <c r="HF201" s="1">
        <v>0</v>
      </c>
      <c r="HG201" s="1">
        <v>0</v>
      </c>
      <c r="HH201" s="1">
        <v>0</v>
      </c>
      <c r="HI201" s="1">
        <v>0</v>
      </c>
      <c r="HJ201" s="1">
        <v>0</v>
      </c>
      <c r="HK201" s="1">
        <v>0</v>
      </c>
      <c r="HL201" s="1">
        <v>0</v>
      </c>
      <c r="HM201" s="1">
        <v>0</v>
      </c>
      <c r="HN201" s="1">
        <v>0</v>
      </c>
      <c r="HO201" s="1">
        <v>0</v>
      </c>
      <c r="HP201" s="1">
        <v>0</v>
      </c>
      <c r="HQ201" s="1">
        <v>0</v>
      </c>
      <c r="HR201" s="1">
        <v>0</v>
      </c>
      <c r="HS201" s="1">
        <v>0</v>
      </c>
      <c r="HT201" s="1">
        <v>0</v>
      </c>
      <c r="HU201" s="1">
        <v>0</v>
      </c>
      <c r="HV201" s="1">
        <v>0</v>
      </c>
      <c r="HW201" s="1">
        <v>0</v>
      </c>
      <c r="HX201" s="1">
        <v>0</v>
      </c>
      <c r="HY201" s="1">
        <v>0</v>
      </c>
      <c r="HZ201" s="1">
        <v>0</v>
      </c>
      <c r="IA201" s="1">
        <v>0</v>
      </c>
      <c r="IB201" s="1">
        <v>0</v>
      </c>
      <c r="IC201" s="1">
        <v>0</v>
      </c>
      <c r="ID201" s="1">
        <v>0</v>
      </c>
      <c r="IE201" s="1">
        <v>0</v>
      </c>
      <c r="IF201" s="1">
        <v>0</v>
      </c>
      <c r="IG201" s="1">
        <v>0</v>
      </c>
      <c r="IH201" s="1">
        <v>0</v>
      </c>
      <c r="II201" s="1">
        <v>0</v>
      </c>
      <c r="IJ201" s="1">
        <v>0</v>
      </c>
      <c r="IK201" s="1">
        <v>0</v>
      </c>
      <c r="IL201" s="1">
        <v>0</v>
      </c>
      <c r="IM201" s="1">
        <v>0</v>
      </c>
      <c r="IN201" s="1">
        <v>0</v>
      </c>
      <c r="IO201" s="1">
        <v>407.54</v>
      </c>
      <c r="IP201" s="1">
        <v>313.74</v>
      </c>
      <c r="IQ201" s="1">
        <v>224.07</v>
      </c>
      <c r="IR201" s="1">
        <v>399.67</v>
      </c>
      <c r="IS201" s="1">
        <v>407.54</v>
      </c>
      <c r="IT201" s="1">
        <v>313.74</v>
      </c>
      <c r="IU201" s="1">
        <v>224.07</v>
      </c>
      <c r="IV201" s="1">
        <v>399.67</v>
      </c>
      <c r="IW201" s="1">
        <v>0</v>
      </c>
      <c r="IX201" s="1">
        <v>0</v>
      </c>
      <c r="IY201" s="1">
        <v>0</v>
      </c>
      <c r="IZ201" s="1">
        <v>0</v>
      </c>
      <c r="JA201" s="1">
        <v>0</v>
      </c>
      <c r="JB201" s="1">
        <v>0</v>
      </c>
      <c r="JC201" s="1">
        <v>0</v>
      </c>
      <c r="JD201" s="1">
        <v>0</v>
      </c>
      <c r="JE201" s="1">
        <v>0</v>
      </c>
      <c r="JF201" s="1">
        <v>0</v>
      </c>
      <c r="JG201" s="1">
        <v>0</v>
      </c>
      <c r="JH201" s="1">
        <v>0</v>
      </c>
      <c r="JI201" s="1">
        <v>0</v>
      </c>
      <c r="JJ201" s="1">
        <v>0</v>
      </c>
      <c r="JK201" s="1">
        <v>0</v>
      </c>
      <c r="JL201" s="1">
        <v>0</v>
      </c>
      <c r="JM201" s="1">
        <v>0</v>
      </c>
      <c r="JN201" s="1">
        <v>0</v>
      </c>
      <c r="JO201" s="1">
        <v>0</v>
      </c>
      <c r="JP201" s="1">
        <v>0</v>
      </c>
      <c r="JQ201" s="9"/>
      <c r="JR201" s="1">
        <f t="shared" si="48"/>
        <v>4130.6382000000049</v>
      </c>
      <c r="JS201" s="1">
        <f t="shared" si="48"/>
        <v>3999.2480999999962</v>
      </c>
      <c r="JT201" s="1">
        <f t="shared" si="48"/>
        <v>3842.396999999994</v>
      </c>
      <c r="JU201" s="1">
        <f t="shared" si="48"/>
        <v>4097.9249999999965</v>
      </c>
      <c r="JV201" s="1">
        <f t="shared" si="49"/>
        <v>764.9330000000009</v>
      </c>
      <c r="JW201" s="1">
        <f t="shared" si="49"/>
        <v>740.60149999999931</v>
      </c>
      <c r="JX201" s="1">
        <f t="shared" si="49"/>
        <v>711.55499999999893</v>
      </c>
      <c r="JY201" s="1">
        <f t="shared" si="49"/>
        <v>758.87499999999932</v>
      </c>
    </row>
    <row r="202" spans="1:285" x14ac:dyDescent="0.35">
      <c r="A202" s="2" t="s">
        <v>209</v>
      </c>
      <c r="B202" s="1">
        <v>87200</v>
      </c>
      <c r="C202" s="1">
        <v>87830</v>
      </c>
      <c r="D202" s="1">
        <v>89113</v>
      </c>
      <c r="E202" s="1">
        <v>91101</v>
      </c>
      <c r="F202" s="1">
        <v>29189.206999999999</v>
      </c>
      <c r="G202" s="1">
        <v>31180.688999999998</v>
      </c>
      <c r="H202" s="1">
        <v>28228.572</v>
      </c>
      <c r="I202" s="1">
        <v>28665.202000000001</v>
      </c>
      <c r="J202" s="1">
        <f t="shared" si="50"/>
        <v>18608.167000000001</v>
      </c>
      <c r="K202" s="1">
        <f t="shared" si="51"/>
        <v>21254.569999999996</v>
      </c>
      <c r="L202" s="1">
        <f t="shared" si="52"/>
        <v>18954.623</v>
      </c>
      <c r="M202" s="1">
        <f t="shared" si="53"/>
        <v>18270.537999999997</v>
      </c>
      <c r="N202" s="1">
        <f t="shared" si="54"/>
        <v>10581.039999999997</v>
      </c>
      <c r="O202" s="1">
        <f t="shared" si="55"/>
        <v>9926.1190000000024</v>
      </c>
      <c r="P202" s="1">
        <f t="shared" si="56"/>
        <v>9273.9490000000005</v>
      </c>
      <c r="Q202" s="1">
        <f t="shared" si="57"/>
        <v>10394.664000000004</v>
      </c>
      <c r="R202" s="1">
        <v>2630.98</v>
      </c>
      <c r="S202" s="1">
        <v>2584.2399999999998</v>
      </c>
      <c r="T202" s="1">
        <v>2388.38</v>
      </c>
      <c r="U202" s="1">
        <v>2224.2000000000003</v>
      </c>
      <c r="V202" s="1">
        <v>0</v>
      </c>
      <c r="W202" s="1">
        <v>0</v>
      </c>
      <c r="X202" s="1">
        <v>2630.98</v>
      </c>
      <c r="Y202" s="1">
        <v>0</v>
      </c>
      <c r="Z202" s="1">
        <v>0</v>
      </c>
      <c r="AA202" s="1">
        <v>2584.2399999999998</v>
      </c>
      <c r="AB202" s="1">
        <v>0</v>
      </c>
      <c r="AC202" s="1">
        <v>0</v>
      </c>
      <c r="AD202" s="1">
        <v>2388.38</v>
      </c>
      <c r="AE202" s="1">
        <v>0</v>
      </c>
      <c r="AF202" s="1">
        <v>0</v>
      </c>
      <c r="AG202" s="1">
        <v>2224.2000000000003</v>
      </c>
      <c r="AH202" s="1">
        <v>0</v>
      </c>
      <c r="AI202" s="1">
        <v>0</v>
      </c>
      <c r="AJ202" s="1">
        <v>0</v>
      </c>
      <c r="AK202" s="1">
        <v>0</v>
      </c>
      <c r="AL202" s="1">
        <v>0</v>
      </c>
      <c r="AM202" s="1">
        <v>0</v>
      </c>
      <c r="AN202" s="1">
        <v>0</v>
      </c>
      <c r="AO202" s="1">
        <v>0</v>
      </c>
      <c r="AP202" s="1">
        <v>3558.12</v>
      </c>
      <c r="AQ202" s="1">
        <v>3782.42</v>
      </c>
      <c r="AR202" s="1">
        <v>3968.16</v>
      </c>
      <c r="AS202" s="1">
        <v>3991.9900000000007</v>
      </c>
      <c r="AT202" s="1">
        <v>3558.12</v>
      </c>
      <c r="AU202" s="1">
        <v>0</v>
      </c>
      <c r="AV202" s="1">
        <v>0</v>
      </c>
      <c r="AW202" s="1">
        <v>0</v>
      </c>
      <c r="AX202" s="1">
        <v>3782.42</v>
      </c>
      <c r="AY202" s="1">
        <v>0</v>
      </c>
      <c r="AZ202" s="1">
        <v>0</v>
      </c>
      <c r="BA202" s="1">
        <v>0</v>
      </c>
      <c r="BB202" s="1">
        <v>568.34</v>
      </c>
      <c r="BC202" s="1">
        <v>3399.8199999999997</v>
      </c>
      <c r="BD202" s="1">
        <v>0</v>
      </c>
      <c r="BE202" s="1">
        <v>0</v>
      </c>
      <c r="BF202" s="1">
        <v>3991.9900000000007</v>
      </c>
      <c r="BG202" s="1">
        <v>0</v>
      </c>
      <c r="BH202" s="1">
        <v>0</v>
      </c>
      <c r="BI202" s="1">
        <v>0</v>
      </c>
      <c r="BJ202" s="1">
        <v>0</v>
      </c>
      <c r="BK202" s="1">
        <v>0</v>
      </c>
      <c r="BL202" s="1">
        <v>0</v>
      </c>
      <c r="BM202" s="1">
        <v>0</v>
      </c>
      <c r="BN202" s="1">
        <v>0</v>
      </c>
      <c r="BO202" s="1">
        <v>0</v>
      </c>
      <c r="BP202" s="1">
        <v>0</v>
      </c>
      <c r="BQ202" s="1">
        <v>0</v>
      </c>
      <c r="BR202" s="1">
        <v>0</v>
      </c>
      <c r="BS202" s="1">
        <v>0</v>
      </c>
      <c r="BT202" s="1">
        <v>0</v>
      </c>
      <c r="BU202" s="1">
        <v>8325.98</v>
      </c>
      <c r="BV202" s="1">
        <v>9403.4399999999987</v>
      </c>
      <c r="BW202" s="1">
        <v>7288.02</v>
      </c>
      <c r="BX202" s="1">
        <v>6846.82</v>
      </c>
      <c r="BY202" s="1">
        <v>8325.98</v>
      </c>
      <c r="BZ202" s="1">
        <v>9403.4399999999987</v>
      </c>
      <c r="CA202" s="1">
        <v>7288.02</v>
      </c>
      <c r="CB202" s="1">
        <v>6846.82</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1505.4169999999999</v>
      </c>
      <c r="CT202" s="1">
        <v>2459.64</v>
      </c>
      <c r="CU202" s="1">
        <v>2522.02</v>
      </c>
      <c r="CV202" s="1">
        <v>2394.84</v>
      </c>
      <c r="CW202" s="1">
        <v>1505.4169999999999</v>
      </c>
      <c r="CX202" s="1">
        <v>2459.64</v>
      </c>
      <c r="CY202" s="1">
        <v>2522.02</v>
      </c>
      <c r="CZ202" s="1">
        <v>2394.84</v>
      </c>
      <c r="DA202" s="1">
        <v>0</v>
      </c>
      <c r="DB202" s="1">
        <v>0</v>
      </c>
      <c r="DC202" s="1">
        <v>0</v>
      </c>
      <c r="DD202" s="1">
        <v>0</v>
      </c>
      <c r="DE202" s="1">
        <v>0</v>
      </c>
      <c r="DF202" s="1">
        <v>0</v>
      </c>
      <c r="DG202" s="1">
        <v>0</v>
      </c>
      <c r="DH202" s="1">
        <v>0</v>
      </c>
      <c r="DI202" s="1">
        <v>0</v>
      </c>
      <c r="DJ202" s="1">
        <v>0</v>
      </c>
      <c r="DK202" s="1">
        <v>0</v>
      </c>
      <c r="DL202" s="1">
        <v>0</v>
      </c>
      <c r="DM202" s="1">
        <v>1819.73</v>
      </c>
      <c r="DN202" s="1">
        <v>1863.68</v>
      </c>
      <c r="DO202" s="1">
        <v>1880.05</v>
      </c>
      <c r="DP202" s="1">
        <v>1712.88</v>
      </c>
      <c r="DQ202" s="1">
        <v>1819.73</v>
      </c>
      <c r="DR202" s="1">
        <v>1863.68</v>
      </c>
      <c r="DS202" s="1">
        <v>1880.05</v>
      </c>
      <c r="DT202" s="1">
        <v>1712.88</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525.99</v>
      </c>
      <c r="EL202" s="1">
        <v>708.48</v>
      </c>
      <c r="EM202" s="1">
        <v>638.66300000000001</v>
      </c>
      <c r="EN202" s="1">
        <v>678.86799999999994</v>
      </c>
      <c r="EO202" s="1">
        <v>525.99</v>
      </c>
      <c r="EP202" s="1">
        <v>708.48</v>
      </c>
      <c r="EQ202" s="1">
        <v>638.66300000000001</v>
      </c>
      <c r="ER202" s="1">
        <v>678.86799999999994</v>
      </c>
      <c r="ES202" s="1">
        <v>0</v>
      </c>
      <c r="ET202" s="1">
        <v>0</v>
      </c>
      <c r="EU202" s="1">
        <v>0</v>
      </c>
      <c r="EV202" s="1">
        <v>0</v>
      </c>
      <c r="EW202" s="1">
        <v>0</v>
      </c>
      <c r="EX202" s="1">
        <v>0</v>
      </c>
      <c r="EY202" s="1">
        <v>0</v>
      </c>
      <c r="EZ202" s="1">
        <v>0</v>
      </c>
      <c r="FA202" s="1">
        <v>0</v>
      </c>
      <c r="FB202" s="1">
        <v>0</v>
      </c>
      <c r="FC202" s="1">
        <v>0</v>
      </c>
      <c r="FD202" s="1">
        <v>0</v>
      </c>
      <c r="FE202" s="1">
        <v>39.57</v>
      </c>
      <c r="FF202" s="1">
        <v>46.37</v>
      </c>
      <c r="FG202" s="1">
        <v>16.23</v>
      </c>
      <c r="FH202" s="1">
        <v>19.48</v>
      </c>
      <c r="FI202" s="1">
        <v>13.59</v>
      </c>
      <c r="FJ202" s="1">
        <v>13.66</v>
      </c>
      <c r="FK202" s="1">
        <v>6.11</v>
      </c>
      <c r="FL202" s="1">
        <v>3.96</v>
      </c>
      <c r="FM202" s="1">
        <v>25.98</v>
      </c>
      <c r="FN202" s="1">
        <v>32.71</v>
      </c>
      <c r="FO202" s="1">
        <v>10.119999999999999</v>
      </c>
      <c r="FP202" s="1">
        <v>15.52</v>
      </c>
      <c r="FQ202" s="1">
        <v>0</v>
      </c>
      <c r="FR202" s="1">
        <v>0</v>
      </c>
      <c r="FS202" s="1">
        <v>0</v>
      </c>
      <c r="FT202" s="1">
        <v>0</v>
      </c>
      <c r="FU202" s="1">
        <v>0</v>
      </c>
      <c r="FV202" s="1">
        <v>0</v>
      </c>
      <c r="FW202" s="1">
        <v>0</v>
      </c>
      <c r="FX202" s="1">
        <v>0</v>
      </c>
      <c r="FY202" s="1">
        <v>0</v>
      </c>
      <c r="FZ202" s="1">
        <v>0</v>
      </c>
      <c r="GA202" s="1">
        <v>0</v>
      </c>
      <c r="GB202" s="1">
        <v>0</v>
      </c>
      <c r="GC202" s="1">
        <v>26.88</v>
      </c>
      <c r="GD202" s="1">
        <v>26.3</v>
      </c>
      <c r="GE202" s="1">
        <v>17.100000000000001</v>
      </c>
      <c r="GF202" s="1">
        <v>13.46</v>
      </c>
      <c r="GG202" s="1">
        <v>26.88</v>
      </c>
      <c r="GH202" s="1">
        <v>26.3</v>
      </c>
      <c r="GI202" s="1">
        <v>17.100000000000001</v>
      </c>
      <c r="GJ202" s="1">
        <v>13.46</v>
      </c>
      <c r="GK202" s="1">
        <v>0</v>
      </c>
      <c r="GL202" s="1">
        <v>0</v>
      </c>
      <c r="GM202" s="1">
        <v>0</v>
      </c>
      <c r="GN202" s="1">
        <v>0</v>
      </c>
      <c r="GO202" s="1">
        <v>0</v>
      </c>
      <c r="GP202" s="1">
        <v>0</v>
      </c>
      <c r="GQ202" s="1">
        <v>0</v>
      </c>
      <c r="GR202" s="1">
        <v>0</v>
      </c>
      <c r="GS202" s="1">
        <v>0</v>
      </c>
      <c r="GT202" s="1">
        <v>0</v>
      </c>
      <c r="GU202" s="1">
        <v>0</v>
      </c>
      <c r="GV202" s="1">
        <v>0</v>
      </c>
      <c r="GW202" s="1">
        <v>0</v>
      </c>
      <c r="GX202" s="1">
        <v>0</v>
      </c>
      <c r="GY202" s="1">
        <v>0</v>
      </c>
      <c r="GZ202" s="1">
        <v>0</v>
      </c>
      <c r="HA202" s="1">
        <v>0</v>
      </c>
      <c r="HB202" s="1">
        <v>0</v>
      </c>
      <c r="HC202" s="1">
        <v>0</v>
      </c>
      <c r="HD202" s="1">
        <v>0</v>
      </c>
      <c r="HE202" s="1">
        <v>0</v>
      </c>
      <c r="HF202" s="1">
        <v>0</v>
      </c>
      <c r="HG202" s="1">
        <v>0</v>
      </c>
      <c r="HH202" s="1">
        <v>0</v>
      </c>
      <c r="HI202" s="1">
        <v>0</v>
      </c>
      <c r="HJ202" s="1">
        <v>0</v>
      </c>
      <c r="HK202" s="1">
        <v>0</v>
      </c>
      <c r="HL202" s="1">
        <v>0</v>
      </c>
      <c r="HM202" s="1">
        <v>0</v>
      </c>
      <c r="HN202" s="1">
        <v>0</v>
      </c>
      <c r="HO202" s="1">
        <v>0</v>
      </c>
      <c r="HP202" s="1">
        <v>0</v>
      </c>
      <c r="HQ202" s="1">
        <v>0</v>
      </c>
      <c r="HR202" s="1">
        <v>0</v>
      </c>
      <c r="HS202" s="1">
        <v>0</v>
      </c>
      <c r="HT202" s="1">
        <v>0</v>
      </c>
      <c r="HU202" s="1">
        <v>0</v>
      </c>
      <c r="HV202" s="1">
        <v>0</v>
      </c>
      <c r="HW202" s="1">
        <v>0</v>
      </c>
      <c r="HX202" s="1">
        <v>0</v>
      </c>
      <c r="HY202" s="1">
        <v>0</v>
      </c>
      <c r="HZ202" s="1">
        <v>0</v>
      </c>
      <c r="IA202" s="1">
        <v>0</v>
      </c>
      <c r="IB202" s="1">
        <v>0</v>
      </c>
      <c r="IC202" s="1">
        <v>0</v>
      </c>
      <c r="ID202" s="1">
        <v>0</v>
      </c>
      <c r="IE202" s="1">
        <v>0</v>
      </c>
      <c r="IF202" s="1">
        <v>0</v>
      </c>
      <c r="IG202" s="1">
        <v>0</v>
      </c>
      <c r="IH202" s="1">
        <v>0</v>
      </c>
      <c r="II202" s="1">
        <v>0</v>
      </c>
      <c r="IJ202" s="1">
        <v>0</v>
      </c>
      <c r="IK202" s="1">
        <v>0</v>
      </c>
      <c r="IL202" s="1">
        <v>0</v>
      </c>
      <c r="IM202" s="1">
        <v>0</v>
      </c>
      <c r="IN202" s="1">
        <v>0</v>
      </c>
      <c r="IO202" s="1">
        <v>175.5</v>
      </c>
      <c r="IP202" s="1">
        <v>380</v>
      </c>
      <c r="IQ202" s="1">
        <v>236</v>
      </c>
      <c r="IR202" s="1">
        <v>388</v>
      </c>
      <c r="IS202" s="1">
        <v>175.5</v>
      </c>
      <c r="IT202" s="1">
        <v>380</v>
      </c>
      <c r="IU202" s="1">
        <v>236</v>
      </c>
      <c r="IV202" s="1">
        <v>388</v>
      </c>
      <c r="IW202" s="1">
        <v>0</v>
      </c>
      <c r="IX202" s="1">
        <v>0</v>
      </c>
      <c r="IY202" s="1">
        <v>0</v>
      </c>
      <c r="IZ202" s="1">
        <v>0</v>
      </c>
      <c r="JA202" s="1">
        <v>0</v>
      </c>
      <c r="JB202" s="1">
        <v>0</v>
      </c>
      <c r="JC202" s="1">
        <v>0</v>
      </c>
      <c r="JD202" s="1">
        <v>0</v>
      </c>
      <c r="JE202" s="1">
        <v>0</v>
      </c>
      <c r="JF202" s="1">
        <v>0</v>
      </c>
      <c r="JG202" s="1">
        <v>0</v>
      </c>
      <c r="JH202" s="1">
        <v>0</v>
      </c>
      <c r="JI202" s="1">
        <v>0</v>
      </c>
      <c r="JJ202" s="1">
        <v>0</v>
      </c>
      <c r="JK202" s="1">
        <v>0</v>
      </c>
      <c r="JL202" s="1">
        <v>0</v>
      </c>
      <c r="JM202" s="1">
        <v>0</v>
      </c>
      <c r="JN202" s="1">
        <v>0</v>
      </c>
      <c r="JO202" s="1">
        <v>0</v>
      </c>
      <c r="JP202" s="1">
        <v>0</v>
      </c>
      <c r="JQ202" s="9"/>
      <c r="JR202" s="1">
        <f t="shared" si="48"/>
        <v>2856.8807999999995</v>
      </c>
      <c r="JS202" s="1">
        <f t="shared" si="48"/>
        <v>2680.0521300000009</v>
      </c>
      <c r="JT202" s="1">
        <f t="shared" si="48"/>
        <v>2503.9662300000005</v>
      </c>
      <c r="JU202" s="1">
        <f t="shared" si="48"/>
        <v>2806.5592800000013</v>
      </c>
      <c r="JV202" s="1">
        <f t="shared" si="49"/>
        <v>529.05199999999991</v>
      </c>
      <c r="JW202" s="1">
        <f t="shared" si="49"/>
        <v>496.30595000000017</v>
      </c>
      <c r="JX202" s="1">
        <f t="shared" si="49"/>
        <v>463.69745000000006</v>
      </c>
      <c r="JY202" s="1">
        <f t="shared" si="49"/>
        <v>519.73320000000024</v>
      </c>
    </row>
    <row r="203" spans="1:285" x14ac:dyDescent="0.35">
      <c r="A203" s="2" t="s">
        <v>210</v>
      </c>
      <c r="B203" s="1">
        <v>118030</v>
      </c>
      <c r="C203" s="1">
        <v>119418</v>
      </c>
      <c r="D203" s="1">
        <v>121920</v>
      </c>
      <c r="E203" s="1">
        <v>124356</v>
      </c>
      <c r="F203" s="1">
        <v>43131.707000000002</v>
      </c>
      <c r="G203" s="1">
        <v>43009.536999999997</v>
      </c>
      <c r="H203" s="1">
        <v>38287.269</v>
      </c>
      <c r="I203" s="1">
        <v>38701.692000000003</v>
      </c>
      <c r="J203" s="1">
        <f t="shared" si="50"/>
        <v>29970.632999999998</v>
      </c>
      <c r="K203" s="1">
        <f t="shared" si="51"/>
        <v>26567.441999999999</v>
      </c>
      <c r="L203" s="1">
        <f t="shared" si="52"/>
        <v>25638.418000000001</v>
      </c>
      <c r="M203" s="1">
        <f t="shared" si="53"/>
        <v>26144.116000000002</v>
      </c>
      <c r="N203" s="1">
        <f t="shared" si="54"/>
        <v>13161.074000000004</v>
      </c>
      <c r="O203" s="1">
        <f t="shared" si="55"/>
        <v>16442.094999999998</v>
      </c>
      <c r="P203" s="1">
        <f t="shared" si="56"/>
        <v>12648.850999999999</v>
      </c>
      <c r="Q203" s="1">
        <f t="shared" si="57"/>
        <v>12557.576000000001</v>
      </c>
      <c r="R203" s="1">
        <v>0</v>
      </c>
      <c r="S203" s="1">
        <v>0</v>
      </c>
      <c r="T203" s="1">
        <v>0</v>
      </c>
      <c r="U203" s="1">
        <v>0</v>
      </c>
      <c r="V203" s="1">
        <v>0</v>
      </c>
      <c r="W203" s="1">
        <v>0</v>
      </c>
      <c r="X203" s="1">
        <v>0</v>
      </c>
      <c r="Y203" s="1">
        <v>0</v>
      </c>
      <c r="Z203" s="1">
        <v>0</v>
      </c>
      <c r="AA203" s="1">
        <v>0</v>
      </c>
      <c r="AB203" s="1">
        <v>0</v>
      </c>
      <c r="AC203" s="1">
        <v>0</v>
      </c>
      <c r="AD203" s="1">
        <v>0</v>
      </c>
      <c r="AE203" s="1">
        <v>0</v>
      </c>
      <c r="AF203" s="1">
        <v>0</v>
      </c>
      <c r="AG203" s="1">
        <v>0</v>
      </c>
      <c r="AH203" s="1">
        <v>0</v>
      </c>
      <c r="AI203" s="1">
        <v>0</v>
      </c>
      <c r="AJ203" s="1">
        <v>0</v>
      </c>
      <c r="AK203" s="1">
        <v>0</v>
      </c>
      <c r="AL203" s="1">
        <v>0</v>
      </c>
      <c r="AM203" s="1">
        <v>0</v>
      </c>
      <c r="AN203" s="1">
        <v>0</v>
      </c>
      <c r="AO203" s="1">
        <v>0</v>
      </c>
      <c r="AP203" s="1">
        <v>12696.06</v>
      </c>
      <c r="AQ203" s="1">
        <v>9296.6669999999995</v>
      </c>
      <c r="AR203" s="1">
        <v>10517.560000000001</v>
      </c>
      <c r="AS203" s="1">
        <v>12165.12</v>
      </c>
      <c r="AT203" s="1">
        <v>0</v>
      </c>
      <c r="AU203" s="1">
        <v>12696.06</v>
      </c>
      <c r="AV203" s="1">
        <v>0</v>
      </c>
      <c r="AW203" s="1">
        <v>0</v>
      </c>
      <c r="AX203" s="1">
        <v>0</v>
      </c>
      <c r="AY203" s="1">
        <v>9296.6669999999995</v>
      </c>
      <c r="AZ203" s="1">
        <v>0</v>
      </c>
      <c r="BA203" s="1">
        <v>0</v>
      </c>
      <c r="BB203" s="1">
        <v>0</v>
      </c>
      <c r="BC203" s="1">
        <v>10517.560000000001</v>
      </c>
      <c r="BD203" s="1">
        <v>0</v>
      </c>
      <c r="BE203" s="1">
        <v>0</v>
      </c>
      <c r="BF203" s="1">
        <v>12165.12</v>
      </c>
      <c r="BG203" s="1">
        <v>0</v>
      </c>
      <c r="BH203" s="1">
        <v>0</v>
      </c>
      <c r="BI203" s="1">
        <v>0</v>
      </c>
      <c r="BJ203" s="1">
        <v>0</v>
      </c>
      <c r="BK203" s="1">
        <v>0</v>
      </c>
      <c r="BL203" s="1">
        <v>0</v>
      </c>
      <c r="BM203" s="1">
        <v>0</v>
      </c>
      <c r="BN203" s="1">
        <v>0</v>
      </c>
      <c r="BO203" s="1">
        <v>0</v>
      </c>
      <c r="BP203" s="1">
        <v>0</v>
      </c>
      <c r="BQ203" s="1">
        <v>0</v>
      </c>
      <c r="BR203" s="1">
        <v>0</v>
      </c>
      <c r="BS203" s="1">
        <v>0</v>
      </c>
      <c r="BT203" s="1">
        <v>0</v>
      </c>
      <c r="BU203" s="1">
        <v>5563.0379999999996</v>
      </c>
      <c r="BV203" s="1">
        <v>5557.1350000000002</v>
      </c>
      <c r="BW203" s="1">
        <v>5168.1260000000002</v>
      </c>
      <c r="BX203" s="1">
        <v>4708.5439999999999</v>
      </c>
      <c r="BY203" s="1">
        <v>5562.4480000000003</v>
      </c>
      <c r="BZ203" s="1">
        <v>5555.915</v>
      </c>
      <c r="CA203" s="1">
        <v>5168.1260000000002</v>
      </c>
      <c r="CB203" s="1">
        <v>4708.5439999999999</v>
      </c>
      <c r="CC203" s="1">
        <v>0.59</v>
      </c>
      <c r="CD203" s="1">
        <v>1.22</v>
      </c>
      <c r="CE203" s="1">
        <v>0</v>
      </c>
      <c r="CF203" s="1">
        <v>0</v>
      </c>
      <c r="CG203" s="1">
        <v>0</v>
      </c>
      <c r="CH203" s="1">
        <v>0</v>
      </c>
      <c r="CI203" s="1">
        <v>0</v>
      </c>
      <c r="CJ203" s="1">
        <v>0</v>
      </c>
      <c r="CK203" s="1">
        <v>0</v>
      </c>
      <c r="CL203" s="1">
        <v>0</v>
      </c>
      <c r="CM203" s="1">
        <v>0</v>
      </c>
      <c r="CN203" s="1">
        <v>0</v>
      </c>
      <c r="CO203" s="1">
        <v>0</v>
      </c>
      <c r="CP203" s="1">
        <v>0</v>
      </c>
      <c r="CQ203" s="1">
        <v>0</v>
      </c>
      <c r="CR203" s="1">
        <v>0</v>
      </c>
      <c r="CS203" s="1">
        <v>797.05200000000002</v>
      </c>
      <c r="CT203" s="1">
        <v>794.41499999999996</v>
      </c>
      <c r="CU203" s="1">
        <v>748.91200000000003</v>
      </c>
      <c r="CV203" s="1">
        <v>687.89300000000003</v>
      </c>
      <c r="CW203" s="1">
        <v>797.05200000000002</v>
      </c>
      <c r="CX203" s="1">
        <v>794.41499999999996</v>
      </c>
      <c r="CY203" s="1">
        <v>748.91200000000003</v>
      </c>
      <c r="CZ203" s="1">
        <v>687.89300000000003</v>
      </c>
      <c r="DA203" s="1">
        <v>0</v>
      </c>
      <c r="DB203" s="1">
        <v>0</v>
      </c>
      <c r="DC203" s="1">
        <v>0</v>
      </c>
      <c r="DD203" s="1">
        <v>0</v>
      </c>
      <c r="DE203" s="1">
        <v>0</v>
      </c>
      <c r="DF203" s="1">
        <v>0</v>
      </c>
      <c r="DG203" s="1">
        <v>0</v>
      </c>
      <c r="DH203" s="1">
        <v>0</v>
      </c>
      <c r="DI203" s="1">
        <v>0</v>
      </c>
      <c r="DJ203" s="1">
        <v>0</v>
      </c>
      <c r="DK203" s="1">
        <v>0</v>
      </c>
      <c r="DL203" s="1">
        <v>0</v>
      </c>
      <c r="DM203" s="1">
        <v>9856.44</v>
      </c>
      <c r="DN203" s="1">
        <v>9730.44</v>
      </c>
      <c r="DO203" s="1">
        <v>8400.39</v>
      </c>
      <c r="DP203" s="1">
        <v>7891.32</v>
      </c>
      <c r="DQ203" s="1">
        <v>9856.44</v>
      </c>
      <c r="DR203" s="1">
        <v>9730.44</v>
      </c>
      <c r="DS203" s="1">
        <v>8400.39</v>
      </c>
      <c r="DT203" s="1">
        <v>7891.32</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470.55700000000002</v>
      </c>
      <c r="EL203" s="1">
        <v>465.90100000000001</v>
      </c>
      <c r="EM203" s="1">
        <v>438.16399999999999</v>
      </c>
      <c r="EN203" s="1">
        <v>411.17700000000002</v>
      </c>
      <c r="EO203" s="1">
        <v>470.55700000000002</v>
      </c>
      <c r="EP203" s="1">
        <v>465.90100000000001</v>
      </c>
      <c r="EQ203" s="1">
        <v>438.16399999999999</v>
      </c>
      <c r="ER203" s="1">
        <v>411.17700000000002</v>
      </c>
      <c r="ES203" s="1">
        <v>0</v>
      </c>
      <c r="ET203" s="1">
        <v>0</v>
      </c>
      <c r="EU203" s="1">
        <v>0</v>
      </c>
      <c r="EV203" s="1">
        <v>0</v>
      </c>
      <c r="EW203" s="1">
        <v>0</v>
      </c>
      <c r="EX203" s="1">
        <v>0</v>
      </c>
      <c r="EY203" s="1">
        <v>0</v>
      </c>
      <c r="EZ203" s="1">
        <v>0</v>
      </c>
      <c r="FA203" s="1">
        <v>0</v>
      </c>
      <c r="FB203" s="1">
        <v>0</v>
      </c>
      <c r="FC203" s="1">
        <v>0</v>
      </c>
      <c r="FD203" s="1">
        <v>0</v>
      </c>
      <c r="FE203" s="1">
        <v>31.358000000000001</v>
      </c>
      <c r="FF203" s="1">
        <v>52.087999999999987</v>
      </c>
      <c r="FG203" s="1">
        <v>25.998999999999999</v>
      </c>
      <c r="FH203" s="1">
        <v>11.414</v>
      </c>
      <c r="FI203" s="1">
        <v>0</v>
      </c>
      <c r="FJ203" s="1">
        <v>0</v>
      </c>
      <c r="FK203" s="1">
        <v>0</v>
      </c>
      <c r="FL203" s="1">
        <v>0</v>
      </c>
      <c r="FM203" s="1">
        <v>31.358000000000001</v>
      </c>
      <c r="FN203" s="1">
        <v>52.087999999999987</v>
      </c>
      <c r="FO203" s="1">
        <v>25.998999999999999</v>
      </c>
      <c r="FP203" s="1">
        <v>11.414</v>
      </c>
      <c r="FQ203" s="1">
        <v>0</v>
      </c>
      <c r="FR203" s="1">
        <v>0</v>
      </c>
      <c r="FS203" s="1">
        <v>0</v>
      </c>
      <c r="FT203" s="1">
        <v>0</v>
      </c>
      <c r="FU203" s="1">
        <v>0</v>
      </c>
      <c r="FV203" s="1">
        <v>0</v>
      </c>
      <c r="FW203" s="1">
        <v>0</v>
      </c>
      <c r="FX203" s="1">
        <v>0</v>
      </c>
      <c r="FY203" s="1">
        <v>0</v>
      </c>
      <c r="FZ203" s="1">
        <v>0</v>
      </c>
      <c r="GA203" s="1">
        <v>0</v>
      </c>
      <c r="GB203" s="1">
        <v>0</v>
      </c>
      <c r="GC203" s="1">
        <v>48.899999999999991</v>
      </c>
      <c r="GD203" s="1">
        <v>40.67</v>
      </c>
      <c r="GE203" s="1">
        <v>40.32</v>
      </c>
      <c r="GF203" s="1">
        <v>25.84</v>
      </c>
      <c r="GG203" s="1">
        <v>48.899999999999991</v>
      </c>
      <c r="GH203" s="1">
        <v>40.67</v>
      </c>
      <c r="GI203" s="1">
        <v>40.32</v>
      </c>
      <c r="GJ203" s="1">
        <v>25.84</v>
      </c>
      <c r="GK203" s="1">
        <v>0</v>
      </c>
      <c r="GL203" s="1">
        <v>0</v>
      </c>
      <c r="GM203" s="1">
        <v>0</v>
      </c>
      <c r="GN203" s="1">
        <v>0</v>
      </c>
      <c r="GO203" s="1">
        <v>0</v>
      </c>
      <c r="GP203" s="1">
        <v>0</v>
      </c>
      <c r="GQ203" s="1">
        <v>0</v>
      </c>
      <c r="GR203" s="1">
        <v>0</v>
      </c>
      <c r="GS203" s="1">
        <v>0</v>
      </c>
      <c r="GT203" s="1">
        <v>0</v>
      </c>
      <c r="GU203" s="1">
        <v>0</v>
      </c>
      <c r="GV203" s="1">
        <v>0</v>
      </c>
      <c r="GW203" s="1">
        <v>0</v>
      </c>
      <c r="GX203" s="1">
        <v>0</v>
      </c>
      <c r="GY203" s="1">
        <v>0</v>
      </c>
      <c r="GZ203" s="1">
        <v>0</v>
      </c>
      <c r="HA203" s="1">
        <v>0</v>
      </c>
      <c r="HB203" s="1">
        <v>0</v>
      </c>
      <c r="HC203" s="1">
        <v>0</v>
      </c>
      <c r="HD203" s="1">
        <v>0</v>
      </c>
      <c r="HE203" s="1">
        <v>0</v>
      </c>
      <c r="HF203" s="1">
        <v>0</v>
      </c>
      <c r="HG203" s="1">
        <v>0</v>
      </c>
      <c r="HH203" s="1">
        <v>0</v>
      </c>
      <c r="HI203" s="1">
        <v>0</v>
      </c>
      <c r="HJ203" s="1">
        <v>0</v>
      </c>
      <c r="HK203" s="1">
        <v>0</v>
      </c>
      <c r="HL203" s="1">
        <v>0</v>
      </c>
      <c r="HM203" s="1">
        <v>0</v>
      </c>
      <c r="HN203" s="1">
        <v>0</v>
      </c>
      <c r="HO203" s="1">
        <v>0</v>
      </c>
      <c r="HP203" s="1">
        <v>0</v>
      </c>
      <c r="HQ203" s="1">
        <v>0</v>
      </c>
      <c r="HR203" s="1">
        <v>0</v>
      </c>
      <c r="HS203" s="1">
        <v>0</v>
      </c>
      <c r="HT203" s="1">
        <v>0</v>
      </c>
      <c r="HU203" s="1">
        <v>0</v>
      </c>
      <c r="HV203" s="1">
        <v>0</v>
      </c>
      <c r="HW203" s="1">
        <v>0</v>
      </c>
      <c r="HX203" s="1">
        <v>0</v>
      </c>
      <c r="HY203" s="1">
        <v>0</v>
      </c>
      <c r="HZ203" s="1">
        <v>0</v>
      </c>
      <c r="IA203" s="1">
        <v>0</v>
      </c>
      <c r="IB203" s="1">
        <v>0</v>
      </c>
      <c r="IC203" s="1">
        <v>0</v>
      </c>
      <c r="ID203" s="1">
        <v>0</v>
      </c>
      <c r="IE203" s="1">
        <v>0</v>
      </c>
      <c r="IF203" s="1">
        <v>0</v>
      </c>
      <c r="IG203" s="1">
        <v>0</v>
      </c>
      <c r="IH203" s="1">
        <v>0</v>
      </c>
      <c r="II203" s="1">
        <v>0</v>
      </c>
      <c r="IJ203" s="1">
        <v>0</v>
      </c>
      <c r="IK203" s="1">
        <v>0</v>
      </c>
      <c r="IL203" s="1">
        <v>0</v>
      </c>
      <c r="IM203" s="1">
        <v>0</v>
      </c>
      <c r="IN203" s="1">
        <v>0</v>
      </c>
      <c r="IO203" s="1">
        <v>507.22800000000001</v>
      </c>
      <c r="IP203" s="1">
        <v>630.12600000000009</v>
      </c>
      <c r="IQ203" s="1">
        <v>298.947</v>
      </c>
      <c r="IR203" s="1">
        <v>242.80799999999999</v>
      </c>
      <c r="IS203" s="1">
        <v>507.22800000000001</v>
      </c>
      <c r="IT203" s="1">
        <v>630.12600000000009</v>
      </c>
      <c r="IU203" s="1">
        <v>298.947</v>
      </c>
      <c r="IV203" s="1">
        <v>242.80799999999999</v>
      </c>
      <c r="IW203" s="1">
        <v>0</v>
      </c>
      <c r="IX203" s="1">
        <v>0</v>
      </c>
      <c r="IY203" s="1">
        <v>0</v>
      </c>
      <c r="IZ203" s="1">
        <v>0</v>
      </c>
      <c r="JA203" s="1">
        <v>0</v>
      </c>
      <c r="JB203" s="1">
        <v>0</v>
      </c>
      <c r="JC203" s="1">
        <v>0</v>
      </c>
      <c r="JD203" s="1">
        <v>0</v>
      </c>
      <c r="JE203" s="1">
        <v>0</v>
      </c>
      <c r="JF203" s="1">
        <v>0</v>
      </c>
      <c r="JG203" s="1">
        <v>0</v>
      </c>
      <c r="JH203" s="1">
        <v>0</v>
      </c>
      <c r="JI203" s="1">
        <v>0</v>
      </c>
      <c r="JJ203" s="1">
        <v>0</v>
      </c>
      <c r="JK203" s="1">
        <v>0</v>
      </c>
      <c r="JL203" s="1">
        <v>0</v>
      </c>
      <c r="JM203" s="1">
        <v>0</v>
      </c>
      <c r="JN203" s="1">
        <v>0</v>
      </c>
      <c r="JO203" s="1">
        <v>0</v>
      </c>
      <c r="JP203" s="1">
        <v>0</v>
      </c>
      <c r="JQ203" s="9"/>
      <c r="JR203" s="1">
        <f t="shared" si="48"/>
        <v>3553.4899800000012</v>
      </c>
      <c r="JS203" s="1">
        <f t="shared" si="48"/>
        <v>4439.3656499999997</v>
      </c>
      <c r="JT203" s="1">
        <f t="shared" si="48"/>
        <v>3415.18977</v>
      </c>
      <c r="JU203" s="1">
        <f t="shared" si="48"/>
        <v>3390.5455200000006</v>
      </c>
      <c r="JV203" s="1">
        <f t="shared" si="49"/>
        <v>658.05370000000028</v>
      </c>
      <c r="JW203" s="1">
        <f t="shared" si="49"/>
        <v>822.10474999999997</v>
      </c>
      <c r="JX203" s="1">
        <f t="shared" si="49"/>
        <v>632.44254999999998</v>
      </c>
      <c r="JY203" s="1">
        <f t="shared" si="49"/>
        <v>627.87880000000007</v>
      </c>
    </row>
    <row r="204" spans="1:285" x14ac:dyDescent="0.35">
      <c r="A204" s="2" t="s">
        <v>211</v>
      </c>
      <c r="B204" s="1">
        <v>100140</v>
      </c>
      <c r="C204" s="1">
        <v>100096</v>
      </c>
      <c r="D204" s="1">
        <v>101109</v>
      </c>
      <c r="E204" s="1">
        <v>103379</v>
      </c>
      <c r="F204" s="1">
        <v>24082.86</v>
      </c>
      <c r="G204" s="1">
        <v>28182.400000000001</v>
      </c>
      <c r="H204" s="1">
        <v>28033.29</v>
      </c>
      <c r="I204" s="1">
        <v>29698.79</v>
      </c>
      <c r="J204" s="1">
        <f t="shared" si="50"/>
        <v>15306.220000000001</v>
      </c>
      <c r="K204" s="1">
        <f t="shared" si="51"/>
        <v>18387.349999999999</v>
      </c>
      <c r="L204" s="1">
        <f t="shared" si="52"/>
        <v>17399.570000000003</v>
      </c>
      <c r="M204" s="1">
        <f t="shared" si="53"/>
        <v>20148.22</v>
      </c>
      <c r="N204" s="1">
        <f t="shared" si="54"/>
        <v>8776.64</v>
      </c>
      <c r="O204" s="1">
        <f t="shared" si="55"/>
        <v>9795.0500000000029</v>
      </c>
      <c r="P204" s="1">
        <f t="shared" si="56"/>
        <v>10633.719999999998</v>
      </c>
      <c r="Q204" s="1">
        <f t="shared" si="57"/>
        <v>9550.57</v>
      </c>
      <c r="R204" s="1">
        <v>0</v>
      </c>
      <c r="S204" s="1">
        <v>0</v>
      </c>
      <c r="T204" s="1">
        <v>2125.31</v>
      </c>
      <c r="U204" s="1">
        <v>2903.66</v>
      </c>
      <c r="V204" s="1">
        <v>0</v>
      </c>
      <c r="W204" s="1">
        <v>0</v>
      </c>
      <c r="X204" s="1">
        <v>0</v>
      </c>
      <c r="Y204" s="1">
        <v>0</v>
      </c>
      <c r="Z204" s="1">
        <v>0</v>
      </c>
      <c r="AA204" s="1">
        <v>0</v>
      </c>
      <c r="AB204" s="1">
        <v>0</v>
      </c>
      <c r="AC204" s="1">
        <v>0</v>
      </c>
      <c r="AD204" s="1">
        <v>2125.31</v>
      </c>
      <c r="AE204" s="1">
        <v>0</v>
      </c>
      <c r="AF204" s="1">
        <v>0</v>
      </c>
      <c r="AG204" s="1">
        <v>2903.66</v>
      </c>
      <c r="AH204" s="1">
        <v>0</v>
      </c>
      <c r="AI204" s="1">
        <v>0</v>
      </c>
      <c r="AJ204" s="1">
        <v>0</v>
      </c>
      <c r="AK204" s="1">
        <v>0</v>
      </c>
      <c r="AL204" s="1">
        <v>0</v>
      </c>
      <c r="AM204" s="1">
        <v>0</v>
      </c>
      <c r="AN204" s="1">
        <v>0</v>
      </c>
      <c r="AO204" s="1">
        <v>0</v>
      </c>
      <c r="AP204" s="1">
        <v>3388.01</v>
      </c>
      <c r="AQ204" s="1">
        <v>3807.1000000000004</v>
      </c>
      <c r="AR204" s="1">
        <v>3351.49</v>
      </c>
      <c r="AS204" s="1">
        <v>3619.38</v>
      </c>
      <c r="AT204" s="1">
        <v>0</v>
      </c>
      <c r="AU204" s="1">
        <v>3388.01</v>
      </c>
      <c r="AV204" s="1">
        <v>0</v>
      </c>
      <c r="AW204" s="1">
        <v>0</v>
      </c>
      <c r="AX204" s="1">
        <v>0</v>
      </c>
      <c r="AY204" s="1">
        <v>3807.1000000000004</v>
      </c>
      <c r="AZ204" s="1">
        <v>0</v>
      </c>
      <c r="BA204" s="1">
        <v>0</v>
      </c>
      <c r="BB204" s="1">
        <v>0</v>
      </c>
      <c r="BC204" s="1">
        <v>3351.49</v>
      </c>
      <c r="BD204" s="1">
        <v>0</v>
      </c>
      <c r="BE204" s="1">
        <v>0</v>
      </c>
      <c r="BF204" s="1">
        <v>3619.38</v>
      </c>
      <c r="BG204" s="1">
        <v>0</v>
      </c>
      <c r="BH204" s="1">
        <v>0</v>
      </c>
      <c r="BI204" s="1">
        <v>0</v>
      </c>
      <c r="BJ204" s="1">
        <v>0</v>
      </c>
      <c r="BK204" s="1">
        <v>0</v>
      </c>
      <c r="BL204" s="1">
        <v>0</v>
      </c>
      <c r="BM204" s="1">
        <v>0</v>
      </c>
      <c r="BN204" s="1">
        <v>0</v>
      </c>
      <c r="BO204" s="1">
        <v>0</v>
      </c>
      <c r="BP204" s="1">
        <v>0</v>
      </c>
      <c r="BQ204" s="1">
        <v>0</v>
      </c>
      <c r="BR204" s="1">
        <v>0</v>
      </c>
      <c r="BS204" s="1">
        <v>0</v>
      </c>
      <c r="BT204" s="1">
        <v>0</v>
      </c>
      <c r="BU204" s="1">
        <v>4901.8999999999996</v>
      </c>
      <c r="BV204" s="1">
        <v>7709.5</v>
      </c>
      <c r="BW204" s="1">
        <v>5709.88</v>
      </c>
      <c r="BX204" s="1">
        <v>6185.8</v>
      </c>
      <c r="BY204" s="1">
        <v>4897.99</v>
      </c>
      <c r="BZ204" s="1">
        <v>7709.5</v>
      </c>
      <c r="CA204" s="1">
        <v>5709.88</v>
      </c>
      <c r="CB204" s="1">
        <v>6185.8</v>
      </c>
      <c r="CC204" s="1">
        <v>3.91</v>
      </c>
      <c r="CD204" s="1">
        <v>0</v>
      </c>
      <c r="CE204" s="1">
        <v>0</v>
      </c>
      <c r="CF204" s="1">
        <v>0</v>
      </c>
      <c r="CG204" s="1">
        <v>0</v>
      </c>
      <c r="CH204" s="1">
        <v>0</v>
      </c>
      <c r="CI204" s="1">
        <v>0</v>
      </c>
      <c r="CJ204" s="1">
        <v>0</v>
      </c>
      <c r="CK204" s="1">
        <v>0</v>
      </c>
      <c r="CL204" s="1">
        <v>0</v>
      </c>
      <c r="CM204" s="1">
        <v>0</v>
      </c>
      <c r="CN204" s="1">
        <v>0</v>
      </c>
      <c r="CO204" s="1">
        <v>0</v>
      </c>
      <c r="CP204" s="1">
        <v>0</v>
      </c>
      <c r="CQ204" s="1">
        <v>0</v>
      </c>
      <c r="CR204" s="1">
        <v>0</v>
      </c>
      <c r="CS204" s="1">
        <v>855.32999999999993</v>
      </c>
      <c r="CT204" s="1">
        <v>918.73</v>
      </c>
      <c r="CU204" s="1">
        <v>874.42</v>
      </c>
      <c r="CV204" s="1">
        <v>858.44</v>
      </c>
      <c r="CW204" s="1">
        <v>850.3</v>
      </c>
      <c r="CX204" s="1">
        <v>917.53</v>
      </c>
      <c r="CY204" s="1">
        <v>812.12</v>
      </c>
      <c r="CZ204" s="1">
        <v>768.88</v>
      </c>
      <c r="DA204" s="1">
        <v>0</v>
      </c>
      <c r="DB204" s="1">
        <v>0</v>
      </c>
      <c r="DC204" s="1">
        <v>0</v>
      </c>
      <c r="DD204" s="1">
        <v>0</v>
      </c>
      <c r="DE204" s="1">
        <v>0</v>
      </c>
      <c r="DF204" s="1">
        <v>0</v>
      </c>
      <c r="DG204" s="1">
        <v>0</v>
      </c>
      <c r="DH204" s="1">
        <v>0</v>
      </c>
      <c r="DI204" s="1">
        <v>5.03</v>
      </c>
      <c r="DJ204" s="1">
        <v>1.2</v>
      </c>
      <c r="DK204" s="1">
        <v>62.3</v>
      </c>
      <c r="DL204" s="1">
        <v>89.56</v>
      </c>
      <c r="DM204" s="1">
        <v>4620.92</v>
      </c>
      <c r="DN204" s="1">
        <v>4579.84</v>
      </c>
      <c r="DO204" s="1">
        <v>4505.5</v>
      </c>
      <c r="DP204" s="1">
        <v>4259.66</v>
      </c>
      <c r="DQ204" s="1">
        <v>4620.92</v>
      </c>
      <c r="DR204" s="1">
        <v>4579.84</v>
      </c>
      <c r="DS204" s="1">
        <v>4505.5</v>
      </c>
      <c r="DT204" s="1">
        <v>4259.66</v>
      </c>
      <c r="DU204" s="1">
        <v>0</v>
      </c>
      <c r="DV204" s="1">
        <v>0</v>
      </c>
      <c r="DW204" s="1">
        <v>0</v>
      </c>
      <c r="DX204" s="1">
        <v>0</v>
      </c>
      <c r="DY204" s="1">
        <v>0</v>
      </c>
      <c r="DZ204" s="1">
        <v>0</v>
      </c>
      <c r="EA204" s="1">
        <v>0</v>
      </c>
      <c r="EB204" s="1">
        <v>0</v>
      </c>
      <c r="EC204" s="1">
        <v>0</v>
      </c>
      <c r="ED204" s="1">
        <v>0</v>
      </c>
      <c r="EE204" s="1">
        <v>0</v>
      </c>
      <c r="EF204" s="1">
        <v>0</v>
      </c>
      <c r="EG204" s="1">
        <v>0</v>
      </c>
      <c r="EH204" s="1">
        <v>0</v>
      </c>
      <c r="EI204" s="1">
        <v>0</v>
      </c>
      <c r="EJ204" s="1">
        <v>0</v>
      </c>
      <c r="EK204" s="1">
        <v>795.45</v>
      </c>
      <c r="EL204" s="1">
        <v>710.63</v>
      </c>
      <c r="EM204" s="1">
        <v>398.31</v>
      </c>
      <c r="EN204" s="1">
        <v>1179.6600000000001</v>
      </c>
      <c r="EO204" s="1">
        <v>795.45</v>
      </c>
      <c r="EP204" s="1">
        <v>710.63</v>
      </c>
      <c r="EQ204" s="1">
        <v>398.31</v>
      </c>
      <c r="ER204" s="1">
        <v>1179.6600000000001</v>
      </c>
      <c r="ES204" s="1">
        <v>0</v>
      </c>
      <c r="ET204" s="1">
        <v>0</v>
      </c>
      <c r="EU204" s="1">
        <v>0</v>
      </c>
      <c r="EV204" s="1">
        <v>0</v>
      </c>
      <c r="EW204" s="1">
        <v>0</v>
      </c>
      <c r="EX204" s="1">
        <v>0</v>
      </c>
      <c r="EY204" s="1">
        <v>0</v>
      </c>
      <c r="EZ204" s="1">
        <v>0</v>
      </c>
      <c r="FA204" s="1">
        <v>0</v>
      </c>
      <c r="FB204" s="1">
        <v>0</v>
      </c>
      <c r="FC204" s="1">
        <v>0</v>
      </c>
      <c r="FD204" s="1">
        <v>0</v>
      </c>
      <c r="FE204" s="1">
        <v>235.1</v>
      </c>
      <c r="FF204" s="1">
        <v>235.87</v>
      </c>
      <c r="FG204" s="1">
        <v>218.15</v>
      </c>
      <c r="FH204" s="1">
        <v>229.07</v>
      </c>
      <c r="FI204" s="1">
        <v>48.6</v>
      </c>
      <c r="FJ204" s="1">
        <v>41.74</v>
      </c>
      <c r="FK204" s="1">
        <v>38.57</v>
      </c>
      <c r="FL204" s="1">
        <v>43.36</v>
      </c>
      <c r="FM204" s="1">
        <v>186.5</v>
      </c>
      <c r="FN204" s="1">
        <v>194.13</v>
      </c>
      <c r="FO204" s="1">
        <v>179.58</v>
      </c>
      <c r="FP204" s="1">
        <v>185.71</v>
      </c>
      <c r="FQ204" s="1">
        <v>0</v>
      </c>
      <c r="FR204" s="1">
        <v>0</v>
      </c>
      <c r="FS204" s="1">
        <v>0</v>
      </c>
      <c r="FT204" s="1">
        <v>0</v>
      </c>
      <c r="FU204" s="1">
        <v>0</v>
      </c>
      <c r="FV204" s="1">
        <v>0</v>
      </c>
      <c r="FW204" s="1">
        <v>0</v>
      </c>
      <c r="FX204" s="1">
        <v>0</v>
      </c>
      <c r="FY204" s="1">
        <v>0</v>
      </c>
      <c r="FZ204" s="1">
        <v>0</v>
      </c>
      <c r="GA204" s="1">
        <v>0</v>
      </c>
      <c r="GB204" s="1">
        <v>0</v>
      </c>
      <c r="GC204" s="1">
        <v>13.56</v>
      </c>
      <c r="GD204" s="1">
        <v>16.8</v>
      </c>
      <c r="GE204" s="1">
        <v>21.93</v>
      </c>
      <c r="GF204" s="1">
        <v>22.23</v>
      </c>
      <c r="GG204" s="1">
        <v>13.56</v>
      </c>
      <c r="GH204" s="1">
        <v>16.8</v>
      </c>
      <c r="GI204" s="1">
        <v>21.93</v>
      </c>
      <c r="GJ204" s="1">
        <v>22.23</v>
      </c>
      <c r="GK204" s="1">
        <v>0</v>
      </c>
      <c r="GL204" s="1">
        <v>0</v>
      </c>
      <c r="GM204" s="1">
        <v>0</v>
      </c>
      <c r="GN204" s="1">
        <v>0</v>
      </c>
      <c r="GO204" s="1">
        <v>0</v>
      </c>
      <c r="GP204" s="1">
        <v>0</v>
      </c>
      <c r="GQ204" s="1">
        <v>0</v>
      </c>
      <c r="GR204" s="1">
        <v>0</v>
      </c>
      <c r="GS204" s="1">
        <v>0</v>
      </c>
      <c r="GT204" s="1">
        <v>0</v>
      </c>
      <c r="GU204" s="1">
        <v>0</v>
      </c>
      <c r="GV204" s="1">
        <v>0</v>
      </c>
      <c r="GW204" s="1">
        <v>0</v>
      </c>
      <c r="GX204" s="1">
        <v>0</v>
      </c>
      <c r="GY204" s="1">
        <v>0</v>
      </c>
      <c r="GZ204" s="1">
        <v>0</v>
      </c>
      <c r="HA204" s="1">
        <v>0</v>
      </c>
      <c r="HB204" s="1">
        <v>0</v>
      </c>
      <c r="HC204" s="1">
        <v>0</v>
      </c>
      <c r="HD204" s="1">
        <v>0</v>
      </c>
      <c r="HE204" s="1">
        <v>0</v>
      </c>
      <c r="HF204" s="1">
        <v>0</v>
      </c>
      <c r="HG204" s="1">
        <v>0</v>
      </c>
      <c r="HH204" s="1">
        <v>0</v>
      </c>
      <c r="HI204" s="1">
        <v>0</v>
      </c>
      <c r="HJ204" s="1">
        <v>0</v>
      </c>
      <c r="HK204" s="1">
        <v>0</v>
      </c>
      <c r="HL204" s="1">
        <v>0</v>
      </c>
      <c r="HM204" s="1">
        <v>0</v>
      </c>
      <c r="HN204" s="1">
        <v>0</v>
      </c>
      <c r="HO204" s="1">
        <v>0</v>
      </c>
      <c r="HP204" s="1">
        <v>0</v>
      </c>
      <c r="HQ204" s="1">
        <v>0</v>
      </c>
      <c r="HR204" s="1">
        <v>0</v>
      </c>
      <c r="HS204" s="1">
        <v>0</v>
      </c>
      <c r="HT204" s="1">
        <v>0</v>
      </c>
      <c r="HU204" s="1">
        <v>0</v>
      </c>
      <c r="HV204" s="1">
        <v>0</v>
      </c>
      <c r="HW204" s="1">
        <v>0</v>
      </c>
      <c r="HX204" s="1">
        <v>0</v>
      </c>
      <c r="HY204" s="1">
        <v>0</v>
      </c>
      <c r="HZ204" s="1">
        <v>0</v>
      </c>
      <c r="IA204" s="1">
        <v>0</v>
      </c>
      <c r="IB204" s="1">
        <v>0</v>
      </c>
      <c r="IC204" s="1">
        <v>0</v>
      </c>
      <c r="ID204" s="1">
        <v>0</v>
      </c>
      <c r="IE204" s="1">
        <v>0</v>
      </c>
      <c r="IF204" s="1">
        <v>0</v>
      </c>
      <c r="IG204" s="1">
        <v>0</v>
      </c>
      <c r="IH204" s="1">
        <v>0</v>
      </c>
      <c r="II204" s="1">
        <v>0</v>
      </c>
      <c r="IJ204" s="1">
        <v>0</v>
      </c>
      <c r="IK204" s="1">
        <v>0</v>
      </c>
      <c r="IL204" s="1">
        <v>0</v>
      </c>
      <c r="IM204" s="1">
        <v>0</v>
      </c>
      <c r="IN204" s="1">
        <v>0</v>
      </c>
      <c r="IO204" s="1">
        <v>495.95</v>
      </c>
      <c r="IP204" s="1">
        <v>408.88</v>
      </c>
      <c r="IQ204" s="1">
        <v>194.58</v>
      </c>
      <c r="IR204" s="1">
        <v>890.32</v>
      </c>
      <c r="IS204" s="1">
        <v>495.95</v>
      </c>
      <c r="IT204" s="1">
        <v>408.88</v>
      </c>
      <c r="IU204" s="1">
        <v>194.58</v>
      </c>
      <c r="IV204" s="1">
        <v>890.32</v>
      </c>
      <c r="IW204" s="1">
        <v>0</v>
      </c>
      <c r="IX204" s="1">
        <v>0</v>
      </c>
      <c r="IY204" s="1">
        <v>0</v>
      </c>
      <c r="IZ204" s="1">
        <v>0</v>
      </c>
      <c r="JA204" s="1">
        <v>0</v>
      </c>
      <c r="JB204" s="1">
        <v>0</v>
      </c>
      <c r="JC204" s="1">
        <v>0</v>
      </c>
      <c r="JD204" s="1">
        <v>0</v>
      </c>
      <c r="JE204" s="1">
        <v>0</v>
      </c>
      <c r="JF204" s="1">
        <v>0</v>
      </c>
      <c r="JG204" s="1">
        <v>0</v>
      </c>
      <c r="JH204" s="1">
        <v>0</v>
      </c>
      <c r="JI204" s="1">
        <v>0</v>
      </c>
      <c r="JJ204" s="1">
        <v>0</v>
      </c>
      <c r="JK204" s="1">
        <v>0</v>
      </c>
      <c r="JL204" s="1">
        <v>0</v>
      </c>
      <c r="JM204" s="1">
        <v>0</v>
      </c>
      <c r="JN204" s="1">
        <v>0</v>
      </c>
      <c r="JO204" s="1">
        <v>0</v>
      </c>
      <c r="JP204" s="1">
        <v>0</v>
      </c>
      <c r="JQ204" s="9"/>
      <c r="JR204" s="1">
        <f t="shared" si="48"/>
        <v>2369.6927999999998</v>
      </c>
      <c r="JS204" s="1">
        <f t="shared" si="48"/>
        <v>2644.663500000001</v>
      </c>
      <c r="JT204" s="1">
        <f t="shared" si="48"/>
        <v>2871.1043999999997</v>
      </c>
      <c r="JU204" s="1">
        <f t="shared" si="48"/>
        <v>2578.6539000000002</v>
      </c>
      <c r="JV204" s="1">
        <f t="shared" si="49"/>
        <v>438.83199999999999</v>
      </c>
      <c r="JW204" s="1">
        <f t="shared" si="49"/>
        <v>489.75250000000017</v>
      </c>
      <c r="JX204" s="1">
        <f t="shared" si="49"/>
        <v>531.68599999999992</v>
      </c>
      <c r="JY204" s="1">
        <f t="shared" si="49"/>
        <v>477.52850000000001</v>
      </c>
    </row>
    <row r="205" spans="1:285" s="8" customFormat="1" x14ac:dyDescent="0.35">
      <c r="A205" s="6" t="s">
        <v>212</v>
      </c>
      <c r="B205" s="7">
        <v>40633</v>
      </c>
      <c r="C205" s="7">
        <v>41342</v>
      </c>
      <c r="D205" s="7">
        <v>41165</v>
      </c>
      <c r="E205" s="7">
        <v>40807</v>
      </c>
      <c r="F205" s="7">
        <v>38416.32</v>
      </c>
      <c r="G205" s="7">
        <v>38509.17</v>
      </c>
      <c r="H205" s="7">
        <v>37753.89</v>
      </c>
      <c r="I205" s="7">
        <v>36791.06</v>
      </c>
      <c r="J205" s="1">
        <f t="shared" si="50"/>
        <v>13872.79</v>
      </c>
      <c r="K205" s="1">
        <f t="shared" si="51"/>
        <v>13686.260000000002</v>
      </c>
      <c r="L205" s="1">
        <f t="shared" si="52"/>
        <v>13206.52</v>
      </c>
      <c r="M205" s="1">
        <f t="shared" si="53"/>
        <v>13743.98</v>
      </c>
      <c r="N205" s="7">
        <f t="shared" si="54"/>
        <v>24543.53</v>
      </c>
      <c r="O205" s="7">
        <f t="shared" si="55"/>
        <v>24822.909999999996</v>
      </c>
      <c r="P205" s="7">
        <f t="shared" si="56"/>
        <v>24547.37</v>
      </c>
      <c r="Q205" s="7">
        <f t="shared" si="57"/>
        <v>23047.079999999998</v>
      </c>
      <c r="R205" s="7">
        <v>0</v>
      </c>
      <c r="S205" s="7">
        <v>0</v>
      </c>
      <c r="T205" s="7">
        <v>0</v>
      </c>
      <c r="U205" s="7">
        <v>0</v>
      </c>
      <c r="V205" s="7">
        <v>0</v>
      </c>
      <c r="W205" s="7">
        <v>0</v>
      </c>
      <c r="X205" s="7">
        <v>0</v>
      </c>
      <c r="Y205" s="7">
        <v>0</v>
      </c>
      <c r="Z205" s="7">
        <v>0</v>
      </c>
      <c r="AA205" s="7">
        <v>0</v>
      </c>
      <c r="AB205" s="7">
        <v>0</v>
      </c>
      <c r="AC205" s="7">
        <v>0</v>
      </c>
      <c r="AD205" s="7">
        <v>0</v>
      </c>
      <c r="AE205" s="7">
        <v>0</v>
      </c>
      <c r="AF205" s="7">
        <v>0</v>
      </c>
      <c r="AG205" s="7">
        <v>0</v>
      </c>
      <c r="AH205" s="7">
        <v>0</v>
      </c>
      <c r="AI205" s="7">
        <v>0</v>
      </c>
      <c r="AJ205" s="7">
        <v>0</v>
      </c>
      <c r="AK205" s="7">
        <v>0</v>
      </c>
      <c r="AL205" s="7">
        <v>0</v>
      </c>
      <c r="AM205" s="7">
        <v>0</v>
      </c>
      <c r="AN205" s="7">
        <v>0</v>
      </c>
      <c r="AO205" s="7">
        <v>0</v>
      </c>
      <c r="AP205" s="7">
        <v>5098.3099999999995</v>
      </c>
      <c r="AQ205" s="7">
        <v>4902</v>
      </c>
      <c r="AR205" s="7">
        <v>4385.4400000000005</v>
      </c>
      <c r="AS205" s="7">
        <v>5130.6799999999994</v>
      </c>
      <c r="AT205" s="7">
        <v>0</v>
      </c>
      <c r="AU205" s="7">
        <v>5098.3099999999995</v>
      </c>
      <c r="AV205" s="7">
        <v>0</v>
      </c>
      <c r="AW205" s="7">
        <v>0</v>
      </c>
      <c r="AX205" s="7">
        <v>0</v>
      </c>
      <c r="AY205" s="7">
        <v>4902</v>
      </c>
      <c r="AZ205" s="7">
        <v>0</v>
      </c>
      <c r="BA205" s="7">
        <v>0</v>
      </c>
      <c r="BB205" s="7">
        <v>0</v>
      </c>
      <c r="BC205" s="7">
        <v>4385.4400000000005</v>
      </c>
      <c r="BD205" s="7">
        <v>0</v>
      </c>
      <c r="BE205" s="7">
        <v>0</v>
      </c>
      <c r="BF205" s="7">
        <v>5130.6799999999994</v>
      </c>
      <c r="BG205" s="7">
        <v>0</v>
      </c>
      <c r="BH205" s="7">
        <v>0</v>
      </c>
      <c r="BI205" s="7">
        <v>0</v>
      </c>
      <c r="BJ205" s="7">
        <v>0</v>
      </c>
      <c r="BK205" s="7">
        <v>0</v>
      </c>
      <c r="BL205" s="7">
        <v>0</v>
      </c>
      <c r="BM205" s="7">
        <v>0</v>
      </c>
      <c r="BN205" s="7">
        <v>0</v>
      </c>
      <c r="BO205" s="7">
        <v>0</v>
      </c>
      <c r="BP205" s="7">
        <v>0</v>
      </c>
      <c r="BQ205" s="7">
        <v>0</v>
      </c>
      <c r="BR205" s="7">
        <v>0</v>
      </c>
      <c r="BS205" s="7">
        <v>0</v>
      </c>
      <c r="BT205" s="7">
        <v>0</v>
      </c>
      <c r="BU205" s="7">
        <v>3613.61</v>
      </c>
      <c r="BV205" s="7">
        <v>3516.76</v>
      </c>
      <c r="BW205" s="7">
        <v>3320.16</v>
      </c>
      <c r="BX205" s="7">
        <v>3411.72</v>
      </c>
      <c r="BY205" s="7">
        <v>3613.61</v>
      </c>
      <c r="BZ205" s="7">
        <v>3516.76</v>
      </c>
      <c r="CA205" s="7">
        <v>3320.16</v>
      </c>
      <c r="CB205" s="7">
        <v>3411.72</v>
      </c>
      <c r="CC205" s="7">
        <v>0</v>
      </c>
      <c r="CD205" s="7">
        <v>1.7</v>
      </c>
      <c r="CE205" s="7">
        <v>7.85</v>
      </c>
      <c r="CF205" s="7">
        <v>13.4</v>
      </c>
      <c r="CG205" s="7">
        <v>0</v>
      </c>
      <c r="CH205" s="7">
        <v>0</v>
      </c>
      <c r="CI205" s="7">
        <v>0</v>
      </c>
      <c r="CJ205" s="7">
        <v>0</v>
      </c>
      <c r="CK205" s="7">
        <v>0</v>
      </c>
      <c r="CL205" s="7">
        <v>0</v>
      </c>
      <c r="CM205" s="7">
        <v>0</v>
      </c>
      <c r="CN205" s="7">
        <v>0</v>
      </c>
      <c r="CO205" s="7">
        <v>0</v>
      </c>
      <c r="CP205" s="7">
        <v>0</v>
      </c>
      <c r="CQ205" s="7">
        <v>0</v>
      </c>
      <c r="CR205" s="7">
        <v>0</v>
      </c>
      <c r="CS205" s="7">
        <v>1068.9100000000001</v>
      </c>
      <c r="CT205" s="7">
        <v>886.83999999999992</v>
      </c>
      <c r="CU205" s="7">
        <v>938.7</v>
      </c>
      <c r="CV205" s="7">
        <v>1005.11</v>
      </c>
      <c r="CW205" s="7">
        <v>1068.9100000000001</v>
      </c>
      <c r="CX205" s="7">
        <v>880.43999999999994</v>
      </c>
      <c r="CY205" s="7">
        <v>938.7</v>
      </c>
      <c r="CZ205" s="7">
        <v>982.74</v>
      </c>
      <c r="DA205" s="7">
        <v>0</v>
      </c>
      <c r="DB205" s="7">
        <v>6.4</v>
      </c>
      <c r="DC205" s="7">
        <v>0</v>
      </c>
      <c r="DD205" s="7">
        <v>0</v>
      </c>
      <c r="DE205" s="7">
        <v>0</v>
      </c>
      <c r="DF205" s="7">
        <v>0</v>
      </c>
      <c r="DG205" s="7">
        <v>0</v>
      </c>
      <c r="DH205" s="7">
        <v>22.37</v>
      </c>
      <c r="DI205" s="7">
        <v>0</v>
      </c>
      <c r="DJ205" s="7">
        <v>0</v>
      </c>
      <c r="DK205" s="7">
        <v>0</v>
      </c>
      <c r="DL205" s="7">
        <v>0</v>
      </c>
      <c r="DM205" s="7">
        <v>1686.76</v>
      </c>
      <c r="DN205" s="7">
        <v>1698.18</v>
      </c>
      <c r="DO205" s="7">
        <v>1647.98</v>
      </c>
      <c r="DP205" s="7">
        <v>1344.26</v>
      </c>
      <c r="DQ205" s="7">
        <v>1686.76</v>
      </c>
      <c r="DR205" s="7">
        <v>1698.18</v>
      </c>
      <c r="DS205" s="7">
        <v>1647.98</v>
      </c>
      <c r="DT205" s="7">
        <v>1344.26</v>
      </c>
      <c r="DU205" s="7">
        <v>0</v>
      </c>
      <c r="DV205" s="7">
        <v>0</v>
      </c>
      <c r="DW205" s="7">
        <v>0</v>
      </c>
      <c r="DX205" s="7">
        <v>0</v>
      </c>
      <c r="DY205" s="7">
        <v>0</v>
      </c>
      <c r="DZ205" s="7">
        <v>0</v>
      </c>
      <c r="EA205" s="7">
        <v>0</v>
      </c>
      <c r="EB205" s="7">
        <v>0</v>
      </c>
      <c r="EC205" s="7">
        <v>0</v>
      </c>
      <c r="ED205" s="7">
        <v>0</v>
      </c>
      <c r="EE205" s="7">
        <v>0</v>
      </c>
      <c r="EF205" s="7">
        <v>0</v>
      </c>
      <c r="EG205" s="7">
        <v>0</v>
      </c>
      <c r="EH205" s="7">
        <v>0</v>
      </c>
      <c r="EI205" s="7">
        <v>0</v>
      </c>
      <c r="EJ205" s="7">
        <v>0</v>
      </c>
      <c r="EK205" s="7">
        <v>423.59</v>
      </c>
      <c r="EL205" s="7">
        <v>538.01</v>
      </c>
      <c r="EM205" s="7">
        <v>660.58</v>
      </c>
      <c r="EN205" s="7">
        <v>567.38</v>
      </c>
      <c r="EO205" s="7">
        <v>420.92</v>
      </c>
      <c r="EP205" s="7">
        <v>535.58999999999992</v>
      </c>
      <c r="EQ205" s="7">
        <v>655.6</v>
      </c>
      <c r="ER205" s="7">
        <v>567.1</v>
      </c>
      <c r="ES205" s="7">
        <v>2.67</v>
      </c>
      <c r="ET205" s="7">
        <v>2.42</v>
      </c>
      <c r="EU205" s="7">
        <v>4.9800000000000004</v>
      </c>
      <c r="EV205" s="7">
        <v>0.28000000000000003</v>
      </c>
      <c r="EW205" s="7">
        <v>0</v>
      </c>
      <c r="EX205" s="7">
        <v>0</v>
      </c>
      <c r="EY205" s="7">
        <v>0</v>
      </c>
      <c r="EZ205" s="7">
        <v>0</v>
      </c>
      <c r="FA205" s="7">
        <v>0</v>
      </c>
      <c r="FB205" s="7">
        <v>0</v>
      </c>
      <c r="FC205" s="7">
        <v>0</v>
      </c>
      <c r="FD205" s="7">
        <v>0</v>
      </c>
      <c r="FE205" s="7">
        <v>60.239999999999988</v>
      </c>
      <c r="FF205" s="7">
        <v>97.74</v>
      </c>
      <c r="FG205" s="7">
        <v>83.73</v>
      </c>
      <c r="FH205" s="7">
        <v>149.16999999999999</v>
      </c>
      <c r="FI205" s="7">
        <v>0</v>
      </c>
      <c r="FJ205" s="7">
        <v>0</v>
      </c>
      <c r="FK205" s="7">
        <v>0</v>
      </c>
      <c r="FL205" s="7">
        <v>55.12</v>
      </c>
      <c r="FM205" s="7">
        <v>60.239999999999988</v>
      </c>
      <c r="FN205" s="7">
        <v>74.28</v>
      </c>
      <c r="FO205" s="7">
        <v>83.73</v>
      </c>
      <c r="FP205" s="7">
        <v>72.910000000000011</v>
      </c>
      <c r="FQ205" s="7">
        <v>0</v>
      </c>
      <c r="FR205" s="7">
        <v>0</v>
      </c>
      <c r="FS205" s="7">
        <v>0</v>
      </c>
      <c r="FT205" s="7">
        <v>0</v>
      </c>
      <c r="FU205" s="7">
        <v>0</v>
      </c>
      <c r="FV205" s="7">
        <v>23.46</v>
      </c>
      <c r="FW205" s="7">
        <v>0</v>
      </c>
      <c r="FX205" s="7">
        <v>21.14</v>
      </c>
      <c r="FY205" s="7">
        <v>0</v>
      </c>
      <c r="FZ205" s="7">
        <v>0</v>
      </c>
      <c r="GA205" s="7">
        <v>0</v>
      </c>
      <c r="GB205" s="7">
        <v>0</v>
      </c>
      <c r="GC205" s="7">
        <v>721.86</v>
      </c>
      <c r="GD205" s="7">
        <v>788.2</v>
      </c>
      <c r="GE205" s="7">
        <v>864.15</v>
      </c>
      <c r="GF205" s="7">
        <v>970.32</v>
      </c>
      <c r="GG205" s="7">
        <v>721.86</v>
      </c>
      <c r="GH205" s="7">
        <v>788.2</v>
      </c>
      <c r="GI205" s="7">
        <v>864.15</v>
      </c>
      <c r="GJ205" s="7">
        <v>970.32</v>
      </c>
      <c r="GK205" s="7">
        <v>0</v>
      </c>
      <c r="GL205" s="7">
        <v>0</v>
      </c>
      <c r="GM205" s="7">
        <v>0</v>
      </c>
      <c r="GN205" s="7">
        <v>0</v>
      </c>
      <c r="GO205" s="7">
        <v>0</v>
      </c>
      <c r="GP205" s="7">
        <v>0</v>
      </c>
      <c r="GQ205" s="7">
        <v>0</v>
      </c>
      <c r="GR205" s="7">
        <v>0</v>
      </c>
      <c r="GS205" s="7">
        <v>0</v>
      </c>
      <c r="GT205" s="7">
        <v>0</v>
      </c>
      <c r="GU205" s="7">
        <v>0</v>
      </c>
      <c r="GV205" s="7">
        <v>0</v>
      </c>
      <c r="GW205" s="7">
        <v>0</v>
      </c>
      <c r="GX205" s="7">
        <v>0</v>
      </c>
      <c r="GY205" s="7">
        <v>0</v>
      </c>
      <c r="GZ205" s="7">
        <v>0</v>
      </c>
      <c r="HA205" s="7">
        <v>0</v>
      </c>
      <c r="HB205" s="7">
        <v>0</v>
      </c>
      <c r="HC205" s="7">
        <v>0</v>
      </c>
      <c r="HD205" s="7">
        <v>0</v>
      </c>
      <c r="HE205" s="7">
        <v>559.6</v>
      </c>
      <c r="HF205" s="7">
        <v>653.20000000000005</v>
      </c>
      <c r="HG205" s="7">
        <v>722.33999999999992</v>
      </c>
      <c r="HH205" s="7">
        <v>763.09999999999991</v>
      </c>
      <c r="HI205" s="7">
        <v>559.6</v>
      </c>
      <c r="HJ205" s="7">
        <v>653.20000000000005</v>
      </c>
      <c r="HK205" s="7">
        <v>722.33999999999992</v>
      </c>
      <c r="HL205" s="7">
        <v>763.09999999999991</v>
      </c>
      <c r="HM205" s="1">
        <v>0</v>
      </c>
      <c r="HN205" s="1">
        <v>0</v>
      </c>
      <c r="HO205" s="1">
        <v>0</v>
      </c>
      <c r="HP205" s="1">
        <v>0</v>
      </c>
      <c r="HQ205" s="1">
        <v>0</v>
      </c>
      <c r="HR205" s="1">
        <v>0</v>
      </c>
      <c r="HS205" s="1">
        <v>0</v>
      </c>
      <c r="HT205" s="1">
        <v>0</v>
      </c>
      <c r="HU205" s="1">
        <v>0</v>
      </c>
      <c r="HV205" s="1">
        <v>0</v>
      </c>
      <c r="HW205" s="1">
        <v>0</v>
      </c>
      <c r="HX205" s="1">
        <v>0</v>
      </c>
      <c r="HY205" s="1">
        <v>0</v>
      </c>
      <c r="HZ205" s="1">
        <v>0</v>
      </c>
      <c r="IA205" s="1">
        <v>0</v>
      </c>
      <c r="IB205" s="1">
        <v>0</v>
      </c>
      <c r="IC205" s="1">
        <v>0</v>
      </c>
      <c r="ID205" s="1">
        <v>0</v>
      </c>
      <c r="IE205" s="1">
        <v>0</v>
      </c>
      <c r="IF205" s="1">
        <v>0</v>
      </c>
      <c r="IG205" s="1">
        <v>0</v>
      </c>
      <c r="IH205" s="1">
        <v>0</v>
      </c>
      <c r="II205" s="1">
        <v>0</v>
      </c>
      <c r="IJ205" s="1">
        <v>0</v>
      </c>
      <c r="IK205" s="1">
        <v>0</v>
      </c>
      <c r="IL205" s="1">
        <v>0</v>
      </c>
      <c r="IM205" s="1">
        <v>0</v>
      </c>
      <c r="IN205" s="1">
        <v>0</v>
      </c>
      <c r="IO205" s="1">
        <v>639.91000000000008</v>
      </c>
      <c r="IP205" s="1">
        <v>605.32999999999993</v>
      </c>
      <c r="IQ205" s="1">
        <v>583.44000000000005</v>
      </c>
      <c r="IR205" s="1">
        <v>402.24</v>
      </c>
      <c r="IS205" s="1">
        <v>639.91000000000008</v>
      </c>
      <c r="IT205" s="1">
        <v>605.32999999999993</v>
      </c>
      <c r="IU205" s="1">
        <v>583.44000000000005</v>
      </c>
      <c r="IV205" s="1">
        <v>402.24</v>
      </c>
      <c r="IW205" s="7">
        <v>0</v>
      </c>
      <c r="IX205" s="7">
        <v>0</v>
      </c>
      <c r="IY205" s="7">
        <v>0</v>
      </c>
      <c r="IZ205" s="7">
        <v>0</v>
      </c>
      <c r="JA205" s="1">
        <v>0</v>
      </c>
      <c r="JB205" s="1">
        <v>0</v>
      </c>
      <c r="JC205" s="1">
        <v>0</v>
      </c>
      <c r="JD205" s="1">
        <v>0</v>
      </c>
      <c r="JE205" s="1">
        <v>0</v>
      </c>
      <c r="JF205" s="1">
        <v>0</v>
      </c>
      <c r="JG205" s="1">
        <v>0</v>
      </c>
      <c r="JH205" s="1">
        <v>0</v>
      </c>
      <c r="JI205" s="1">
        <v>0</v>
      </c>
      <c r="JJ205" s="1">
        <v>0</v>
      </c>
      <c r="JK205" s="1">
        <v>0</v>
      </c>
      <c r="JL205" s="1">
        <v>0</v>
      </c>
      <c r="JM205" s="1">
        <v>0</v>
      </c>
      <c r="JN205" s="1">
        <v>0</v>
      </c>
      <c r="JO205" s="1">
        <v>0</v>
      </c>
      <c r="JP205" s="1">
        <v>0</v>
      </c>
      <c r="JQ205" s="9"/>
      <c r="JR205" s="7">
        <f t="shared" si="48"/>
        <v>6626.7530999999999</v>
      </c>
      <c r="JS205" s="7">
        <f t="shared" si="48"/>
        <v>6702.1856999999991</v>
      </c>
      <c r="JT205" s="7">
        <f t="shared" si="48"/>
        <v>6627.7898999999998</v>
      </c>
      <c r="JU205" s="7">
        <f t="shared" si="48"/>
        <v>6222.7115999999996</v>
      </c>
      <c r="JV205" s="7">
        <f t="shared" si="49"/>
        <v>1227.1765</v>
      </c>
      <c r="JW205" s="7">
        <f t="shared" si="49"/>
        <v>1241.1454999999999</v>
      </c>
      <c r="JX205" s="7">
        <f t="shared" si="49"/>
        <v>1227.3685</v>
      </c>
      <c r="JY205" s="7">
        <f t="shared" si="49"/>
        <v>1152.354</v>
      </c>
    </row>
    <row r="206" spans="1:285" x14ac:dyDescent="0.35">
      <c r="A206" s="2" t="s">
        <v>213</v>
      </c>
      <c r="B206" s="1">
        <v>266090</v>
      </c>
      <c r="C206" s="1">
        <v>270866</v>
      </c>
      <c r="D206" s="1">
        <v>280044</v>
      </c>
      <c r="E206" s="1">
        <v>287178</v>
      </c>
      <c r="F206" s="1">
        <v>73105.959999999992</v>
      </c>
      <c r="G206" s="1">
        <v>57311.789999999994</v>
      </c>
      <c r="H206" s="1">
        <v>54806.52</v>
      </c>
      <c r="I206" s="1">
        <v>54127.47</v>
      </c>
      <c r="J206" s="1">
        <f t="shared" si="50"/>
        <v>57849.850000000006</v>
      </c>
      <c r="K206" s="1">
        <f t="shared" si="51"/>
        <v>41155.759999999995</v>
      </c>
      <c r="L206" s="1">
        <f t="shared" si="52"/>
        <v>36648.479999999996</v>
      </c>
      <c r="M206" s="1">
        <f t="shared" si="53"/>
        <v>36759.089999999997</v>
      </c>
      <c r="N206" s="1">
        <f t="shared" si="54"/>
        <v>15256.109999999986</v>
      </c>
      <c r="O206" s="1">
        <f t="shared" si="55"/>
        <v>16156.029999999999</v>
      </c>
      <c r="P206" s="1">
        <f t="shared" si="56"/>
        <v>18158.04</v>
      </c>
      <c r="Q206" s="1">
        <f t="shared" si="57"/>
        <v>17368.380000000005</v>
      </c>
      <c r="R206" s="1">
        <v>0</v>
      </c>
      <c r="S206" s="1">
        <v>0</v>
      </c>
      <c r="T206" s="1">
        <v>0</v>
      </c>
      <c r="U206" s="1">
        <v>0</v>
      </c>
      <c r="V206" s="1">
        <v>0</v>
      </c>
      <c r="W206" s="1">
        <v>0</v>
      </c>
      <c r="X206" s="1">
        <v>0</v>
      </c>
      <c r="Y206" s="1">
        <v>0</v>
      </c>
      <c r="Z206" s="1">
        <v>0</v>
      </c>
      <c r="AA206" s="1">
        <v>0</v>
      </c>
      <c r="AB206" s="1">
        <v>0</v>
      </c>
      <c r="AC206" s="1">
        <v>0</v>
      </c>
      <c r="AD206" s="1">
        <v>0</v>
      </c>
      <c r="AE206" s="1">
        <v>0</v>
      </c>
      <c r="AF206" s="1">
        <v>0</v>
      </c>
      <c r="AG206" s="1">
        <v>0</v>
      </c>
      <c r="AH206" s="1">
        <v>0</v>
      </c>
      <c r="AI206" s="1">
        <v>0</v>
      </c>
      <c r="AJ206" s="1">
        <v>0</v>
      </c>
      <c r="AK206" s="1">
        <v>0</v>
      </c>
      <c r="AL206" s="1">
        <v>0</v>
      </c>
      <c r="AM206" s="1">
        <v>0</v>
      </c>
      <c r="AN206" s="1">
        <v>0</v>
      </c>
      <c r="AO206" s="1">
        <v>0</v>
      </c>
      <c r="AP206" s="1">
        <v>20075</v>
      </c>
      <c r="AQ206" s="1">
        <v>19503</v>
      </c>
      <c r="AR206" s="1">
        <v>17722</v>
      </c>
      <c r="AS206" s="1">
        <v>18053</v>
      </c>
      <c r="AT206" s="1">
        <v>20075</v>
      </c>
      <c r="AU206" s="1">
        <v>0</v>
      </c>
      <c r="AV206" s="1">
        <v>0</v>
      </c>
      <c r="AW206" s="1">
        <v>0</v>
      </c>
      <c r="AX206" s="1">
        <v>19503</v>
      </c>
      <c r="AY206" s="1">
        <v>0</v>
      </c>
      <c r="AZ206" s="1">
        <v>0</v>
      </c>
      <c r="BA206" s="1">
        <v>0</v>
      </c>
      <c r="BB206" s="1">
        <v>17722</v>
      </c>
      <c r="BC206" s="1">
        <v>0</v>
      </c>
      <c r="BD206" s="1">
        <v>0</v>
      </c>
      <c r="BE206" s="1">
        <v>18053</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8955</v>
      </c>
      <c r="BV206" s="1">
        <v>9652</v>
      </c>
      <c r="BW206" s="1">
        <v>8621</v>
      </c>
      <c r="BX206" s="1">
        <v>8488</v>
      </c>
      <c r="BY206" s="1">
        <v>8955</v>
      </c>
      <c r="BZ206" s="1">
        <v>9652</v>
      </c>
      <c r="CA206" s="1">
        <v>8621</v>
      </c>
      <c r="CB206" s="1">
        <v>8488</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6422.47</v>
      </c>
      <c r="CT206" s="1">
        <v>1445.73</v>
      </c>
      <c r="CU206" s="1">
        <v>1576.67</v>
      </c>
      <c r="CV206" s="1">
        <v>1637.59</v>
      </c>
      <c r="CW206" s="1">
        <v>6422.47</v>
      </c>
      <c r="CX206" s="1">
        <v>1445.73</v>
      </c>
      <c r="CY206" s="1">
        <v>1576.67</v>
      </c>
      <c r="CZ206" s="1">
        <v>1637.59</v>
      </c>
      <c r="DA206" s="1">
        <v>0</v>
      </c>
      <c r="DB206" s="1">
        <v>0</v>
      </c>
      <c r="DC206" s="1">
        <v>0</v>
      </c>
      <c r="DD206" s="1">
        <v>0</v>
      </c>
      <c r="DE206" s="1">
        <v>0</v>
      </c>
      <c r="DF206" s="1">
        <v>0</v>
      </c>
      <c r="DG206" s="1">
        <v>0</v>
      </c>
      <c r="DH206" s="1">
        <v>0</v>
      </c>
      <c r="DI206" s="1">
        <v>0</v>
      </c>
      <c r="DJ206" s="1">
        <v>0</v>
      </c>
      <c r="DK206" s="1">
        <v>0</v>
      </c>
      <c r="DL206" s="1">
        <v>0</v>
      </c>
      <c r="DM206" s="1">
        <v>9508.0499999999993</v>
      </c>
      <c r="DN206" s="1">
        <v>8504.6899999999987</v>
      </c>
      <c r="DO206" s="1">
        <v>7316.71</v>
      </c>
      <c r="DP206" s="1">
        <v>7018.1900000000014</v>
      </c>
      <c r="DQ206" s="1">
        <v>9508.0499999999993</v>
      </c>
      <c r="DR206" s="1">
        <v>8504.6899999999987</v>
      </c>
      <c r="DS206" s="1">
        <v>7316.71</v>
      </c>
      <c r="DT206" s="1">
        <v>7018.1900000000014</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12889.33</v>
      </c>
      <c r="EL206" s="1">
        <v>1707.14</v>
      </c>
      <c r="EM206" s="1">
        <v>1412.1</v>
      </c>
      <c r="EN206" s="1">
        <v>1562.31</v>
      </c>
      <c r="EO206" s="1">
        <v>12889.33</v>
      </c>
      <c r="EP206" s="1">
        <v>1707.14</v>
      </c>
      <c r="EQ206" s="1">
        <v>1412.1</v>
      </c>
      <c r="ER206" s="1">
        <v>1562.31</v>
      </c>
      <c r="ES206" s="1">
        <v>0</v>
      </c>
      <c r="ET206" s="1">
        <v>0</v>
      </c>
      <c r="EU206" s="1">
        <v>0</v>
      </c>
      <c r="EV206" s="1">
        <v>0</v>
      </c>
      <c r="EW206" s="1">
        <v>0</v>
      </c>
      <c r="EX206" s="1">
        <v>0</v>
      </c>
      <c r="EY206" s="1">
        <v>0</v>
      </c>
      <c r="EZ206" s="1">
        <v>0</v>
      </c>
      <c r="FA206" s="1">
        <v>0</v>
      </c>
      <c r="FB206" s="1">
        <v>0</v>
      </c>
      <c r="FC206" s="1">
        <v>0</v>
      </c>
      <c r="FD206" s="1">
        <v>0</v>
      </c>
      <c r="FE206" s="1">
        <v>0</v>
      </c>
      <c r="FF206" s="1">
        <v>0</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v>0</v>
      </c>
      <c r="GC206" s="1">
        <v>0</v>
      </c>
      <c r="GD206" s="1">
        <v>0</v>
      </c>
      <c r="GE206" s="1">
        <v>0</v>
      </c>
      <c r="GF206" s="1">
        <v>0</v>
      </c>
      <c r="GG206" s="1">
        <v>0</v>
      </c>
      <c r="GH206" s="1">
        <v>0</v>
      </c>
      <c r="GI206" s="1">
        <v>0</v>
      </c>
      <c r="GJ206" s="1">
        <v>0</v>
      </c>
      <c r="GK206" s="1">
        <v>0</v>
      </c>
      <c r="GL206" s="1">
        <v>0</v>
      </c>
      <c r="GM206" s="1">
        <v>0</v>
      </c>
      <c r="GN206" s="1">
        <v>0</v>
      </c>
      <c r="GO206" s="1">
        <v>0</v>
      </c>
      <c r="GP206" s="1">
        <v>0</v>
      </c>
      <c r="GQ206" s="1">
        <v>0</v>
      </c>
      <c r="GR206" s="1">
        <v>0</v>
      </c>
      <c r="GS206" s="1">
        <v>0</v>
      </c>
      <c r="GT206" s="1">
        <v>0</v>
      </c>
      <c r="GU206" s="1">
        <v>0</v>
      </c>
      <c r="GV206" s="1">
        <v>0</v>
      </c>
      <c r="GW206" s="1">
        <v>0</v>
      </c>
      <c r="GX206" s="1">
        <v>0</v>
      </c>
      <c r="GY206" s="1">
        <v>0</v>
      </c>
      <c r="GZ206" s="1">
        <v>0</v>
      </c>
      <c r="HA206" s="1">
        <v>0</v>
      </c>
      <c r="HB206" s="1">
        <v>0</v>
      </c>
      <c r="HC206" s="1">
        <v>0</v>
      </c>
      <c r="HD206" s="1">
        <v>0</v>
      </c>
      <c r="HE206" s="1">
        <v>0</v>
      </c>
      <c r="HF206" s="1">
        <v>0</v>
      </c>
      <c r="HG206" s="1">
        <v>0</v>
      </c>
      <c r="HH206" s="1">
        <v>0</v>
      </c>
      <c r="HI206" s="1">
        <v>0</v>
      </c>
      <c r="HJ206" s="1">
        <v>0</v>
      </c>
      <c r="HK206" s="1">
        <v>0</v>
      </c>
      <c r="HL206" s="1">
        <v>0</v>
      </c>
      <c r="HM206" s="1">
        <v>0</v>
      </c>
      <c r="HN206" s="1">
        <v>0</v>
      </c>
      <c r="HO206" s="1">
        <v>0</v>
      </c>
      <c r="HP206" s="1">
        <v>0</v>
      </c>
      <c r="HQ206" s="1">
        <v>0</v>
      </c>
      <c r="HR206" s="1">
        <v>0</v>
      </c>
      <c r="HS206" s="1">
        <v>0</v>
      </c>
      <c r="HT206" s="1">
        <v>0</v>
      </c>
      <c r="HU206" s="1">
        <v>0</v>
      </c>
      <c r="HV206" s="1">
        <v>0</v>
      </c>
      <c r="HW206" s="1">
        <v>0</v>
      </c>
      <c r="HX206" s="1">
        <v>0</v>
      </c>
      <c r="HY206" s="1">
        <v>0</v>
      </c>
      <c r="HZ206" s="1">
        <v>0</v>
      </c>
      <c r="IA206" s="1">
        <v>0</v>
      </c>
      <c r="IB206" s="1">
        <v>0</v>
      </c>
      <c r="IC206" s="1">
        <v>0</v>
      </c>
      <c r="ID206" s="1">
        <v>0</v>
      </c>
      <c r="IE206" s="1">
        <v>0</v>
      </c>
      <c r="IF206" s="1">
        <v>0</v>
      </c>
      <c r="IG206" s="1">
        <v>0</v>
      </c>
      <c r="IH206" s="1">
        <v>0</v>
      </c>
      <c r="II206" s="1">
        <v>0</v>
      </c>
      <c r="IJ206" s="1">
        <v>0</v>
      </c>
      <c r="IK206" s="1">
        <v>0</v>
      </c>
      <c r="IL206" s="1">
        <v>0</v>
      </c>
      <c r="IM206" s="1">
        <v>0</v>
      </c>
      <c r="IN206" s="1">
        <v>0</v>
      </c>
      <c r="IO206" s="1">
        <v>0</v>
      </c>
      <c r="IP206" s="1">
        <v>343.2</v>
      </c>
      <c r="IQ206" s="1">
        <v>0</v>
      </c>
      <c r="IR206" s="1">
        <v>0</v>
      </c>
      <c r="IS206" s="1">
        <v>0</v>
      </c>
      <c r="IT206" s="1">
        <v>343.2</v>
      </c>
      <c r="IU206" s="1">
        <v>0</v>
      </c>
      <c r="IV206" s="1">
        <v>0</v>
      </c>
      <c r="IW206" s="1">
        <v>0</v>
      </c>
      <c r="IX206" s="1">
        <v>0</v>
      </c>
      <c r="IY206" s="1">
        <v>0</v>
      </c>
      <c r="IZ206" s="1">
        <v>0</v>
      </c>
      <c r="JA206" s="1">
        <v>0</v>
      </c>
      <c r="JB206" s="1">
        <v>0</v>
      </c>
      <c r="JC206" s="1">
        <v>0</v>
      </c>
      <c r="JD206" s="1">
        <v>0</v>
      </c>
      <c r="JE206" s="1">
        <v>0</v>
      </c>
      <c r="JF206" s="1">
        <v>0</v>
      </c>
      <c r="JG206" s="1">
        <v>0</v>
      </c>
      <c r="JH206" s="1">
        <v>0</v>
      </c>
      <c r="JI206" s="1">
        <v>0</v>
      </c>
      <c r="JJ206" s="1">
        <v>0</v>
      </c>
      <c r="JK206" s="1">
        <v>0</v>
      </c>
      <c r="JL206" s="1">
        <v>0</v>
      </c>
      <c r="JM206" s="1">
        <v>0</v>
      </c>
      <c r="JN206" s="1">
        <v>0</v>
      </c>
      <c r="JO206" s="1">
        <v>0</v>
      </c>
      <c r="JP206" s="1">
        <v>0</v>
      </c>
      <c r="JQ206" s="9"/>
      <c r="JR206" s="1">
        <f t="shared" si="48"/>
        <v>4119.1496999999963</v>
      </c>
      <c r="JS206" s="1">
        <f t="shared" si="48"/>
        <v>4362.1280999999999</v>
      </c>
      <c r="JT206" s="1">
        <f t="shared" si="48"/>
        <v>4902.6708000000008</v>
      </c>
      <c r="JU206" s="1">
        <f t="shared" si="48"/>
        <v>4689.4626000000017</v>
      </c>
      <c r="JV206" s="1">
        <f t="shared" si="49"/>
        <v>762.80549999999937</v>
      </c>
      <c r="JW206" s="1">
        <f t="shared" si="49"/>
        <v>807.80150000000003</v>
      </c>
      <c r="JX206" s="1">
        <f t="shared" si="49"/>
        <v>907.90200000000004</v>
      </c>
      <c r="JY206" s="1">
        <f t="shared" si="49"/>
        <v>868.41900000000032</v>
      </c>
    </row>
    <row r="207" spans="1:285" x14ac:dyDescent="0.35">
      <c r="A207" s="2" t="s">
        <v>214</v>
      </c>
      <c r="B207" s="1">
        <v>341436</v>
      </c>
      <c r="C207" s="1">
        <v>341895</v>
      </c>
      <c r="D207" s="1">
        <v>345697</v>
      </c>
      <c r="E207" s="1">
        <v>349834</v>
      </c>
      <c r="F207" s="1">
        <v>270431.96999999997</v>
      </c>
      <c r="G207" s="1">
        <v>277057.96999999997</v>
      </c>
      <c r="H207" s="1">
        <v>266705.125</v>
      </c>
      <c r="I207" s="1">
        <v>252587.64</v>
      </c>
      <c r="J207" s="1">
        <f t="shared" si="50"/>
        <v>57535.630000000005</v>
      </c>
      <c r="K207" s="1">
        <f t="shared" si="51"/>
        <v>47915.209999999992</v>
      </c>
      <c r="L207" s="1">
        <f t="shared" si="52"/>
        <v>46634.934999999998</v>
      </c>
      <c r="M207" s="1">
        <f t="shared" si="53"/>
        <v>39950.58</v>
      </c>
      <c r="N207" s="1">
        <f t="shared" si="54"/>
        <v>212896.33999999997</v>
      </c>
      <c r="O207" s="1">
        <f t="shared" si="55"/>
        <v>229142.75999999998</v>
      </c>
      <c r="P207" s="1">
        <f t="shared" si="56"/>
        <v>220070.19</v>
      </c>
      <c r="Q207" s="1">
        <f t="shared" si="57"/>
        <v>212637.06</v>
      </c>
      <c r="R207" s="1">
        <v>780.24</v>
      </c>
      <c r="S207" s="1">
        <v>0</v>
      </c>
      <c r="T207" s="1">
        <v>213.55</v>
      </c>
      <c r="U207" s="1">
        <v>430.29</v>
      </c>
      <c r="V207" s="1">
        <v>0</v>
      </c>
      <c r="W207" s="1">
        <v>0</v>
      </c>
      <c r="X207" s="1">
        <v>780.24</v>
      </c>
      <c r="Y207" s="1">
        <v>0</v>
      </c>
      <c r="Z207" s="1">
        <v>0</v>
      </c>
      <c r="AA207" s="1">
        <v>0</v>
      </c>
      <c r="AB207" s="1">
        <v>0</v>
      </c>
      <c r="AC207" s="1">
        <v>0</v>
      </c>
      <c r="AD207" s="1">
        <v>213.55</v>
      </c>
      <c r="AE207" s="1">
        <v>0</v>
      </c>
      <c r="AF207" s="1">
        <v>0</v>
      </c>
      <c r="AG207" s="1">
        <v>430.29</v>
      </c>
      <c r="AH207" s="1">
        <v>0</v>
      </c>
      <c r="AI207" s="1">
        <v>0</v>
      </c>
      <c r="AJ207" s="1">
        <v>0</v>
      </c>
      <c r="AK207" s="1">
        <v>0</v>
      </c>
      <c r="AL207" s="1">
        <v>0</v>
      </c>
      <c r="AM207" s="1">
        <v>0</v>
      </c>
      <c r="AN207" s="1">
        <v>0</v>
      </c>
      <c r="AO207" s="1">
        <v>0</v>
      </c>
      <c r="AP207" s="1">
        <v>13345.98</v>
      </c>
      <c r="AQ207" s="1">
        <v>13013.519999999999</v>
      </c>
      <c r="AR207" s="1">
        <v>12050.1</v>
      </c>
      <c r="AS207" s="1">
        <v>9080.77</v>
      </c>
      <c r="AT207" s="1">
        <v>0</v>
      </c>
      <c r="AU207" s="1">
        <v>13345.98</v>
      </c>
      <c r="AV207" s="1">
        <v>0</v>
      </c>
      <c r="AW207" s="1">
        <v>0</v>
      </c>
      <c r="AX207" s="1">
        <v>0</v>
      </c>
      <c r="AY207" s="1">
        <v>13013.519999999999</v>
      </c>
      <c r="AZ207" s="1">
        <v>0</v>
      </c>
      <c r="BA207" s="1">
        <v>0</v>
      </c>
      <c r="BB207" s="1">
        <v>0</v>
      </c>
      <c r="BC207" s="1">
        <v>12050.1</v>
      </c>
      <c r="BD207" s="1">
        <v>0</v>
      </c>
      <c r="BE207" s="1">
        <v>0</v>
      </c>
      <c r="BF207" s="1">
        <v>9080.77</v>
      </c>
      <c r="BG207" s="1">
        <v>0</v>
      </c>
      <c r="BH207" s="1">
        <v>0</v>
      </c>
      <c r="BI207" s="1">
        <v>0</v>
      </c>
      <c r="BJ207" s="1">
        <v>0</v>
      </c>
      <c r="BK207" s="1">
        <v>0</v>
      </c>
      <c r="BL207" s="1">
        <v>0</v>
      </c>
      <c r="BM207" s="1">
        <v>0</v>
      </c>
      <c r="BN207" s="1">
        <v>0</v>
      </c>
      <c r="BO207" s="1">
        <v>0</v>
      </c>
      <c r="BP207" s="1">
        <v>0</v>
      </c>
      <c r="BQ207" s="1">
        <v>0</v>
      </c>
      <c r="BR207" s="1">
        <v>0</v>
      </c>
      <c r="BS207" s="1">
        <v>0</v>
      </c>
      <c r="BT207" s="1">
        <v>0</v>
      </c>
      <c r="BU207" s="1">
        <v>20488.099999999999</v>
      </c>
      <c r="BV207" s="1">
        <v>15024.06</v>
      </c>
      <c r="BW207" s="1">
        <v>13965.32</v>
      </c>
      <c r="BX207" s="1">
        <v>9935.369999999999</v>
      </c>
      <c r="BY207" s="1">
        <v>20488.099999999999</v>
      </c>
      <c r="BZ207" s="1">
        <v>15024.06</v>
      </c>
      <c r="CA207" s="1">
        <v>13965.32</v>
      </c>
      <c r="CB207" s="1">
        <v>9935.369999999999</v>
      </c>
      <c r="CC207" s="1">
        <v>0</v>
      </c>
      <c r="CD207" s="1">
        <v>0</v>
      </c>
      <c r="CE207" s="1">
        <v>0</v>
      </c>
      <c r="CF207" s="1">
        <v>0</v>
      </c>
      <c r="CG207" s="1">
        <v>0</v>
      </c>
      <c r="CH207" s="1">
        <v>0</v>
      </c>
      <c r="CI207" s="1">
        <v>0</v>
      </c>
      <c r="CJ207" s="1">
        <v>0</v>
      </c>
      <c r="CK207" s="1">
        <v>0</v>
      </c>
      <c r="CL207" s="1">
        <v>0</v>
      </c>
      <c r="CM207" s="1">
        <v>0</v>
      </c>
      <c r="CN207" s="1">
        <v>0</v>
      </c>
      <c r="CO207" s="1">
        <v>0</v>
      </c>
      <c r="CP207" s="1">
        <v>0</v>
      </c>
      <c r="CQ207" s="1">
        <v>0</v>
      </c>
      <c r="CR207" s="1">
        <v>0</v>
      </c>
      <c r="CS207" s="1">
        <v>5966.39</v>
      </c>
      <c r="CT207" s="1">
        <v>4135.2800000000007</v>
      </c>
      <c r="CU207" s="1">
        <v>3416.95</v>
      </c>
      <c r="CV207" s="1">
        <v>2605.3000000000002</v>
      </c>
      <c r="CW207" s="1">
        <v>5966.39</v>
      </c>
      <c r="CX207" s="1">
        <v>4135.2800000000007</v>
      </c>
      <c r="CY207" s="1">
        <v>3416.95</v>
      </c>
      <c r="CZ207" s="1">
        <v>2605.3000000000002</v>
      </c>
      <c r="DA207" s="1">
        <v>0</v>
      </c>
      <c r="DB207" s="1">
        <v>0</v>
      </c>
      <c r="DC207" s="1">
        <v>0</v>
      </c>
      <c r="DD207" s="1">
        <v>0</v>
      </c>
      <c r="DE207" s="1">
        <v>0</v>
      </c>
      <c r="DF207" s="1">
        <v>0</v>
      </c>
      <c r="DG207" s="1">
        <v>0</v>
      </c>
      <c r="DH207" s="1">
        <v>0</v>
      </c>
      <c r="DI207" s="1">
        <v>0</v>
      </c>
      <c r="DJ207" s="1">
        <v>0</v>
      </c>
      <c r="DK207" s="1">
        <v>0</v>
      </c>
      <c r="DL207" s="1">
        <v>0</v>
      </c>
      <c r="DM207" s="1">
        <v>7611.15</v>
      </c>
      <c r="DN207" s="1">
        <v>6053.1</v>
      </c>
      <c r="DO207" s="1">
        <v>4675.34</v>
      </c>
      <c r="DP207" s="1">
        <v>4969.2700000000004</v>
      </c>
      <c r="DQ207" s="1">
        <v>7611.15</v>
      </c>
      <c r="DR207" s="1">
        <v>6053.1</v>
      </c>
      <c r="DS207" s="1">
        <v>4675.34</v>
      </c>
      <c r="DT207" s="1">
        <v>4969.2700000000004</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4752.93</v>
      </c>
      <c r="EL207" s="1">
        <v>4649.2800000000007</v>
      </c>
      <c r="EM207" s="1">
        <v>3792.4749999999999</v>
      </c>
      <c r="EN207" s="1">
        <v>3632.45</v>
      </c>
      <c r="EO207" s="1">
        <v>4737.45</v>
      </c>
      <c r="EP207" s="1">
        <v>4632.66</v>
      </c>
      <c r="EQ207" s="1">
        <v>3776.7849999999999</v>
      </c>
      <c r="ER207" s="1">
        <v>3614.96</v>
      </c>
      <c r="ES207" s="1">
        <v>15.48</v>
      </c>
      <c r="ET207" s="1">
        <v>16.62</v>
      </c>
      <c r="EU207" s="1">
        <v>15.69</v>
      </c>
      <c r="EV207" s="1">
        <v>17.489999999999998</v>
      </c>
      <c r="EW207" s="1">
        <v>0</v>
      </c>
      <c r="EX207" s="1">
        <v>0</v>
      </c>
      <c r="EY207" s="1">
        <v>0</v>
      </c>
      <c r="EZ207" s="1">
        <v>0</v>
      </c>
      <c r="FA207" s="1">
        <v>0</v>
      </c>
      <c r="FB207" s="1">
        <v>0</v>
      </c>
      <c r="FC207" s="1">
        <v>0</v>
      </c>
      <c r="FD207" s="1">
        <v>0</v>
      </c>
      <c r="FE207" s="1">
        <v>500.3</v>
      </c>
      <c r="FF207" s="1">
        <v>494.57</v>
      </c>
      <c r="FG207" s="1">
        <v>659.56</v>
      </c>
      <c r="FH207" s="1">
        <v>777.04</v>
      </c>
      <c r="FI207" s="1">
        <v>393.6</v>
      </c>
      <c r="FJ207" s="1">
        <v>406.42</v>
      </c>
      <c r="FK207" s="1">
        <v>571.70000000000005</v>
      </c>
      <c r="FL207" s="1">
        <v>670.24</v>
      </c>
      <c r="FM207" s="1">
        <v>106.7</v>
      </c>
      <c r="FN207" s="1">
        <v>88.15</v>
      </c>
      <c r="FO207" s="1">
        <v>87.86</v>
      </c>
      <c r="FP207" s="1">
        <v>106.8</v>
      </c>
      <c r="FQ207" s="1">
        <v>0</v>
      </c>
      <c r="FR207" s="1">
        <v>0</v>
      </c>
      <c r="FS207" s="1">
        <v>0</v>
      </c>
      <c r="FT207" s="1">
        <v>0</v>
      </c>
      <c r="FU207" s="1">
        <v>0</v>
      </c>
      <c r="FV207" s="1">
        <v>0</v>
      </c>
      <c r="FW207" s="1">
        <v>0</v>
      </c>
      <c r="FX207" s="1">
        <v>0</v>
      </c>
      <c r="FY207" s="1">
        <v>0</v>
      </c>
      <c r="FZ207" s="1">
        <v>0</v>
      </c>
      <c r="GA207" s="1">
        <v>0</v>
      </c>
      <c r="GB207" s="1">
        <v>0</v>
      </c>
      <c r="GC207" s="1">
        <v>861.12000000000012</v>
      </c>
      <c r="GD207" s="1">
        <v>937.7</v>
      </c>
      <c r="GE207" s="1">
        <v>885.02</v>
      </c>
      <c r="GF207" s="1">
        <v>894.81</v>
      </c>
      <c r="GG207" s="1">
        <v>861.12000000000012</v>
      </c>
      <c r="GH207" s="1">
        <v>937.7</v>
      </c>
      <c r="GI207" s="1">
        <v>885.02</v>
      </c>
      <c r="GJ207" s="1">
        <v>894.81</v>
      </c>
      <c r="GK207" s="1">
        <v>0</v>
      </c>
      <c r="GL207" s="1">
        <v>0</v>
      </c>
      <c r="GM207" s="1">
        <v>0</v>
      </c>
      <c r="GN207" s="1">
        <v>0</v>
      </c>
      <c r="GO207" s="1">
        <v>0</v>
      </c>
      <c r="GP207" s="1">
        <v>0</v>
      </c>
      <c r="GQ207" s="1">
        <v>0</v>
      </c>
      <c r="GR207" s="1">
        <v>0</v>
      </c>
      <c r="GS207" s="1">
        <v>0</v>
      </c>
      <c r="GT207" s="1">
        <v>0</v>
      </c>
      <c r="GU207" s="1">
        <v>0</v>
      </c>
      <c r="GV207" s="1">
        <v>0</v>
      </c>
      <c r="GW207" s="1">
        <v>0</v>
      </c>
      <c r="GX207" s="1">
        <v>0</v>
      </c>
      <c r="GY207" s="1">
        <v>0</v>
      </c>
      <c r="GZ207" s="1">
        <v>0</v>
      </c>
      <c r="HA207" s="1">
        <v>0</v>
      </c>
      <c r="HB207" s="1">
        <v>0</v>
      </c>
      <c r="HC207" s="1">
        <v>0</v>
      </c>
      <c r="HD207" s="1">
        <v>0</v>
      </c>
      <c r="HE207" s="1">
        <v>2776.52</v>
      </c>
      <c r="HF207" s="1">
        <v>2630.81</v>
      </c>
      <c r="HG207" s="1">
        <v>5878.34</v>
      </c>
      <c r="HH207" s="1">
        <v>6785.15</v>
      </c>
      <c r="HI207" s="1">
        <v>2776.52</v>
      </c>
      <c r="HJ207" s="1">
        <v>2630.81</v>
      </c>
      <c r="HK207" s="1">
        <v>5878.34</v>
      </c>
      <c r="HL207" s="1">
        <v>6785.15</v>
      </c>
      <c r="HM207" s="1">
        <v>0</v>
      </c>
      <c r="HN207" s="1">
        <v>0</v>
      </c>
      <c r="HO207" s="1">
        <v>0</v>
      </c>
      <c r="HP207" s="1">
        <v>0</v>
      </c>
      <c r="HQ207" s="1">
        <v>0</v>
      </c>
      <c r="HR207" s="1">
        <v>0</v>
      </c>
      <c r="HS207" s="1">
        <v>0</v>
      </c>
      <c r="HT207" s="1">
        <v>0</v>
      </c>
      <c r="HU207" s="1">
        <v>0</v>
      </c>
      <c r="HV207" s="1">
        <v>0</v>
      </c>
      <c r="HW207" s="1">
        <v>0</v>
      </c>
      <c r="HX207" s="1">
        <v>0</v>
      </c>
      <c r="HY207" s="1">
        <v>0</v>
      </c>
      <c r="HZ207" s="1">
        <v>0</v>
      </c>
      <c r="IA207" s="1">
        <v>0</v>
      </c>
      <c r="IB207" s="1">
        <v>0</v>
      </c>
      <c r="IC207" s="1">
        <v>0</v>
      </c>
      <c r="ID207" s="1">
        <v>0</v>
      </c>
      <c r="IE207" s="1">
        <v>0</v>
      </c>
      <c r="IF207" s="1">
        <v>0</v>
      </c>
      <c r="IG207" s="1">
        <v>0</v>
      </c>
      <c r="IH207" s="1">
        <v>0</v>
      </c>
      <c r="II207" s="1">
        <v>0</v>
      </c>
      <c r="IJ207" s="1">
        <v>0</v>
      </c>
      <c r="IK207" s="1">
        <v>0</v>
      </c>
      <c r="IL207" s="1">
        <v>0</v>
      </c>
      <c r="IM207" s="1">
        <v>0</v>
      </c>
      <c r="IN207" s="1">
        <v>0</v>
      </c>
      <c r="IO207" s="1">
        <v>452.9</v>
      </c>
      <c r="IP207" s="1">
        <v>976.89</v>
      </c>
      <c r="IQ207" s="1">
        <v>1098.28</v>
      </c>
      <c r="IR207" s="1">
        <v>840.12999999999988</v>
      </c>
      <c r="IS207" s="1">
        <v>438.89</v>
      </c>
      <c r="IT207" s="1">
        <v>963.46</v>
      </c>
      <c r="IU207" s="1">
        <v>1089.04</v>
      </c>
      <c r="IV207" s="1">
        <v>832.31999999999994</v>
      </c>
      <c r="IW207" s="1">
        <v>10.61</v>
      </c>
      <c r="IX207" s="1">
        <v>7.77</v>
      </c>
      <c r="IY207" s="1">
        <v>2.0699999999999998</v>
      </c>
      <c r="IZ207" s="1">
        <v>0</v>
      </c>
      <c r="JA207" s="1">
        <v>0</v>
      </c>
      <c r="JB207" s="1">
        <v>0</v>
      </c>
      <c r="JC207" s="1">
        <v>0</v>
      </c>
      <c r="JD207" s="1">
        <v>0</v>
      </c>
      <c r="JE207" s="1">
        <v>0</v>
      </c>
      <c r="JF207" s="1">
        <v>0</v>
      </c>
      <c r="JG207" s="1">
        <v>0</v>
      </c>
      <c r="JH207" s="1">
        <v>0</v>
      </c>
      <c r="JI207" s="1">
        <v>0</v>
      </c>
      <c r="JJ207" s="1">
        <v>0</v>
      </c>
      <c r="JK207" s="1">
        <v>0</v>
      </c>
      <c r="JL207" s="1">
        <v>0</v>
      </c>
      <c r="JM207" s="1">
        <v>3.4</v>
      </c>
      <c r="JN207" s="1">
        <v>5.66</v>
      </c>
      <c r="JO207" s="1">
        <v>7.17</v>
      </c>
      <c r="JP207" s="1">
        <v>7.81</v>
      </c>
      <c r="JQ207" s="9"/>
      <c r="JR207" s="1">
        <f t="shared" si="48"/>
        <v>57482.011799999993</v>
      </c>
      <c r="JS207" s="1">
        <f t="shared" si="48"/>
        <v>61868.5452</v>
      </c>
      <c r="JT207" s="1">
        <f t="shared" si="48"/>
        <v>59418.951300000008</v>
      </c>
      <c r="JU207" s="1">
        <f t="shared" si="48"/>
        <v>57412.006200000003</v>
      </c>
      <c r="JV207" s="1">
        <f t="shared" si="49"/>
        <v>10644.816999999999</v>
      </c>
      <c r="JW207" s="1">
        <f t="shared" si="49"/>
        <v>11457.137999999999</v>
      </c>
      <c r="JX207" s="1">
        <f t="shared" si="49"/>
        <v>11003.5095</v>
      </c>
      <c r="JY207" s="1">
        <f t="shared" si="49"/>
        <v>10631.853000000001</v>
      </c>
    </row>
    <row r="208" spans="1:285" x14ac:dyDescent="0.35">
      <c r="A208" s="2" t="s">
        <v>215</v>
      </c>
      <c r="B208" s="1">
        <v>278621</v>
      </c>
      <c r="C208" s="1">
        <v>279693</v>
      </c>
      <c r="D208" s="1">
        <v>281247</v>
      </c>
      <c r="E208" s="1">
        <v>283720</v>
      </c>
      <c r="F208" s="1">
        <v>93572.784000000014</v>
      </c>
      <c r="G208" s="1">
        <v>92085.489999999991</v>
      </c>
      <c r="H208" s="1">
        <v>83733.86</v>
      </c>
      <c r="I208" s="1">
        <v>83808.69</v>
      </c>
      <c r="J208" s="1">
        <f t="shared" si="50"/>
        <v>47304.953999999998</v>
      </c>
      <c r="K208" s="1">
        <f t="shared" si="51"/>
        <v>46153.93</v>
      </c>
      <c r="L208" s="1">
        <f t="shared" si="52"/>
        <v>41146.409999999996</v>
      </c>
      <c r="M208" s="1">
        <f t="shared" si="53"/>
        <v>40636.149999999994</v>
      </c>
      <c r="N208" s="1">
        <f t="shared" si="54"/>
        <v>46267.830000000016</v>
      </c>
      <c r="O208" s="1">
        <f t="shared" si="55"/>
        <v>45931.55999999999</v>
      </c>
      <c r="P208" s="1">
        <f t="shared" si="56"/>
        <v>42587.450000000004</v>
      </c>
      <c r="Q208" s="1">
        <f t="shared" si="57"/>
        <v>43172.540000000008</v>
      </c>
      <c r="R208" s="1">
        <v>0</v>
      </c>
      <c r="S208" s="1">
        <v>0</v>
      </c>
      <c r="T208" s="1">
        <v>0</v>
      </c>
      <c r="U208" s="1">
        <v>0</v>
      </c>
      <c r="V208" s="1">
        <v>0</v>
      </c>
      <c r="W208" s="1">
        <v>0</v>
      </c>
      <c r="X208" s="1">
        <v>0</v>
      </c>
      <c r="Y208" s="1">
        <v>0</v>
      </c>
      <c r="Z208" s="1">
        <v>0</v>
      </c>
      <c r="AA208" s="1">
        <v>0</v>
      </c>
      <c r="AB208" s="1">
        <v>0</v>
      </c>
      <c r="AC208" s="1">
        <v>0</v>
      </c>
      <c r="AD208" s="1">
        <v>0</v>
      </c>
      <c r="AE208" s="1">
        <v>0</v>
      </c>
      <c r="AF208" s="1">
        <v>0</v>
      </c>
      <c r="AG208" s="1">
        <v>0</v>
      </c>
      <c r="AH208" s="1">
        <v>0</v>
      </c>
      <c r="AI208" s="1">
        <v>0</v>
      </c>
      <c r="AJ208" s="1">
        <v>0</v>
      </c>
      <c r="AK208" s="1">
        <v>0</v>
      </c>
      <c r="AL208" s="1">
        <v>0</v>
      </c>
      <c r="AM208" s="1">
        <v>0</v>
      </c>
      <c r="AN208" s="1">
        <v>0</v>
      </c>
      <c r="AO208" s="1">
        <v>0</v>
      </c>
      <c r="AP208" s="1">
        <v>21743.42</v>
      </c>
      <c r="AQ208" s="1">
        <v>19096.829999999998</v>
      </c>
      <c r="AR208" s="1">
        <v>16300.140000000001</v>
      </c>
      <c r="AS208" s="1">
        <v>17875.37</v>
      </c>
      <c r="AT208" s="1">
        <v>0</v>
      </c>
      <c r="AU208" s="1">
        <v>21743.42</v>
      </c>
      <c r="AV208" s="1">
        <v>0</v>
      </c>
      <c r="AW208" s="1">
        <v>0</v>
      </c>
      <c r="AX208" s="1">
        <v>0</v>
      </c>
      <c r="AY208" s="1">
        <v>19096.829999999998</v>
      </c>
      <c r="AZ208" s="1">
        <v>0</v>
      </c>
      <c r="BA208" s="1">
        <v>0</v>
      </c>
      <c r="BB208" s="1">
        <v>0</v>
      </c>
      <c r="BC208" s="1">
        <v>16300.140000000001</v>
      </c>
      <c r="BD208" s="1">
        <v>0</v>
      </c>
      <c r="BE208" s="1">
        <v>0</v>
      </c>
      <c r="BF208" s="1">
        <v>17875.37</v>
      </c>
      <c r="BG208" s="1">
        <v>0</v>
      </c>
      <c r="BH208" s="1">
        <v>0</v>
      </c>
      <c r="BI208" s="1">
        <v>0</v>
      </c>
      <c r="BJ208" s="1">
        <v>0</v>
      </c>
      <c r="BK208" s="1">
        <v>0</v>
      </c>
      <c r="BL208" s="1">
        <v>0</v>
      </c>
      <c r="BM208" s="1">
        <v>0</v>
      </c>
      <c r="BN208" s="1">
        <v>0</v>
      </c>
      <c r="BO208" s="1">
        <v>0</v>
      </c>
      <c r="BP208" s="1">
        <v>0</v>
      </c>
      <c r="BQ208" s="1">
        <v>0</v>
      </c>
      <c r="BR208" s="1">
        <v>0</v>
      </c>
      <c r="BS208" s="1">
        <v>0</v>
      </c>
      <c r="BT208" s="1">
        <v>0</v>
      </c>
      <c r="BU208" s="1">
        <v>13922.683999999999</v>
      </c>
      <c r="BV208" s="1">
        <v>15540.36</v>
      </c>
      <c r="BW208" s="1">
        <v>14161.35</v>
      </c>
      <c r="BX208" s="1">
        <v>12902.33</v>
      </c>
      <c r="BY208" s="1">
        <v>13922.683999999999</v>
      </c>
      <c r="BZ208" s="1">
        <v>15540.36</v>
      </c>
      <c r="CA208" s="1">
        <v>14161.35</v>
      </c>
      <c r="CB208" s="1">
        <v>12902.33</v>
      </c>
      <c r="CC208" s="1">
        <v>0</v>
      </c>
      <c r="CD208" s="1">
        <v>0</v>
      </c>
      <c r="CE208" s="1">
        <v>0</v>
      </c>
      <c r="CF208" s="1">
        <v>0</v>
      </c>
      <c r="CG208" s="1">
        <v>0</v>
      </c>
      <c r="CH208" s="1">
        <v>0</v>
      </c>
      <c r="CI208" s="1">
        <v>0</v>
      </c>
      <c r="CJ208" s="1">
        <v>0</v>
      </c>
      <c r="CK208" s="1">
        <v>0</v>
      </c>
      <c r="CL208" s="1">
        <v>0</v>
      </c>
      <c r="CM208" s="1">
        <v>0</v>
      </c>
      <c r="CN208" s="1">
        <v>0</v>
      </c>
      <c r="CO208" s="1">
        <v>0</v>
      </c>
      <c r="CP208" s="1">
        <v>0</v>
      </c>
      <c r="CQ208" s="1">
        <v>0</v>
      </c>
      <c r="CR208" s="1">
        <v>0</v>
      </c>
      <c r="CS208" s="1">
        <v>1650.37</v>
      </c>
      <c r="CT208" s="1">
        <v>1742.99</v>
      </c>
      <c r="CU208" s="1">
        <v>1756.83</v>
      </c>
      <c r="CV208" s="1">
        <v>1725.05</v>
      </c>
      <c r="CW208" s="1">
        <v>1650.37</v>
      </c>
      <c r="CX208" s="1">
        <v>1742.99</v>
      </c>
      <c r="CY208" s="1">
        <v>1756.83</v>
      </c>
      <c r="CZ208" s="1">
        <v>1725.05</v>
      </c>
      <c r="DA208" s="1">
        <v>0</v>
      </c>
      <c r="DB208" s="1">
        <v>0</v>
      </c>
      <c r="DC208" s="1">
        <v>0</v>
      </c>
      <c r="DD208" s="1">
        <v>0</v>
      </c>
      <c r="DE208" s="1">
        <v>0</v>
      </c>
      <c r="DF208" s="1">
        <v>0</v>
      </c>
      <c r="DG208" s="1">
        <v>0</v>
      </c>
      <c r="DH208" s="1">
        <v>0</v>
      </c>
      <c r="DI208" s="1">
        <v>0</v>
      </c>
      <c r="DJ208" s="1">
        <v>0</v>
      </c>
      <c r="DK208" s="1">
        <v>0</v>
      </c>
      <c r="DL208" s="1">
        <v>0</v>
      </c>
      <c r="DM208" s="1">
        <v>8439.76</v>
      </c>
      <c r="DN208" s="1">
        <v>8251.7999999999993</v>
      </c>
      <c r="DO208" s="1">
        <v>7340.54</v>
      </c>
      <c r="DP208" s="1">
        <v>6865.41</v>
      </c>
      <c r="DQ208" s="1">
        <v>8432.1</v>
      </c>
      <c r="DR208" s="1">
        <v>8251.7999999999993</v>
      </c>
      <c r="DS208" s="1">
        <v>7340.54</v>
      </c>
      <c r="DT208" s="1">
        <v>6865.41</v>
      </c>
      <c r="DU208" s="1">
        <v>7.66</v>
      </c>
      <c r="DV208" s="1">
        <v>0</v>
      </c>
      <c r="DW208" s="1">
        <v>0</v>
      </c>
      <c r="DX208" s="1">
        <v>0</v>
      </c>
      <c r="DY208" s="1">
        <v>0</v>
      </c>
      <c r="DZ208" s="1">
        <v>0</v>
      </c>
      <c r="EA208" s="1">
        <v>0</v>
      </c>
      <c r="EB208" s="1">
        <v>0</v>
      </c>
      <c r="EC208" s="1">
        <v>0</v>
      </c>
      <c r="ED208" s="1">
        <v>0</v>
      </c>
      <c r="EE208" s="1">
        <v>0</v>
      </c>
      <c r="EF208" s="1">
        <v>0</v>
      </c>
      <c r="EG208" s="1">
        <v>0</v>
      </c>
      <c r="EH208" s="1">
        <v>0</v>
      </c>
      <c r="EI208" s="1">
        <v>0</v>
      </c>
      <c r="EJ208" s="1">
        <v>0</v>
      </c>
      <c r="EK208" s="1">
        <v>1095.3900000000001</v>
      </c>
      <c r="EL208" s="1">
        <v>1088.1400000000001</v>
      </c>
      <c r="EM208" s="1">
        <v>1024.33</v>
      </c>
      <c r="EN208" s="1">
        <v>881.7</v>
      </c>
      <c r="EO208" s="1">
        <v>1095.3900000000001</v>
      </c>
      <c r="EP208" s="1">
        <v>1088.1400000000001</v>
      </c>
      <c r="EQ208" s="1">
        <v>1024.33</v>
      </c>
      <c r="ER208" s="1">
        <v>881.7</v>
      </c>
      <c r="ES208" s="1">
        <v>0</v>
      </c>
      <c r="ET208" s="1">
        <v>0</v>
      </c>
      <c r="EU208" s="1">
        <v>0</v>
      </c>
      <c r="EV208" s="1">
        <v>0</v>
      </c>
      <c r="EW208" s="1">
        <v>0</v>
      </c>
      <c r="EX208" s="1">
        <v>0</v>
      </c>
      <c r="EY208" s="1">
        <v>0</v>
      </c>
      <c r="EZ208" s="1">
        <v>0</v>
      </c>
      <c r="FA208" s="1">
        <v>0</v>
      </c>
      <c r="FB208" s="1">
        <v>0</v>
      </c>
      <c r="FC208" s="1">
        <v>0</v>
      </c>
      <c r="FD208" s="1">
        <v>0</v>
      </c>
      <c r="FE208" s="1">
        <v>13.45</v>
      </c>
      <c r="FF208" s="1">
        <v>12.37</v>
      </c>
      <c r="FG208" s="1">
        <v>13.13</v>
      </c>
      <c r="FH208" s="1">
        <v>14.38</v>
      </c>
      <c r="FI208" s="1">
        <v>0</v>
      </c>
      <c r="FJ208" s="1">
        <v>0</v>
      </c>
      <c r="FK208" s="1">
        <v>0.17</v>
      </c>
      <c r="FL208" s="1">
        <v>1.63</v>
      </c>
      <c r="FM208" s="1">
        <v>13.45</v>
      </c>
      <c r="FN208" s="1">
        <v>12.37</v>
      </c>
      <c r="FO208" s="1">
        <v>12.96</v>
      </c>
      <c r="FP208" s="1">
        <v>12.75</v>
      </c>
      <c r="FQ208" s="1">
        <v>0</v>
      </c>
      <c r="FR208" s="1">
        <v>0</v>
      </c>
      <c r="FS208" s="1">
        <v>0</v>
      </c>
      <c r="FT208" s="1">
        <v>0</v>
      </c>
      <c r="FU208" s="1">
        <v>0</v>
      </c>
      <c r="FV208" s="1">
        <v>0</v>
      </c>
      <c r="FW208" s="1">
        <v>0</v>
      </c>
      <c r="FX208" s="1">
        <v>0</v>
      </c>
      <c r="FY208" s="1">
        <v>0</v>
      </c>
      <c r="FZ208" s="1">
        <v>0</v>
      </c>
      <c r="GA208" s="1">
        <v>0</v>
      </c>
      <c r="GB208" s="1">
        <v>0</v>
      </c>
      <c r="GC208" s="1">
        <v>102.7</v>
      </c>
      <c r="GD208" s="1">
        <v>124.94</v>
      </c>
      <c r="GE208" s="1">
        <v>107.63</v>
      </c>
      <c r="GF208" s="1">
        <v>88.29</v>
      </c>
      <c r="GG208" s="1">
        <v>102.7</v>
      </c>
      <c r="GH208" s="1">
        <v>124.94</v>
      </c>
      <c r="GI208" s="1">
        <v>107.63</v>
      </c>
      <c r="GJ208" s="1">
        <v>88.29</v>
      </c>
      <c r="GK208" s="1">
        <v>0</v>
      </c>
      <c r="GL208" s="1">
        <v>0</v>
      </c>
      <c r="GM208" s="1">
        <v>0</v>
      </c>
      <c r="GN208" s="1">
        <v>0</v>
      </c>
      <c r="GO208" s="1">
        <v>0</v>
      </c>
      <c r="GP208" s="1">
        <v>0</v>
      </c>
      <c r="GQ208" s="1">
        <v>0</v>
      </c>
      <c r="GR208" s="1">
        <v>0</v>
      </c>
      <c r="GS208" s="1">
        <v>0</v>
      </c>
      <c r="GT208" s="1">
        <v>0</v>
      </c>
      <c r="GU208" s="1">
        <v>0</v>
      </c>
      <c r="GV208" s="1">
        <v>0</v>
      </c>
      <c r="GW208" s="1">
        <v>0</v>
      </c>
      <c r="GX208" s="1">
        <v>0</v>
      </c>
      <c r="GY208" s="1">
        <v>0</v>
      </c>
      <c r="GZ208" s="1">
        <v>0</v>
      </c>
      <c r="HA208" s="1">
        <v>0</v>
      </c>
      <c r="HB208" s="1">
        <v>0</v>
      </c>
      <c r="HC208" s="1">
        <v>0</v>
      </c>
      <c r="HD208" s="1">
        <v>0</v>
      </c>
      <c r="HE208" s="1">
        <v>0</v>
      </c>
      <c r="HF208" s="1">
        <v>0</v>
      </c>
      <c r="HG208" s="1">
        <v>0</v>
      </c>
      <c r="HH208" s="1">
        <v>0</v>
      </c>
      <c r="HI208" s="1">
        <v>0</v>
      </c>
      <c r="HJ208" s="1">
        <v>0</v>
      </c>
      <c r="HK208" s="1">
        <v>0</v>
      </c>
      <c r="HL208" s="1">
        <v>0</v>
      </c>
      <c r="HM208" s="1">
        <v>0</v>
      </c>
      <c r="HN208" s="1">
        <v>0</v>
      </c>
      <c r="HO208" s="1">
        <v>0</v>
      </c>
      <c r="HP208" s="1">
        <v>0</v>
      </c>
      <c r="HQ208" s="1">
        <v>0</v>
      </c>
      <c r="HR208" s="1">
        <v>0</v>
      </c>
      <c r="HS208" s="1">
        <v>0</v>
      </c>
      <c r="HT208" s="1">
        <v>0</v>
      </c>
      <c r="HU208" s="1">
        <v>0</v>
      </c>
      <c r="HV208" s="1">
        <v>0</v>
      </c>
      <c r="HW208" s="1">
        <v>0</v>
      </c>
      <c r="HX208" s="1">
        <v>0</v>
      </c>
      <c r="HY208" s="1">
        <v>0</v>
      </c>
      <c r="HZ208" s="1">
        <v>0</v>
      </c>
      <c r="IA208" s="1">
        <v>0</v>
      </c>
      <c r="IB208" s="1">
        <v>0</v>
      </c>
      <c r="IC208" s="1">
        <v>0</v>
      </c>
      <c r="ID208" s="1">
        <v>0</v>
      </c>
      <c r="IE208" s="1">
        <v>0</v>
      </c>
      <c r="IF208" s="1">
        <v>0</v>
      </c>
      <c r="IG208" s="1">
        <v>0</v>
      </c>
      <c r="IH208" s="1">
        <v>0</v>
      </c>
      <c r="II208" s="1">
        <v>0</v>
      </c>
      <c r="IJ208" s="1">
        <v>0</v>
      </c>
      <c r="IK208" s="1">
        <v>0</v>
      </c>
      <c r="IL208" s="1">
        <v>0</v>
      </c>
      <c r="IM208" s="1">
        <v>0</v>
      </c>
      <c r="IN208" s="1">
        <v>0</v>
      </c>
      <c r="IO208" s="1">
        <v>337.18</v>
      </c>
      <c r="IP208" s="1">
        <v>296.5</v>
      </c>
      <c r="IQ208" s="1">
        <v>442.46</v>
      </c>
      <c r="IR208" s="1">
        <v>283.62</v>
      </c>
      <c r="IS208" s="1">
        <v>337.18</v>
      </c>
      <c r="IT208" s="1">
        <v>296.5</v>
      </c>
      <c r="IU208" s="1">
        <v>442.46</v>
      </c>
      <c r="IV208" s="1">
        <v>283.62</v>
      </c>
      <c r="IW208" s="1">
        <v>0</v>
      </c>
      <c r="IX208" s="1">
        <v>0</v>
      </c>
      <c r="IY208" s="1">
        <v>0</v>
      </c>
      <c r="IZ208" s="1">
        <v>0</v>
      </c>
      <c r="JA208" s="1">
        <v>0</v>
      </c>
      <c r="JB208" s="1">
        <v>0</v>
      </c>
      <c r="JC208" s="1">
        <v>0</v>
      </c>
      <c r="JD208" s="1">
        <v>0</v>
      </c>
      <c r="JE208" s="1">
        <v>0</v>
      </c>
      <c r="JF208" s="1">
        <v>0</v>
      </c>
      <c r="JG208" s="1">
        <v>0</v>
      </c>
      <c r="JH208" s="1">
        <v>0</v>
      </c>
      <c r="JI208" s="1">
        <v>0</v>
      </c>
      <c r="JJ208" s="1">
        <v>0</v>
      </c>
      <c r="JK208" s="1">
        <v>0</v>
      </c>
      <c r="JL208" s="1">
        <v>0</v>
      </c>
      <c r="JM208" s="1">
        <v>0</v>
      </c>
      <c r="JN208" s="1">
        <v>0</v>
      </c>
      <c r="JO208" s="1">
        <v>0</v>
      </c>
      <c r="JP208" s="1">
        <v>0</v>
      </c>
      <c r="JQ208" s="9"/>
      <c r="JR208" s="1">
        <f t="shared" si="48"/>
        <v>12492.314100000005</v>
      </c>
      <c r="JS208" s="1">
        <f t="shared" si="48"/>
        <v>12401.521199999997</v>
      </c>
      <c r="JT208" s="1">
        <f t="shared" si="48"/>
        <v>11498.611500000003</v>
      </c>
      <c r="JU208" s="1">
        <f t="shared" si="48"/>
        <v>11656.585800000003</v>
      </c>
      <c r="JV208" s="1">
        <f t="shared" si="49"/>
        <v>2313.3915000000011</v>
      </c>
      <c r="JW208" s="1">
        <f t="shared" si="49"/>
        <v>2296.5779999999995</v>
      </c>
      <c r="JX208" s="1">
        <f t="shared" si="49"/>
        <v>2129.3725000000004</v>
      </c>
      <c r="JY208" s="1">
        <f t="shared" si="49"/>
        <v>2158.6270000000004</v>
      </c>
    </row>
    <row r="209" spans="1:285" x14ac:dyDescent="0.35">
      <c r="A209" s="2" t="s">
        <v>216</v>
      </c>
      <c r="B209" s="1">
        <v>120051</v>
      </c>
      <c r="C209" s="1">
        <v>120823</v>
      </c>
      <c r="D209" s="1">
        <v>121194</v>
      </c>
      <c r="E209" s="1">
        <v>121774</v>
      </c>
      <c r="F209" s="1">
        <v>104389.531</v>
      </c>
      <c r="G209" s="1">
        <v>101619.54300000001</v>
      </c>
      <c r="H209" s="1">
        <v>91295.416999999987</v>
      </c>
      <c r="I209" s="1">
        <v>87499.265000000014</v>
      </c>
      <c r="J209" s="1">
        <f t="shared" si="50"/>
        <v>88553.807000000001</v>
      </c>
      <c r="K209" s="1">
        <f t="shared" si="51"/>
        <v>86382.827000000019</v>
      </c>
      <c r="L209" s="1">
        <f t="shared" si="52"/>
        <v>77673.813000000009</v>
      </c>
      <c r="M209" s="1">
        <f t="shared" si="53"/>
        <v>74140.52</v>
      </c>
      <c r="N209" s="1">
        <f t="shared" si="54"/>
        <v>15835.724000000002</v>
      </c>
      <c r="O209" s="1">
        <f t="shared" si="55"/>
        <v>15236.715999999986</v>
      </c>
      <c r="P209" s="1">
        <f t="shared" si="56"/>
        <v>13621.603999999978</v>
      </c>
      <c r="Q209" s="1">
        <f t="shared" si="57"/>
        <v>13358.74500000001</v>
      </c>
      <c r="R209" s="1">
        <v>0</v>
      </c>
      <c r="S209" s="1">
        <v>0</v>
      </c>
      <c r="T209" s="1">
        <v>0</v>
      </c>
      <c r="U209" s="1">
        <v>0</v>
      </c>
      <c r="V209" s="1">
        <v>0</v>
      </c>
      <c r="W209" s="1">
        <v>0</v>
      </c>
      <c r="X209" s="1">
        <v>0</v>
      </c>
      <c r="Y209" s="1">
        <v>0</v>
      </c>
      <c r="Z209" s="1">
        <v>0</v>
      </c>
      <c r="AA209" s="1">
        <v>0</v>
      </c>
      <c r="AB209" s="1">
        <v>0</v>
      </c>
      <c r="AC209" s="1">
        <v>0</v>
      </c>
      <c r="AD209" s="1">
        <v>0</v>
      </c>
      <c r="AE209" s="1">
        <v>0</v>
      </c>
      <c r="AF209" s="1">
        <v>0</v>
      </c>
      <c r="AG209" s="1">
        <v>0</v>
      </c>
      <c r="AH209" s="1">
        <v>0</v>
      </c>
      <c r="AI209" s="1">
        <v>0</v>
      </c>
      <c r="AJ209" s="1">
        <v>0</v>
      </c>
      <c r="AK209" s="1">
        <v>0</v>
      </c>
      <c r="AL209" s="1">
        <v>0</v>
      </c>
      <c r="AM209" s="1">
        <v>0</v>
      </c>
      <c r="AN209" s="1">
        <v>0</v>
      </c>
      <c r="AO209" s="1">
        <v>0</v>
      </c>
      <c r="AP209" s="1">
        <v>6911.7599999999993</v>
      </c>
      <c r="AQ209" s="1">
        <v>7892.4500000000007</v>
      </c>
      <c r="AR209" s="1">
        <v>6958.09</v>
      </c>
      <c r="AS209" s="1">
        <v>8537.17</v>
      </c>
      <c r="AT209" s="1">
        <v>0</v>
      </c>
      <c r="AU209" s="1">
        <v>6911.7599999999993</v>
      </c>
      <c r="AV209" s="1">
        <v>0</v>
      </c>
      <c r="AW209" s="1">
        <v>0</v>
      </c>
      <c r="AX209" s="1">
        <v>0</v>
      </c>
      <c r="AY209" s="1">
        <v>7892.4500000000007</v>
      </c>
      <c r="AZ209" s="1">
        <v>0</v>
      </c>
      <c r="BA209" s="1">
        <v>0</v>
      </c>
      <c r="BB209" s="1">
        <v>0</v>
      </c>
      <c r="BC209" s="1">
        <v>6958.09</v>
      </c>
      <c r="BD209" s="1">
        <v>0</v>
      </c>
      <c r="BE209" s="1">
        <v>0</v>
      </c>
      <c r="BF209" s="1">
        <v>8537.17</v>
      </c>
      <c r="BG209" s="1">
        <v>0</v>
      </c>
      <c r="BH209" s="1">
        <v>0</v>
      </c>
      <c r="BI209" s="1">
        <v>0</v>
      </c>
      <c r="BJ209" s="1">
        <v>0</v>
      </c>
      <c r="BK209" s="1">
        <v>0</v>
      </c>
      <c r="BL209" s="1">
        <v>0</v>
      </c>
      <c r="BM209" s="1">
        <v>0</v>
      </c>
      <c r="BN209" s="1">
        <v>0</v>
      </c>
      <c r="BO209" s="1">
        <v>0</v>
      </c>
      <c r="BP209" s="1">
        <v>0</v>
      </c>
      <c r="BQ209" s="1">
        <v>0</v>
      </c>
      <c r="BR209" s="1">
        <v>0</v>
      </c>
      <c r="BS209" s="1">
        <v>0</v>
      </c>
      <c r="BT209" s="1">
        <v>0</v>
      </c>
      <c r="BU209" s="1">
        <v>18677.405999999999</v>
      </c>
      <c r="BV209" s="1">
        <v>18005.815999999999</v>
      </c>
      <c r="BW209" s="1">
        <v>16303.875</v>
      </c>
      <c r="BX209" s="1">
        <v>14420.675999999999</v>
      </c>
      <c r="BY209" s="1">
        <v>18677.405999999999</v>
      </c>
      <c r="BZ209" s="1">
        <v>18005.815999999999</v>
      </c>
      <c r="CA209" s="1">
        <v>16303.875</v>
      </c>
      <c r="CB209" s="1">
        <v>14420.675999999999</v>
      </c>
      <c r="CC209" s="1">
        <v>0</v>
      </c>
      <c r="CD209" s="1">
        <v>0</v>
      </c>
      <c r="CE209" s="1">
        <v>0</v>
      </c>
      <c r="CF209" s="1">
        <v>0</v>
      </c>
      <c r="CG209" s="1">
        <v>0</v>
      </c>
      <c r="CH209" s="1">
        <v>0</v>
      </c>
      <c r="CI209" s="1">
        <v>0</v>
      </c>
      <c r="CJ209" s="1">
        <v>0</v>
      </c>
      <c r="CK209" s="1">
        <v>0</v>
      </c>
      <c r="CL209" s="1">
        <v>0</v>
      </c>
      <c r="CM209" s="1">
        <v>0</v>
      </c>
      <c r="CN209" s="1">
        <v>0</v>
      </c>
      <c r="CO209" s="1">
        <v>0</v>
      </c>
      <c r="CP209" s="1">
        <v>0</v>
      </c>
      <c r="CQ209" s="1">
        <v>0</v>
      </c>
      <c r="CR209" s="1">
        <v>0</v>
      </c>
      <c r="CS209" s="1">
        <v>28914.562000000002</v>
      </c>
      <c r="CT209" s="1">
        <v>26497.266</v>
      </c>
      <c r="CU209" s="1">
        <v>22598.562000000002</v>
      </c>
      <c r="CV209" s="1">
        <v>20992.985000000001</v>
      </c>
      <c r="CW209" s="1">
        <v>28914.562000000002</v>
      </c>
      <c r="CX209" s="1">
        <v>26497.266</v>
      </c>
      <c r="CY209" s="1">
        <v>22598.562000000002</v>
      </c>
      <c r="CZ209" s="1">
        <v>20992.985000000001</v>
      </c>
      <c r="DA209" s="1">
        <v>0</v>
      </c>
      <c r="DB209" s="1">
        <v>0</v>
      </c>
      <c r="DC209" s="1">
        <v>0</v>
      </c>
      <c r="DD209" s="1">
        <v>0</v>
      </c>
      <c r="DE209" s="1">
        <v>0</v>
      </c>
      <c r="DF209" s="1">
        <v>0</v>
      </c>
      <c r="DG209" s="1">
        <v>0</v>
      </c>
      <c r="DH209" s="1">
        <v>0</v>
      </c>
      <c r="DI209" s="1">
        <v>0</v>
      </c>
      <c r="DJ209" s="1">
        <v>0</v>
      </c>
      <c r="DK209" s="1">
        <v>0</v>
      </c>
      <c r="DL209" s="1">
        <v>0</v>
      </c>
      <c r="DM209" s="1">
        <v>13813.124</v>
      </c>
      <c r="DN209" s="1">
        <v>14109.085999999999</v>
      </c>
      <c r="DO209" s="1">
        <v>14364.851000000001</v>
      </c>
      <c r="DP209" s="1">
        <v>14251.088</v>
      </c>
      <c r="DQ209" s="1">
        <v>13813.124</v>
      </c>
      <c r="DR209" s="1">
        <v>14109.085999999999</v>
      </c>
      <c r="DS209" s="1">
        <v>14364.851000000001</v>
      </c>
      <c r="DT209" s="1">
        <v>14251.088</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18975.608</v>
      </c>
      <c r="EL209" s="1">
        <v>18398.026999999998</v>
      </c>
      <c r="EM209" s="1">
        <v>15970.415999999999</v>
      </c>
      <c r="EN209" s="1">
        <v>14079.948</v>
      </c>
      <c r="EO209" s="1">
        <v>18975.608</v>
      </c>
      <c r="EP209" s="1">
        <v>18398.026999999998</v>
      </c>
      <c r="EQ209" s="1">
        <v>15970.415999999999</v>
      </c>
      <c r="ER209" s="1">
        <v>14079.948</v>
      </c>
      <c r="ES209" s="1">
        <v>0</v>
      </c>
      <c r="ET209" s="1">
        <v>0</v>
      </c>
      <c r="EU209" s="1">
        <v>0</v>
      </c>
      <c r="EV209" s="1">
        <v>0</v>
      </c>
      <c r="EW209" s="1">
        <v>0</v>
      </c>
      <c r="EX209" s="1">
        <v>0</v>
      </c>
      <c r="EY209" s="1">
        <v>0</v>
      </c>
      <c r="EZ209" s="1">
        <v>0</v>
      </c>
      <c r="FA209" s="1">
        <v>0</v>
      </c>
      <c r="FB209" s="1">
        <v>0</v>
      </c>
      <c r="FC209" s="1">
        <v>0</v>
      </c>
      <c r="FD209" s="1">
        <v>0</v>
      </c>
      <c r="FE209" s="1">
        <v>230.428</v>
      </c>
      <c r="FF209" s="1">
        <v>257.089</v>
      </c>
      <c r="FG209" s="1">
        <v>310.25</v>
      </c>
      <c r="FH209" s="1">
        <v>261.66899999999998</v>
      </c>
      <c r="FI209" s="1">
        <v>0</v>
      </c>
      <c r="FJ209" s="1">
        <v>0</v>
      </c>
      <c r="FK209" s="1">
        <v>0</v>
      </c>
      <c r="FL209" s="1">
        <v>0</v>
      </c>
      <c r="FM209" s="1">
        <v>230.428</v>
      </c>
      <c r="FN209" s="1">
        <v>257.089</v>
      </c>
      <c r="FO209" s="1">
        <v>310.25</v>
      </c>
      <c r="FP209" s="1">
        <v>261.66899999999998</v>
      </c>
      <c r="FQ209" s="1">
        <v>0</v>
      </c>
      <c r="FR209" s="1">
        <v>0</v>
      </c>
      <c r="FS209" s="1">
        <v>0</v>
      </c>
      <c r="FT209" s="1">
        <v>0</v>
      </c>
      <c r="FU209" s="1">
        <v>0</v>
      </c>
      <c r="FV209" s="1">
        <v>0</v>
      </c>
      <c r="FW209" s="1">
        <v>0</v>
      </c>
      <c r="FX209" s="1">
        <v>0</v>
      </c>
      <c r="FY209" s="1">
        <v>0</v>
      </c>
      <c r="FZ209" s="1">
        <v>0</v>
      </c>
      <c r="GA209" s="1">
        <v>0</v>
      </c>
      <c r="GB209" s="1">
        <v>0</v>
      </c>
      <c r="GC209" s="1">
        <v>97.96</v>
      </c>
      <c r="GD209" s="1">
        <v>100.88</v>
      </c>
      <c r="GE209" s="1">
        <v>94.039999999999992</v>
      </c>
      <c r="GF209" s="1">
        <v>101.1</v>
      </c>
      <c r="GG209" s="1">
        <v>97.96</v>
      </c>
      <c r="GH209" s="1">
        <v>100.88</v>
      </c>
      <c r="GI209" s="1">
        <v>94.039999999999992</v>
      </c>
      <c r="GJ209" s="1">
        <v>101.1</v>
      </c>
      <c r="GK209" s="1">
        <v>0</v>
      </c>
      <c r="GL209" s="1">
        <v>0</v>
      </c>
      <c r="GM209" s="1">
        <v>0</v>
      </c>
      <c r="GN209" s="1">
        <v>0</v>
      </c>
      <c r="GO209" s="1">
        <v>0</v>
      </c>
      <c r="GP209" s="1">
        <v>0</v>
      </c>
      <c r="GQ209" s="1">
        <v>0</v>
      </c>
      <c r="GR209" s="1">
        <v>0</v>
      </c>
      <c r="GS209" s="1">
        <v>0</v>
      </c>
      <c r="GT209" s="1">
        <v>0</v>
      </c>
      <c r="GU209" s="1">
        <v>0</v>
      </c>
      <c r="GV209" s="1">
        <v>0</v>
      </c>
      <c r="GW209" s="1">
        <v>0</v>
      </c>
      <c r="GX209" s="1">
        <v>0</v>
      </c>
      <c r="GY209" s="1">
        <v>0</v>
      </c>
      <c r="GZ209" s="1">
        <v>0</v>
      </c>
      <c r="HA209" s="1">
        <v>0</v>
      </c>
      <c r="HB209" s="1">
        <v>0</v>
      </c>
      <c r="HC209" s="1">
        <v>0</v>
      </c>
      <c r="HD209" s="1">
        <v>0</v>
      </c>
      <c r="HE209" s="1">
        <v>0</v>
      </c>
      <c r="HF209" s="1">
        <v>0</v>
      </c>
      <c r="HG209" s="1">
        <v>0</v>
      </c>
      <c r="HH209" s="1">
        <v>0</v>
      </c>
      <c r="HI209" s="1">
        <v>0</v>
      </c>
      <c r="HJ209" s="1">
        <v>0</v>
      </c>
      <c r="HK209" s="1">
        <v>0</v>
      </c>
      <c r="HL209" s="1">
        <v>0</v>
      </c>
      <c r="HM209" s="1">
        <v>0</v>
      </c>
      <c r="HN209" s="1">
        <v>0</v>
      </c>
      <c r="HO209" s="1">
        <v>0</v>
      </c>
      <c r="HP209" s="1">
        <v>0</v>
      </c>
      <c r="HQ209" s="1">
        <v>0</v>
      </c>
      <c r="HR209" s="1">
        <v>0</v>
      </c>
      <c r="HS209" s="1">
        <v>0</v>
      </c>
      <c r="HT209" s="1">
        <v>0</v>
      </c>
      <c r="HU209" s="1">
        <v>0</v>
      </c>
      <c r="HV209" s="1">
        <v>0</v>
      </c>
      <c r="HW209" s="1">
        <v>0</v>
      </c>
      <c r="HX209" s="1">
        <v>0</v>
      </c>
      <c r="HY209" s="1">
        <v>0</v>
      </c>
      <c r="HZ209" s="1">
        <v>0</v>
      </c>
      <c r="IA209" s="1">
        <v>0</v>
      </c>
      <c r="IB209" s="1">
        <v>0</v>
      </c>
      <c r="IC209" s="1">
        <v>0</v>
      </c>
      <c r="ID209" s="1">
        <v>0</v>
      </c>
      <c r="IE209" s="1">
        <v>0</v>
      </c>
      <c r="IF209" s="1">
        <v>0</v>
      </c>
      <c r="IG209" s="1">
        <v>0</v>
      </c>
      <c r="IH209" s="1">
        <v>0</v>
      </c>
      <c r="II209" s="1">
        <v>0</v>
      </c>
      <c r="IJ209" s="1">
        <v>0</v>
      </c>
      <c r="IK209" s="1">
        <v>0</v>
      </c>
      <c r="IL209" s="1">
        <v>0</v>
      </c>
      <c r="IM209" s="1">
        <v>0</v>
      </c>
      <c r="IN209" s="1">
        <v>0</v>
      </c>
      <c r="IO209" s="1">
        <v>932.95899999999995</v>
      </c>
      <c r="IP209" s="1">
        <v>1122.213</v>
      </c>
      <c r="IQ209" s="1">
        <v>1073.729</v>
      </c>
      <c r="IR209" s="1">
        <v>1495.884</v>
      </c>
      <c r="IS209" s="1">
        <v>932.95899999999995</v>
      </c>
      <c r="IT209" s="1">
        <v>1122.213</v>
      </c>
      <c r="IU209" s="1">
        <v>1073.729</v>
      </c>
      <c r="IV209" s="1">
        <v>1495.884</v>
      </c>
      <c r="IW209" s="1">
        <v>0</v>
      </c>
      <c r="IX209" s="1">
        <v>0</v>
      </c>
      <c r="IY209" s="1">
        <v>0</v>
      </c>
      <c r="IZ209" s="1">
        <v>0</v>
      </c>
      <c r="JA209" s="1">
        <v>0</v>
      </c>
      <c r="JB209" s="1">
        <v>0</v>
      </c>
      <c r="JC209" s="1">
        <v>0</v>
      </c>
      <c r="JD209" s="1">
        <v>0</v>
      </c>
      <c r="JE209" s="1">
        <v>0</v>
      </c>
      <c r="JF209" s="1">
        <v>0</v>
      </c>
      <c r="JG209" s="1">
        <v>0</v>
      </c>
      <c r="JH209" s="1">
        <v>0</v>
      </c>
      <c r="JI209" s="1">
        <v>0</v>
      </c>
      <c r="JJ209" s="1">
        <v>0</v>
      </c>
      <c r="JK209" s="1">
        <v>0</v>
      </c>
      <c r="JL209" s="1">
        <v>0</v>
      </c>
      <c r="JM209" s="1">
        <v>0</v>
      </c>
      <c r="JN209" s="1">
        <v>0</v>
      </c>
      <c r="JO209" s="1">
        <v>0</v>
      </c>
      <c r="JP209" s="1">
        <v>0</v>
      </c>
      <c r="JQ209" s="9"/>
      <c r="JR209" s="1">
        <f t="shared" si="48"/>
        <v>4275.645480000001</v>
      </c>
      <c r="JS209" s="1">
        <f t="shared" si="48"/>
        <v>4113.913319999996</v>
      </c>
      <c r="JT209" s="1">
        <f t="shared" si="48"/>
        <v>3677.833079999994</v>
      </c>
      <c r="JU209" s="1">
        <f t="shared" si="48"/>
        <v>3606.8611500000029</v>
      </c>
      <c r="JV209" s="1">
        <f t="shared" si="49"/>
        <v>791.78620000000012</v>
      </c>
      <c r="JW209" s="1">
        <f t="shared" si="49"/>
        <v>761.83579999999938</v>
      </c>
      <c r="JX209" s="1">
        <f t="shared" si="49"/>
        <v>681.08019999999897</v>
      </c>
      <c r="JY209" s="1">
        <f t="shared" si="49"/>
        <v>667.93725000000052</v>
      </c>
    </row>
    <row r="210" spans="1:285" x14ac:dyDescent="0.35">
      <c r="A210" s="2" t="s">
        <v>217</v>
      </c>
      <c r="B210" s="1">
        <v>555036</v>
      </c>
      <c r="C210" s="1">
        <v>555035</v>
      </c>
      <c r="D210" s="1">
        <v>565987</v>
      </c>
      <c r="E210" s="1">
        <v>575586</v>
      </c>
      <c r="F210" s="1">
        <v>397629.32</v>
      </c>
      <c r="G210" s="1">
        <v>394891.6</v>
      </c>
      <c r="H210" s="1">
        <v>372651.6</v>
      </c>
      <c r="I210" s="1">
        <v>367978.6</v>
      </c>
      <c r="J210" s="1">
        <f t="shared" si="50"/>
        <v>73086.820000000007</v>
      </c>
      <c r="K210" s="1">
        <f t="shared" si="51"/>
        <v>76789.289999999994</v>
      </c>
      <c r="L210" s="1">
        <f t="shared" si="52"/>
        <v>76395.100000000006</v>
      </c>
      <c r="M210" s="1">
        <f t="shared" si="53"/>
        <v>72618.8</v>
      </c>
      <c r="N210" s="1">
        <f t="shared" si="54"/>
        <v>324542.5</v>
      </c>
      <c r="O210" s="1">
        <f t="shared" si="55"/>
        <v>318102.31</v>
      </c>
      <c r="P210" s="1">
        <f t="shared" si="56"/>
        <v>296256.5</v>
      </c>
      <c r="Q210" s="1">
        <f t="shared" si="57"/>
        <v>295359.8</v>
      </c>
      <c r="R210" s="1">
        <v>0</v>
      </c>
      <c r="S210" s="1">
        <v>0</v>
      </c>
      <c r="T210" s="1">
        <v>0</v>
      </c>
      <c r="U210" s="1">
        <v>0</v>
      </c>
      <c r="V210" s="1">
        <v>0</v>
      </c>
      <c r="W210" s="1">
        <v>0</v>
      </c>
      <c r="X210" s="1">
        <v>0</v>
      </c>
      <c r="Y210" s="1">
        <v>0</v>
      </c>
      <c r="Z210" s="1">
        <v>0</v>
      </c>
      <c r="AA210" s="1">
        <v>0</v>
      </c>
      <c r="AB210" s="1">
        <v>0</v>
      </c>
      <c r="AC210" s="1">
        <v>0</v>
      </c>
      <c r="AD210" s="1">
        <v>0</v>
      </c>
      <c r="AE210" s="1">
        <v>0</v>
      </c>
      <c r="AF210" s="1">
        <v>0</v>
      </c>
      <c r="AG210" s="1">
        <v>0</v>
      </c>
      <c r="AH210" s="1">
        <v>0</v>
      </c>
      <c r="AI210" s="1">
        <v>0</v>
      </c>
      <c r="AJ210" s="1">
        <v>0</v>
      </c>
      <c r="AK210" s="1">
        <v>0</v>
      </c>
      <c r="AL210" s="1">
        <v>0</v>
      </c>
      <c r="AM210" s="1">
        <v>0</v>
      </c>
      <c r="AN210" s="1">
        <v>0</v>
      </c>
      <c r="AO210" s="1">
        <v>0</v>
      </c>
      <c r="AP210" s="1">
        <v>11286</v>
      </c>
      <c r="AQ210" s="1">
        <v>11775.599999999999</v>
      </c>
      <c r="AR210" s="1">
        <v>11368.3</v>
      </c>
      <c r="AS210" s="1">
        <v>12741.7</v>
      </c>
      <c r="AT210" s="1">
        <v>0</v>
      </c>
      <c r="AU210" s="1">
        <v>11286</v>
      </c>
      <c r="AV210" s="1">
        <v>0</v>
      </c>
      <c r="AW210" s="1">
        <v>0</v>
      </c>
      <c r="AX210" s="1">
        <v>0</v>
      </c>
      <c r="AY210" s="1">
        <v>11775.599999999999</v>
      </c>
      <c r="AZ210" s="1">
        <v>0</v>
      </c>
      <c r="BA210" s="1">
        <v>0</v>
      </c>
      <c r="BB210" s="1">
        <v>0</v>
      </c>
      <c r="BC210" s="1">
        <v>11368.3</v>
      </c>
      <c r="BD210" s="1">
        <v>0</v>
      </c>
      <c r="BE210" s="1">
        <v>0</v>
      </c>
      <c r="BF210" s="1">
        <v>12741.7</v>
      </c>
      <c r="BG210" s="1">
        <v>0</v>
      </c>
      <c r="BH210" s="1">
        <v>0</v>
      </c>
      <c r="BI210" s="1">
        <v>0</v>
      </c>
      <c r="BJ210" s="1">
        <v>0</v>
      </c>
      <c r="BK210" s="1">
        <v>0</v>
      </c>
      <c r="BL210" s="1">
        <v>0</v>
      </c>
      <c r="BM210" s="1">
        <v>0</v>
      </c>
      <c r="BN210" s="1">
        <v>0</v>
      </c>
      <c r="BO210" s="1">
        <v>0</v>
      </c>
      <c r="BP210" s="1">
        <v>0</v>
      </c>
      <c r="BQ210" s="1">
        <v>0</v>
      </c>
      <c r="BR210" s="1">
        <v>0</v>
      </c>
      <c r="BS210" s="1">
        <v>0</v>
      </c>
      <c r="BT210" s="1">
        <v>0</v>
      </c>
      <c r="BU210" s="1">
        <v>15451.5</v>
      </c>
      <c r="BV210" s="1">
        <v>16240</v>
      </c>
      <c r="BW210" s="1">
        <v>16092.3</v>
      </c>
      <c r="BX210" s="1">
        <v>14912.5</v>
      </c>
      <c r="BY210" s="1">
        <v>15451.5</v>
      </c>
      <c r="BZ210" s="1">
        <v>16240</v>
      </c>
      <c r="CA210" s="1">
        <v>16092.3</v>
      </c>
      <c r="CB210" s="1">
        <v>14912.5</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8562.08</v>
      </c>
      <c r="CT210" s="1">
        <v>9235.9</v>
      </c>
      <c r="CU210" s="1">
        <v>9350</v>
      </c>
      <c r="CV210" s="1">
        <v>10941.9</v>
      </c>
      <c r="CW210" s="1">
        <v>8562.08</v>
      </c>
      <c r="CX210" s="1">
        <v>9235.9</v>
      </c>
      <c r="CY210" s="1">
        <v>9350</v>
      </c>
      <c r="CZ210" s="1">
        <v>10941.9</v>
      </c>
      <c r="DA210" s="1">
        <v>0</v>
      </c>
      <c r="DB210" s="1">
        <v>0</v>
      </c>
      <c r="DC210" s="1">
        <v>0</v>
      </c>
      <c r="DD210" s="1">
        <v>0</v>
      </c>
      <c r="DE210" s="1">
        <v>0</v>
      </c>
      <c r="DF210" s="1">
        <v>0</v>
      </c>
      <c r="DG210" s="1">
        <v>0</v>
      </c>
      <c r="DH210" s="1">
        <v>0</v>
      </c>
      <c r="DI210" s="1">
        <v>0</v>
      </c>
      <c r="DJ210" s="1">
        <v>0</v>
      </c>
      <c r="DK210" s="1">
        <v>0</v>
      </c>
      <c r="DL210" s="1">
        <v>0</v>
      </c>
      <c r="DM210" s="1">
        <v>12911.62</v>
      </c>
      <c r="DN210" s="1">
        <v>13779.3</v>
      </c>
      <c r="DO210" s="1">
        <v>12521.6</v>
      </c>
      <c r="DP210" s="1">
        <v>9745.2999999999993</v>
      </c>
      <c r="DQ210" s="1">
        <v>12911.62</v>
      </c>
      <c r="DR210" s="1">
        <v>13779.3</v>
      </c>
      <c r="DS210" s="1">
        <v>12521.6</v>
      </c>
      <c r="DT210" s="1">
        <v>9745.2999999999993</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10024.84</v>
      </c>
      <c r="EL210" s="1">
        <v>11373.89</v>
      </c>
      <c r="EM210" s="1">
        <v>11342.8</v>
      </c>
      <c r="EN210" s="1">
        <v>10272</v>
      </c>
      <c r="EO210" s="1">
        <v>10024.84</v>
      </c>
      <c r="EP210" s="1">
        <v>11373.89</v>
      </c>
      <c r="EQ210" s="1">
        <v>11342.8</v>
      </c>
      <c r="ER210" s="1">
        <v>10272</v>
      </c>
      <c r="ES210" s="1">
        <v>0</v>
      </c>
      <c r="ET210" s="1">
        <v>0</v>
      </c>
      <c r="EU210" s="1">
        <v>0</v>
      </c>
      <c r="EV210" s="1">
        <v>0</v>
      </c>
      <c r="EW210" s="1">
        <v>0</v>
      </c>
      <c r="EX210" s="1">
        <v>0</v>
      </c>
      <c r="EY210" s="1">
        <v>0</v>
      </c>
      <c r="EZ210" s="1">
        <v>0</v>
      </c>
      <c r="FA210" s="1">
        <v>0</v>
      </c>
      <c r="FB210" s="1">
        <v>0</v>
      </c>
      <c r="FC210" s="1">
        <v>0</v>
      </c>
      <c r="FD210" s="1">
        <v>0</v>
      </c>
      <c r="FE210" s="1">
        <v>173.1</v>
      </c>
      <c r="FF210" s="1">
        <v>252.7</v>
      </c>
      <c r="FG210" s="1">
        <v>271.39999999999998</v>
      </c>
      <c r="FH210" s="1">
        <v>113.9</v>
      </c>
      <c r="FI210" s="1">
        <v>0</v>
      </c>
      <c r="FJ210" s="1">
        <v>0</v>
      </c>
      <c r="FK210" s="1">
        <v>0</v>
      </c>
      <c r="FL210" s="1">
        <v>0</v>
      </c>
      <c r="FM210" s="1">
        <v>173.1</v>
      </c>
      <c r="FN210" s="1">
        <v>252.7</v>
      </c>
      <c r="FO210" s="1">
        <v>271.39999999999998</v>
      </c>
      <c r="FP210" s="1">
        <v>113.9</v>
      </c>
      <c r="FQ210" s="1">
        <v>0</v>
      </c>
      <c r="FR210" s="1">
        <v>0</v>
      </c>
      <c r="FS210" s="1">
        <v>0</v>
      </c>
      <c r="FT210" s="1">
        <v>0</v>
      </c>
      <c r="FU210" s="1">
        <v>0</v>
      </c>
      <c r="FV210" s="1">
        <v>0</v>
      </c>
      <c r="FW210" s="1">
        <v>0</v>
      </c>
      <c r="FX210" s="1">
        <v>0</v>
      </c>
      <c r="FY210" s="1">
        <v>0</v>
      </c>
      <c r="FZ210" s="1">
        <v>0</v>
      </c>
      <c r="GA210" s="1">
        <v>0</v>
      </c>
      <c r="GB210" s="1">
        <v>0</v>
      </c>
      <c r="GC210" s="1">
        <v>5832</v>
      </c>
      <c r="GD210" s="1">
        <v>6214.4999999999991</v>
      </c>
      <c r="GE210" s="1">
        <v>7920.1</v>
      </c>
      <c r="GF210" s="1">
        <v>6283.8</v>
      </c>
      <c r="GG210" s="1">
        <v>5832</v>
      </c>
      <c r="GH210" s="1">
        <v>6214.4999999999991</v>
      </c>
      <c r="GI210" s="1">
        <v>7920.1</v>
      </c>
      <c r="GJ210" s="1">
        <v>6283.8</v>
      </c>
      <c r="GK210" s="1">
        <v>0</v>
      </c>
      <c r="GL210" s="1">
        <v>0</v>
      </c>
      <c r="GM210" s="1">
        <v>0</v>
      </c>
      <c r="GN210" s="1">
        <v>0</v>
      </c>
      <c r="GO210" s="1">
        <v>0</v>
      </c>
      <c r="GP210" s="1">
        <v>0</v>
      </c>
      <c r="GQ210" s="1">
        <v>0</v>
      </c>
      <c r="GR210" s="1">
        <v>0</v>
      </c>
      <c r="GS210" s="1">
        <v>0</v>
      </c>
      <c r="GT210" s="1">
        <v>0</v>
      </c>
      <c r="GU210" s="1">
        <v>0</v>
      </c>
      <c r="GV210" s="1">
        <v>0</v>
      </c>
      <c r="GW210" s="1">
        <v>0</v>
      </c>
      <c r="GX210" s="1">
        <v>0</v>
      </c>
      <c r="GY210" s="1">
        <v>0</v>
      </c>
      <c r="GZ210" s="1">
        <v>0</v>
      </c>
      <c r="HA210" s="1">
        <v>0</v>
      </c>
      <c r="HB210" s="1">
        <v>0</v>
      </c>
      <c r="HC210" s="1">
        <v>0</v>
      </c>
      <c r="HD210" s="1">
        <v>0</v>
      </c>
      <c r="HE210" s="1">
        <v>6139.08</v>
      </c>
      <c r="HF210" s="1">
        <v>6239.5</v>
      </c>
      <c r="HG210" s="1">
        <v>6013.9999999999991</v>
      </c>
      <c r="HH210" s="1">
        <v>6073.4</v>
      </c>
      <c r="HI210" s="1">
        <v>6139.08</v>
      </c>
      <c r="HJ210" s="1">
        <v>6239.5</v>
      </c>
      <c r="HK210" s="1">
        <v>6013.9999999999991</v>
      </c>
      <c r="HL210" s="1">
        <v>6073.4</v>
      </c>
      <c r="HM210" s="1">
        <v>0</v>
      </c>
      <c r="HN210" s="1">
        <v>0</v>
      </c>
      <c r="HO210" s="1">
        <v>0</v>
      </c>
      <c r="HP210" s="1">
        <v>0</v>
      </c>
      <c r="HQ210" s="1">
        <v>0</v>
      </c>
      <c r="HR210" s="1">
        <v>0</v>
      </c>
      <c r="HS210" s="1">
        <v>0</v>
      </c>
      <c r="HT210" s="1">
        <v>0</v>
      </c>
      <c r="HU210" s="1">
        <v>0</v>
      </c>
      <c r="HV210" s="1">
        <v>0</v>
      </c>
      <c r="HW210" s="1">
        <v>0</v>
      </c>
      <c r="HX210" s="1">
        <v>0</v>
      </c>
      <c r="HY210" s="1">
        <v>0</v>
      </c>
      <c r="HZ210" s="1">
        <v>0</v>
      </c>
      <c r="IA210" s="1">
        <v>0</v>
      </c>
      <c r="IB210" s="1">
        <v>0</v>
      </c>
      <c r="IC210" s="1">
        <v>0</v>
      </c>
      <c r="ID210" s="1">
        <v>0</v>
      </c>
      <c r="IE210" s="1">
        <v>0</v>
      </c>
      <c r="IF210" s="1">
        <v>0</v>
      </c>
      <c r="IG210" s="1">
        <v>0</v>
      </c>
      <c r="IH210" s="1">
        <v>0</v>
      </c>
      <c r="II210" s="1">
        <v>0</v>
      </c>
      <c r="IJ210" s="1">
        <v>0</v>
      </c>
      <c r="IK210" s="1">
        <v>0</v>
      </c>
      <c r="IL210" s="1">
        <v>0</v>
      </c>
      <c r="IM210" s="1">
        <v>0</v>
      </c>
      <c r="IN210" s="1">
        <v>0</v>
      </c>
      <c r="IO210" s="1">
        <v>2706.6</v>
      </c>
      <c r="IP210" s="1">
        <v>1677.9</v>
      </c>
      <c r="IQ210" s="1">
        <v>1514.6</v>
      </c>
      <c r="IR210" s="1">
        <v>1534.3</v>
      </c>
      <c r="IS210" s="1">
        <v>2662</v>
      </c>
      <c r="IT210" s="1">
        <v>1661.9</v>
      </c>
      <c r="IU210" s="1">
        <v>1444.7</v>
      </c>
      <c r="IV210" s="1">
        <v>1534.3</v>
      </c>
      <c r="IW210" s="1">
        <v>44.6</v>
      </c>
      <c r="IX210" s="1">
        <v>16</v>
      </c>
      <c r="IY210" s="1">
        <v>69.900000000000006</v>
      </c>
      <c r="IZ210" s="1">
        <v>0</v>
      </c>
      <c r="JA210" s="1">
        <v>0</v>
      </c>
      <c r="JB210" s="1">
        <v>0</v>
      </c>
      <c r="JC210" s="1">
        <v>0</v>
      </c>
      <c r="JD210" s="1">
        <v>0</v>
      </c>
      <c r="JE210" s="1">
        <v>0</v>
      </c>
      <c r="JF210" s="1">
        <v>0</v>
      </c>
      <c r="JG210" s="1">
        <v>0</v>
      </c>
      <c r="JH210" s="1">
        <v>0</v>
      </c>
      <c r="JI210" s="1">
        <v>0</v>
      </c>
      <c r="JJ210" s="1">
        <v>0</v>
      </c>
      <c r="JK210" s="1">
        <v>0</v>
      </c>
      <c r="JL210" s="1">
        <v>0</v>
      </c>
      <c r="JM210" s="1">
        <v>0</v>
      </c>
      <c r="JN210" s="1">
        <v>0</v>
      </c>
      <c r="JO210" s="1">
        <v>0</v>
      </c>
      <c r="JP210" s="1">
        <v>0</v>
      </c>
      <c r="JQ210" s="9"/>
      <c r="JR210" s="1">
        <f t="shared" si="48"/>
        <v>87626.475000000006</v>
      </c>
      <c r="JS210" s="1">
        <f t="shared" si="48"/>
        <v>85887.623700000011</v>
      </c>
      <c r="JT210" s="1">
        <f t="shared" si="48"/>
        <v>79989.255000000005</v>
      </c>
      <c r="JU210" s="1">
        <f t="shared" si="48"/>
        <v>79747.146000000008</v>
      </c>
      <c r="JV210" s="1">
        <f t="shared" si="49"/>
        <v>16227.125</v>
      </c>
      <c r="JW210" s="1">
        <f t="shared" si="49"/>
        <v>15905.1155</v>
      </c>
      <c r="JX210" s="1">
        <f t="shared" si="49"/>
        <v>14812.825000000001</v>
      </c>
      <c r="JY210" s="1">
        <f t="shared" si="49"/>
        <v>14767.99</v>
      </c>
    </row>
    <row r="211" spans="1:285" x14ac:dyDescent="0.35">
      <c r="A211" s="2" t="s">
        <v>218</v>
      </c>
      <c r="B211" s="1">
        <v>321054</v>
      </c>
      <c r="C211" s="1">
        <v>324669</v>
      </c>
      <c r="D211" s="1">
        <v>327352</v>
      </c>
      <c r="E211" s="1">
        <v>329558</v>
      </c>
      <c r="F211" s="1">
        <v>287387.712</v>
      </c>
      <c r="G211" s="1">
        <v>296190.99400000001</v>
      </c>
      <c r="H211" s="1">
        <v>270795.49</v>
      </c>
      <c r="I211" s="1">
        <v>268068.53999999998</v>
      </c>
      <c r="J211" s="1">
        <f t="shared" si="50"/>
        <v>103160.68699999999</v>
      </c>
      <c r="K211" s="1">
        <f t="shared" si="51"/>
        <v>105222.224</v>
      </c>
      <c r="L211" s="1">
        <f t="shared" si="52"/>
        <v>91963.68</v>
      </c>
      <c r="M211" s="1">
        <f t="shared" si="53"/>
        <v>91060.279999999984</v>
      </c>
      <c r="N211" s="1">
        <f t="shared" si="54"/>
        <v>184227.02500000002</v>
      </c>
      <c r="O211" s="1">
        <f t="shared" si="55"/>
        <v>190968.77000000002</v>
      </c>
      <c r="P211" s="1">
        <f t="shared" si="56"/>
        <v>178831.81</v>
      </c>
      <c r="Q211" s="1">
        <f t="shared" si="57"/>
        <v>177008.26</v>
      </c>
      <c r="R211" s="1">
        <v>0</v>
      </c>
      <c r="S211" s="1">
        <v>0</v>
      </c>
      <c r="T211" s="1">
        <v>0</v>
      </c>
      <c r="U211" s="1">
        <v>0</v>
      </c>
      <c r="V211" s="1">
        <v>0</v>
      </c>
      <c r="W211" s="1">
        <v>0</v>
      </c>
      <c r="X211" s="1">
        <v>0</v>
      </c>
      <c r="Y211" s="1">
        <v>0</v>
      </c>
      <c r="Z211" s="1">
        <v>0</v>
      </c>
      <c r="AA211" s="1">
        <v>0</v>
      </c>
      <c r="AB211" s="1">
        <v>0</v>
      </c>
      <c r="AC211" s="1">
        <v>0</v>
      </c>
      <c r="AD211" s="1">
        <v>0</v>
      </c>
      <c r="AE211" s="1">
        <v>0</v>
      </c>
      <c r="AF211" s="1">
        <v>0</v>
      </c>
      <c r="AG211" s="1">
        <v>0</v>
      </c>
      <c r="AH211" s="1">
        <v>0</v>
      </c>
      <c r="AI211" s="1">
        <v>0</v>
      </c>
      <c r="AJ211" s="1">
        <v>0</v>
      </c>
      <c r="AK211" s="1">
        <v>0</v>
      </c>
      <c r="AL211" s="1">
        <v>0</v>
      </c>
      <c r="AM211" s="1">
        <v>0</v>
      </c>
      <c r="AN211" s="1">
        <v>0</v>
      </c>
      <c r="AO211" s="1">
        <v>0</v>
      </c>
      <c r="AP211" s="1">
        <v>49615.456999999995</v>
      </c>
      <c r="AQ211" s="1">
        <v>48342.100000000006</v>
      </c>
      <c r="AR211" s="1">
        <v>42477.16</v>
      </c>
      <c r="AS211" s="1">
        <v>49121.899999999994</v>
      </c>
      <c r="AT211" s="1">
        <v>33410.479999999996</v>
      </c>
      <c r="AU211" s="1">
        <v>16204.976999999999</v>
      </c>
      <c r="AV211" s="1">
        <v>0</v>
      </c>
      <c r="AW211" s="1">
        <v>0</v>
      </c>
      <c r="AX211" s="1">
        <v>33007.949999999997</v>
      </c>
      <c r="AY211" s="1">
        <v>15334.150000000009</v>
      </c>
      <c r="AZ211" s="1">
        <v>0</v>
      </c>
      <c r="BA211" s="1">
        <v>0</v>
      </c>
      <c r="BB211" s="1">
        <v>29205.42</v>
      </c>
      <c r="BC211" s="1">
        <v>13271.740000000005</v>
      </c>
      <c r="BD211" s="1">
        <v>0</v>
      </c>
      <c r="BE211" s="1">
        <v>32639.229999999996</v>
      </c>
      <c r="BF211" s="1">
        <v>16482.669999999998</v>
      </c>
      <c r="BG211" s="1">
        <v>0</v>
      </c>
      <c r="BH211" s="1">
        <v>0</v>
      </c>
      <c r="BI211" s="1">
        <v>0</v>
      </c>
      <c r="BJ211" s="1">
        <v>0</v>
      </c>
      <c r="BK211" s="1">
        <v>0</v>
      </c>
      <c r="BL211" s="1">
        <v>0</v>
      </c>
      <c r="BM211" s="1">
        <v>0</v>
      </c>
      <c r="BN211" s="1">
        <v>0</v>
      </c>
      <c r="BO211" s="1">
        <v>0</v>
      </c>
      <c r="BP211" s="1">
        <v>0</v>
      </c>
      <c r="BQ211" s="1">
        <v>0</v>
      </c>
      <c r="BR211" s="1">
        <v>0</v>
      </c>
      <c r="BS211" s="1">
        <v>0</v>
      </c>
      <c r="BT211" s="1">
        <v>0</v>
      </c>
      <c r="BU211" s="1">
        <v>20831.509999999998</v>
      </c>
      <c r="BV211" s="1">
        <v>21453.08</v>
      </c>
      <c r="BW211" s="1">
        <v>18849.23</v>
      </c>
      <c r="BX211" s="1">
        <v>10414.31</v>
      </c>
      <c r="BY211" s="1">
        <v>20687.740000000002</v>
      </c>
      <c r="BZ211" s="1">
        <v>21305.8</v>
      </c>
      <c r="CA211" s="1">
        <v>18849.23</v>
      </c>
      <c r="CB211" s="1">
        <v>10414.31</v>
      </c>
      <c r="CC211" s="1">
        <v>143.77000000000001</v>
      </c>
      <c r="CD211" s="1">
        <v>147.28</v>
      </c>
      <c r="CE211" s="1">
        <v>0</v>
      </c>
      <c r="CF211" s="1">
        <v>0</v>
      </c>
      <c r="CG211" s="1">
        <v>0</v>
      </c>
      <c r="CH211" s="1">
        <v>0</v>
      </c>
      <c r="CI211" s="1">
        <v>0</v>
      </c>
      <c r="CJ211" s="1">
        <v>0</v>
      </c>
      <c r="CK211" s="1">
        <v>0</v>
      </c>
      <c r="CL211" s="1">
        <v>0</v>
      </c>
      <c r="CM211" s="1">
        <v>0</v>
      </c>
      <c r="CN211" s="1">
        <v>0</v>
      </c>
      <c r="CO211" s="1">
        <v>0</v>
      </c>
      <c r="CP211" s="1">
        <v>0</v>
      </c>
      <c r="CQ211" s="1">
        <v>0</v>
      </c>
      <c r="CR211" s="1">
        <v>0</v>
      </c>
      <c r="CS211" s="1">
        <v>2634.61</v>
      </c>
      <c r="CT211" s="1">
        <v>4598.66</v>
      </c>
      <c r="CU211" s="1">
        <v>3331.96</v>
      </c>
      <c r="CV211" s="1">
        <v>4209.71</v>
      </c>
      <c r="CW211" s="1">
        <v>2378.16</v>
      </c>
      <c r="CX211" s="1">
        <v>4598.66</v>
      </c>
      <c r="CY211" s="1">
        <v>3331.96</v>
      </c>
      <c r="CZ211" s="1">
        <v>4209.71</v>
      </c>
      <c r="DA211" s="1">
        <v>256.45</v>
      </c>
      <c r="DB211" s="1">
        <v>0</v>
      </c>
      <c r="DC211" s="1">
        <v>0</v>
      </c>
      <c r="DD211" s="1">
        <v>0</v>
      </c>
      <c r="DE211" s="1">
        <v>0</v>
      </c>
      <c r="DF211" s="1">
        <v>0</v>
      </c>
      <c r="DG211" s="1">
        <v>0</v>
      </c>
      <c r="DH211" s="1">
        <v>0</v>
      </c>
      <c r="DI211" s="1">
        <v>0</v>
      </c>
      <c r="DJ211" s="1">
        <v>0</v>
      </c>
      <c r="DK211" s="1">
        <v>0</v>
      </c>
      <c r="DL211" s="1">
        <v>0</v>
      </c>
      <c r="DM211" s="1">
        <v>11564.6</v>
      </c>
      <c r="DN211" s="1">
        <v>12101.44</v>
      </c>
      <c r="DO211" s="1">
        <v>10260.6</v>
      </c>
      <c r="DP211" s="1">
        <v>9837.35</v>
      </c>
      <c r="DQ211" s="1">
        <v>11564.6</v>
      </c>
      <c r="DR211" s="1">
        <v>12101.44</v>
      </c>
      <c r="DS211" s="1">
        <v>10260.6</v>
      </c>
      <c r="DT211" s="1">
        <v>9837.35</v>
      </c>
      <c r="DU211" s="1">
        <v>0</v>
      </c>
      <c r="DV211" s="1">
        <v>0</v>
      </c>
      <c r="DW211" s="1">
        <v>0</v>
      </c>
      <c r="DX211" s="1">
        <v>0</v>
      </c>
      <c r="DY211" s="1">
        <v>0</v>
      </c>
      <c r="DZ211" s="1">
        <v>0</v>
      </c>
      <c r="EA211" s="1">
        <v>0</v>
      </c>
      <c r="EB211" s="1">
        <v>0</v>
      </c>
      <c r="EC211" s="1">
        <v>0</v>
      </c>
      <c r="ED211" s="1">
        <v>0</v>
      </c>
      <c r="EE211" s="1">
        <v>0</v>
      </c>
      <c r="EF211" s="1">
        <v>0</v>
      </c>
      <c r="EG211" s="1">
        <v>0</v>
      </c>
      <c r="EH211" s="1">
        <v>0</v>
      </c>
      <c r="EI211" s="1">
        <v>0</v>
      </c>
      <c r="EJ211" s="1">
        <v>0</v>
      </c>
      <c r="EK211" s="1">
        <v>5534.33</v>
      </c>
      <c r="EL211" s="1">
        <v>5498.9</v>
      </c>
      <c r="EM211" s="1">
        <v>5239.93</v>
      </c>
      <c r="EN211" s="1">
        <v>5890.46</v>
      </c>
      <c r="EO211" s="1">
        <v>5498.6900000000014</v>
      </c>
      <c r="EP211" s="1">
        <v>5460.52</v>
      </c>
      <c r="EQ211" s="1">
        <v>5207.37</v>
      </c>
      <c r="ER211" s="1">
        <v>5858.7</v>
      </c>
      <c r="ES211" s="1">
        <v>35.64</v>
      </c>
      <c r="ET211" s="1">
        <v>38.380000000000003</v>
      </c>
      <c r="EU211" s="1">
        <v>32.56</v>
      </c>
      <c r="EV211" s="1">
        <v>31.76</v>
      </c>
      <c r="EW211" s="1">
        <v>0</v>
      </c>
      <c r="EX211" s="1">
        <v>0</v>
      </c>
      <c r="EY211" s="1">
        <v>0</v>
      </c>
      <c r="EZ211" s="1">
        <v>0</v>
      </c>
      <c r="FA211" s="1">
        <v>0</v>
      </c>
      <c r="FB211" s="1">
        <v>0</v>
      </c>
      <c r="FC211" s="1">
        <v>0</v>
      </c>
      <c r="FD211" s="1">
        <v>0</v>
      </c>
      <c r="FE211" s="1">
        <v>916.65</v>
      </c>
      <c r="FF211" s="1">
        <v>1141.4839999999999</v>
      </c>
      <c r="FG211" s="1">
        <v>957.01</v>
      </c>
      <c r="FH211" s="1">
        <v>520.70000000000005</v>
      </c>
      <c r="FI211" s="1">
        <v>916.65</v>
      </c>
      <c r="FJ211" s="1">
        <v>1141.4839999999999</v>
      </c>
      <c r="FK211" s="1">
        <v>957.01</v>
      </c>
      <c r="FL211" s="1">
        <v>520.70000000000005</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v>0</v>
      </c>
      <c r="GC211" s="1">
        <v>1986.7</v>
      </c>
      <c r="GD211" s="1">
        <v>2183.92</v>
      </c>
      <c r="GE211" s="1">
        <v>2002.01</v>
      </c>
      <c r="GF211" s="1">
        <v>2113.5</v>
      </c>
      <c r="GG211" s="1">
        <v>1972.8</v>
      </c>
      <c r="GH211" s="1">
        <v>2183.92</v>
      </c>
      <c r="GI211" s="1">
        <v>2002.01</v>
      </c>
      <c r="GJ211" s="1">
        <v>2113.5</v>
      </c>
      <c r="GK211" s="1">
        <v>13.9</v>
      </c>
      <c r="GL211" s="1">
        <v>0</v>
      </c>
      <c r="GM211" s="1">
        <v>0</v>
      </c>
      <c r="GN211" s="1">
        <v>0</v>
      </c>
      <c r="GO211" s="1">
        <v>0</v>
      </c>
      <c r="GP211" s="1">
        <v>0</v>
      </c>
      <c r="GQ211" s="1">
        <v>0</v>
      </c>
      <c r="GR211" s="1">
        <v>0</v>
      </c>
      <c r="GS211" s="1">
        <v>0</v>
      </c>
      <c r="GT211" s="1">
        <v>0</v>
      </c>
      <c r="GU211" s="1">
        <v>0</v>
      </c>
      <c r="GV211" s="1">
        <v>0</v>
      </c>
      <c r="GW211" s="1">
        <v>0</v>
      </c>
      <c r="GX211" s="1">
        <v>0</v>
      </c>
      <c r="GY211" s="1">
        <v>0</v>
      </c>
      <c r="GZ211" s="1">
        <v>0</v>
      </c>
      <c r="HA211" s="1">
        <v>0</v>
      </c>
      <c r="HB211" s="1">
        <v>0</v>
      </c>
      <c r="HC211" s="1">
        <v>0</v>
      </c>
      <c r="HD211" s="1">
        <v>0</v>
      </c>
      <c r="HE211" s="1">
        <v>4743.1400000000003</v>
      </c>
      <c r="HF211" s="1">
        <v>5676.95</v>
      </c>
      <c r="HG211" s="1">
        <v>4578.12</v>
      </c>
      <c r="HH211" s="1">
        <v>5209.68</v>
      </c>
      <c r="HI211" s="1">
        <v>4743.1400000000003</v>
      </c>
      <c r="HJ211" s="1">
        <v>5676.95</v>
      </c>
      <c r="HK211" s="1">
        <v>4578.12</v>
      </c>
      <c r="HL211" s="1">
        <v>5209.68</v>
      </c>
      <c r="HM211" s="1">
        <v>0</v>
      </c>
      <c r="HN211" s="1">
        <v>0</v>
      </c>
      <c r="HO211" s="1">
        <v>0</v>
      </c>
      <c r="HP211" s="1">
        <v>0</v>
      </c>
      <c r="HQ211" s="1">
        <v>0</v>
      </c>
      <c r="HR211" s="1">
        <v>0</v>
      </c>
      <c r="HS211" s="1">
        <v>0</v>
      </c>
      <c r="HT211" s="1">
        <v>0</v>
      </c>
      <c r="HU211" s="1">
        <v>0</v>
      </c>
      <c r="HV211" s="1">
        <v>0</v>
      </c>
      <c r="HW211" s="1">
        <v>0</v>
      </c>
      <c r="HX211" s="1">
        <v>0</v>
      </c>
      <c r="HY211" s="1">
        <v>0</v>
      </c>
      <c r="HZ211" s="1">
        <v>0</v>
      </c>
      <c r="IA211" s="1">
        <v>0</v>
      </c>
      <c r="IB211" s="1">
        <v>0</v>
      </c>
      <c r="IC211" s="1">
        <v>0</v>
      </c>
      <c r="ID211" s="1">
        <v>0</v>
      </c>
      <c r="IE211" s="1">
        <v>0</v>
      </c>
      <c r="IF211" s="1">
        <v>0</v>
      </c>
      <c r="IG211" s="1">
        <v>0</v>
      </c>
      <c r="IH211" s="1">
        <v>0</v>
      </c>
      <c r="II211" s="1">
        <v>0</v>
      </c>
      <c r="IJ211" s="1">
        <v>0</v>
      </c>
      <c r="IK211" s="1">
        <v>0</v>
      </c>
      <c r="IL211" s="1">
        <v>0</v>
      </c>
      <c r="IM211" s="1">
        <v>0</v>
      </c>
      <c r="IN211" s="1">
        <v>0</v>
      </c>
      <c r="IO211" s="1">
        <v>5333.6900000000014</v>
      </c>
      <c r="IP211" s="1">
        <v>4225.6900000000014</v>
      </c>
      <c r="IQ211" s="1">
        <v>4267.66</v>
      </c>
      <c r="IR211" s="1">
        <v>3742.67</v>
      </c>
      <c r="IS211" s="1">
        <v>5197.9400000000014</v>
      </c>
      <c r="IT211" s="1">
        <v>4018.26</v>
      </c>
      <c r="IU211" s="1">
        <v>4013.48</v>
      </c>
      <c r="IV211" s="1">
        <v>3541.11</v>
      </c>
      <c r="IW211" s="1">
        <v>135.75</v>
      </c>
      <c r="IX211" s="1">
        <v>207.43</v>
      </c>
      <c r="IY211" s="1">
        <v>254.18</v>
      </c>
      <c r="IZ211" s="1">
        <v>201.56</v>
      </c>
      <c r="JA211" s="1">
        <v>0</v>
      </c>
      <c r="JB211" s="1">
        <v>0</v>
      </c>
      <c r="JC211" s="1">
        <v>0</v>
      </c>
      <c r="JD211" s="1">
        <v>0</v>
      </c>
      <c r="JE211" s="1">
        <v>0</v>
      </c>
      <c r="JF211" s="1">
        <v>0</v>
      </c>
      <c r="JG211" s="1">
        <v>0</v>
      </c>
      <c r="JH211" s="1">
        <v>0</v>
      </c>
      <c r="JI211" s="1">
        <v>0</v>
      </c>
      <c r="JJ211" s="1">
        <v>0</v>
      </c>
      <c r="JK211" s="1">
        <v>0</v>
      </c>
      <c r="JL211" s="1">
        <v>0</v>
      </c>
      <c r="JM211" s="1">
        <v>0</v>
      </c>
      <c r="JN211" s="1">
        <v>0</v>
      </c>
      <c r="JO211" s="1">
        <v>0</v>
      </c>
      <c r="JP211" s="1">
        <v>0</v>
      </c>
      <c r="JQ211" s="9"/>
      <c r="JR211" s="1">
        <f t="shared" si="48"/>
        <v>49741.296750000009</v>
      </c>
      <c r="JS211" s="1">
        <f t="shared" si="48"/>
        <v>51561.567900000009</v>
      </c>
      <c r="JT211" s="1">
        <f t="shared" si="48"/>
        <v>48284.5887</v>
      </c>
      <c r="JU211" s="1">
        <f t="shared" si="48"/>
        <v>47792.230200000005</v>
      </c>
      <c r="JV211" s="1">
        <f t="shared" si="49"/>
        <v>9211.3512500000015</v>
      </c>
      <c r="JW211" s="1">
        <f t="shared" si="49"/>
        <v>9548.438500000002</v>
      </c>
      <c r="JX211" s="1">
        <f t="shared" si="49"/>
        <v>8941.5905000000002</v>
      </c>
      <c r="JY211" s="1">
        <f t="shared" si="49"/>
        <v>8850.4130000000005</v>
      </c>
    </row>
    <row r="212" spans="1:285" x14ac:dyDescent="0.35">
      <c r="A212" s="2" t="s">
        <v>219</v>
      </c>
      <c r="B212" s="1">
        <v>158281</v>
      </c>
      <c r="C212" s="1">
        <v>158448</v>
      </c>
      <c r="D212" s="1">
        <v>159732</v>
      </c>
      <c r="E212" s="1">
        <v>163940</v>
      </c>
      <c r="F212" s="1">
        <v>127165.25900000001</v>
      </c>
      <c r="G212" s="1">
        <v>124600.37699999999</v>
      </c>
      <c r="H212" s="1">
        <v>119687.15300000001</v>
      </c>
      <c r="I212" s="1">
        <v>111692.462</v>
      </c>
      <c r="J212" s="1">
        <f t="shared" si="50"/>
        <v>25236.728999999996</v>
      </c>
      <c r="K212" s="1">
        <f t="shared" si="51"/>
        <v>24413.646999999997</v>
      </c>
      <c r="L212" s="1">
        <f t="shared" si="52"/>
        <v>22695.622999999996</v>
      </c>
      <c r="M212" s="1">
        <f t="shared" si="53"/>
        <v>20802.061999999998</v>
      </c>
      <c r="N212" s="1">
        <f t="shared" si="54"/>
        <v>101928.53000000001</v>
      </c>
      <c r="O212" s="1">
        <f t="shared" si="55"/>
        <v>100186.73</v>
      </c>
      <c r="P212" s="1">
        <f t="shared" si="56"/>
        <v>96991.530000000013</v>
      </c>
      <c r="Q212" s="1">
        <f t="shared" si="57"/>
        <v>90890.4</v>
      </c>
      <c r="R212" s="1">
        <v>0</v>
      </c>
      <c r="S212" s="1">
        <v>0</v>
      </c>
      <c r="T212" s="1">
        <v>0</v>
      </c>
      <c r="U212" s="1">
        <v>0</v>
      </c>
      <c r="V212" s="1">
        <v>0</v>
      </c>
      <c r="W212" s="1">
        <v>0</v>
      </c>
      <c r="X212" s="1">
        <v>0</v>
      </c>
      <c r="Y212" s="1">
        <v>0</v>
      </c>
      <c r="Z212" s="1">
        <v>0</v>
      </c>
      <c r="AA212" s="1">
        <v>0</v>
      </c>
      <c r="AB212" s="1">
        <v>0</v>
      </c>
      <c r="AC212" s="1">
        <v>0</v>
      </c>
      <c r="AD212" s="1">
        <v>0</v>
      </c>
      <c r="AE212" s="1">
        <v>0</v>
      </c>
      <c r="AF212" s="1">
        <v>0</v>
      </c>
      <c r="AG212" s="1">
        <v>0</v>
      </c>
      <c r="AH212" s="1">
        <v>0</v>
      </c>
      <c r="AI212" s="1">
        <v>0</v>
      </c>
      <c r="AJ212" s="1">
        <v>0</v>
      </c>
      <c r="AK212" s="1">
        <v>0</v>
      </c>
      <c r="AL212" s="1">
        <v>0</v>
      </c>
      <c r="AM212" s="1">
        <v>0</v>
      </c>
      <c r="AN212" s="1">
        <v>0</v>
      </c>
      <c r="AO212" s="1">
        <v>0</v>
      </c>
      <c r="AP212" s="1">
        <v>6759.74</v>
      </c>
      <c r="AQ212" s="1">
        <v>6345.5500000000011</v>
      </c>
      <c r="AR212" s="1">
        <v>5330.17</v>
      </c>
      <c r="AS212" s="1">
        <v>4202.8999999999996</v>
      </c>
      <c r="AT212" s="1">
        <v>0</v>
      </c>
      <c r="AU212" s="1">
        <v>6759.74</v>
      </c>
      <c r="AV212" s="1">
        <v>0</v>
      </c>
      <c r="AW212" s="1">
        <v>0</v>
      </c>
      <c r="AX212" s="1">
        <v>0</v>
      </c>
      <c r="AY212" s="1">
        <v>6345.5500000000011</v>
      </c>
      <c r="AZ212" s="1">
        <v>0</v>
      </c>
      <c r="BA212" s="1">
        <v>0</v>
      </c>
      <c r="BB212" s="1">
        <v>0</v>
      </c>
      <c r="BC212" s="1">
        <v>5330.17</v>
      </c>
      <c r="BD212" s="1">
        <v>0</v>
      </c>
      <c r="BE212" s="1">
        <v>0</v>
      </c>
      <c r="BF212" s="1">
        <v>4202.8999999999996</v>
      </c>
      <c r="BG212" s="1">
        <v>0</v>
      </c>
      <c r="BH212" s="1">
        <v>0</v>
      </c>
      <c r="BI212" s="1">
        <v>0</v>
      </c>
      <c r="BJ212" s="1">
        <v>0</v>
      </c>
      <c r="BK212" s="1">
        <v>0</v>
      </c>
      <c r="BL212" s="1">
        <v>0</v>
      </c>
      <c r="BM212" s="1">
        <v>0</v>
      </c>
      <c r="BN212" s="1">
        <v>0</v>
      </c>
      <c r="BO212" s="1">
        <v>0</v>
      </c>
      <c r="BP212" s="1">
        <v>0</v>
      </c>
      <c r="BQ212" s="1">
        <v>0</v>
      </c>
      <c r="BR212" s="1">
        <v>0</v>
      </c>
      <c r="BS212" s="1">
        <v>0</v>
      </c>
      <c r="BT212" s="1">
        <v>0</v>
      </c>
      <c r="BU212" s="1">
        <v>6025.95</v>
      </c>
      <c r="BV212" s="1">
        <v>6059.42</v>
      </c>
      <c r="BW212" s="1">
        <v>5588.53</v>
      </c>
      <c r="BX212" s="1">
        <v>5461.9</v>
      </c>
      <c r="BY212" s="1">
        <v>6025.95</v>
      </c>
      <c r="BZ212" s="1">
        <v>6059.42</v>
      </c>
      <c r="CA212" s="1">
        <v>5588.53</v>
      </c>
      <c r="CB212" s="1">
        <v>5461.9</v>
      </c>
      <c r="CC212" s="1">
        <v>0</v>
      </c>
      <c r="CD212" s="1">
        <v>0</v>
      </c>
      <c r="CE212" s="1">
        <v>0</v>
      </c>
      <c r="CF212" s="1">
        <v>0</v>
      </c>
      <c r="CG212" s="1">
        <v>0</v>
      </c>
      <c r="CH212" s="1">
        <v>0</v>
      </c>
      <c r="CI212" s="1">
        <v>0</v>
      </c>
      <c r="CJ212" s="1">
        <v>0</v>
      </c>
      <c r="CK212" s="1">
        <v>0</v>
      </c>
      <c r="CL212" s="1">
        <v>0</v>
      </c>
      <c r="CM212" s="1">
        <v>0</v>
      </c>
      <c r="CN212" s="1">
        <v>0</v>
      </c>
      <c r="CO212" s="1">
        <v>0</v>
      </c>
      <c r="CP212" s="1">
        <v>0</v>
      </c>
      <c r="CQ212" s="1">
        <v>0</v>
      </c>
      <c r="CR212" s="1">
        <v>0</v>
      </c>
      <c r="CS212" s="1">
        <v>361.64</v>
      </c>
      <c r="CT212" s="1">
        <v>349.87</v>
      </c>
      <c r="CU212" s="1">
        <v>458.82</v>
      </c>
      <c r="CV212" s="1">
        <v>537.81999999999994</v>
      </c>
      <c r="CW212" s="1">
        <v>361.64</v>
      </c>
      <c r="CX212" s="1">
        <v>349.87</v>
      </c>
      <c r="CY212" s="1">
        <v>458.82</v>
      </c>
      <c r="CZ212" s="1">
        <v>537.81999999999994</v>
      </c>
      <c r="DA212" s="1">
        <v>0</v>
      </c>
      <c r="DB212" s="1">
        <v>0</v>
      </c>
      <c r="DC212" s="1">
        <v>0</v>
      </c>
      <c r="DD212" s="1">
        <v>0</v>
      </c>
      <c r="DE212" s="1">
        <v>0</v>
      </c>
      <c r="DF212" s="1">
        <v>0</v>
      </c>
      <c r="DG212" s="1">
        <v>0</v>
      </c>
      <c r="DH212" s="1">
        <v>0</v>
      </c>
      <c r="DI212" s="1">
        <v>0</v>
      </c>
      <c r="DJ212" s="1">
        <v>0</v>
      </c>
      <c r="DK212" s="1">
        <v>0</v>
      </c>
      <c r="DL212" s="1">
        <v>0</v>
      </c>
      <c r="DM212" s="1">
        <v>457.14</v>
      </c>
      <c r="DN212" s="1">
        <v>489.31</v>
      </c>
      <c r="DO212" s="1">
        <v>455.82</v>
      </c>
      <c r="DP212" s="1">
        <v>443.91</v>
      </c>
      <c r="DQ212" s="1">
        <v>457.14</v>
      </c>
      <c r="DR212" s="1">
        <v>489.31</v>
      </c>
      <c r="DS212" s="1">
        <v>455.82</v>
      </c>
      <c r="DT212" s="1">
        <v>443.91</v>
      </c>
      <c r="DU212" s="1">
        <v>0</v>
      </c>
      <c r="DV212" s="1">
        <v>0</v>
      </c>
      <c r="DW212" s="1">
        <v>0</v>
      </c>
      <c r="DX212" s="1">
        <v>0</v>
      </c>
      <c r="DY212" s="1">
        <v>0</v>
      </c>
      <c r="DZ212" s="1">
        <v>0</v>
      </c>
      <c r="EA212" s="1">
        <v>0</v>
      </c>
      <c r="EB212" s="1">
        <v>0</v>
      </c>
      <c r="EC212" s="1">
        <v>0</v>
      </c>
      <c r="ED212" s="1">
        <v>0</v>
      </c>
      <c r="EE212" s="1">
        <v>0</v>
      </c>
      <c r="EF212" s="1">
        <v>0</v>
      </c>
      <c r="EG212" s="1">
        <v>0</v>
      </c>
      <c r="EH212" s="1">
        <v>0</v>
      </c>
      <c r="EI212" s="1">
        <v>0</v>
      </c>
      <c r="EJ212" s="1">
        <v>0</v>
      </c>
      <c r="EK212" s="1">
        <v>10630.17</v>
      </c>
      <c r="EL212" s="1">
        <v>10464.56</v>
      </c>
      <c r="EM212" s="1">
        <v>10250.219999999999</v>
      </c>
      <c r="EN212" s="1">
        <v>9535.24</v>
      </c>
      <c r="EO212" s="1">
        <v>10630.17</v>
      </c>
      <c r="EP212" s="1">
        <v>10464.56</v>
      </c>
      <c r="EQ212" s="1">
        <v>10250.219999999999</v>
      </c>
      <c r="ER212" s="1">
        <v>9535.24</v>
      </c>
      <c r="ES212" s="1">
        <v>0</v>
      </c>
      <c r="ET212" s="1">
        <v>0</v>
      </c>
      <c r="EU212" s="1">
        <v>0</v>
      </c>
      <c r="EV212" s="1">
        <v>0</v>
      </c>
      <c r="EW212" s="1">
        <v>0</v>
      </c>
      <c r="EX212" s="1">
        <v>0</v>
      </c>
      <c r="EY212" s="1">
        <v>0</v>
      </c>
      <c r="EZ212" s="1">
        <v>0</v>
      </c>
      <c r="FA212" s="1">
        <v>0</v>
      </c>
      <c r="FB212" s="1">
        <v>0</v>
      </c>
      <c r="FC212" s="1">
        <v>0</v>
      </c>
      <c r="FD212" s="1">
        <v>0</v>
      </c>
      <c r="FE212" s="1">
        <v>202.779</v>
      </c>
      <c r="FF212" s="1">
        <v>200.107</v>
      </c>
      <c r="FG212" s="1">
        <v>254.393</v>
      </c>
      <c r="FH212" s="1">
        <v>323.952</v>
      </c>
      <c r="FI212" s="1">
        <v>202.779</v>
      </c>
      <c r="FJ212" s="1">
        <v>200.107</v>
      </c>
      <c r="FK212" s="1">
        <v>254.393</v>
      </c>
      <c r="FL212" s="1">
        <v>323.952</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v>0</v>
      </c>
      <c r="GC212" s="1">
        <v>271.85000000000002</v>
      </c>
      <c r="GD212" s="1">
        <v>187.67</v>
      </c>
      <c r="GE212" s="1">
        <v>135.91</v>
      </c>
      <c r="GF212" s="1">
        <v>100.4</v>
      </c>
      <c r="GG212" s="1">
        <v>271.85000000000002</v>
      </c>
      <c r="GH212" s="1">
        <v>187.67</v>
      </c>
      <c r="GI212" s="1">
        <v>135.91</v>
      </c>
      <c r="GJ212" s="1">
        <v>100.4</v>
      </c>
      <c r="GK212" s="1">
        <v>0</v>
      </c>
      <c r="GL212" s="1">
        <v>0</v>
      </c>
      <c r="GM212" s="1">
        <v>0</v>
      </c>
      <c r="GN212" s="1">
        <v>0</v>
      </c>
      <c r="GO212" s="1">
        <v>0</v>
      </c>
      <c r="GP212" s="1">
        <v>0</v>
      </c>
      <c r="GQ212" s="1">
        <v>0</v>
      </c>
      <c r="GR212" s="1">
        <v>0</v>
      </c>
      <c r="GS212" s="1">
        <v>0</v>
      </c>
      <c r="GT212" s="1">
        <v>0</v>
      </c>
      <c r="GU212" s="1">
        <v>0</v>
      </c>
      <c r="GV212" s="1">
        <v>0</v>
      </c>
      <c r="GW212" s="1">
        <v>0</v>
      </c>
      <c r="GX212" s="1">
        <v>0</v>
      </c>
      <c r="GY212" s="1">
        <v>0</v>
      </c>
      <c r="GZ212" s="1">
        <v>0</v>
      </c>
      <c r="HA212" s="1">
        <v>0</v>
      </c>
      <c r="HB212" s="1">
        <v>0</v>
      </c>
      <c r="HC212" s="1">
        <v>0</v>
      </c>
      <c r="HD212" s="1">
        <v>0</v>
      </c>
      <c r="HE212" s="1">
        <v>527.46</v>
      </c>
      <c r="HF212" s="1">
        <v>317.16000000000003</v>
      </c>
      <c r="HG212" s="1">
        <v>221.76</v>
      </c>
      <c r="HH212" s="1">
        <v>195.94</v>
      </c>
      <c r="HI212" s="1">
        <v>527.46</v>
      </c>
      <c r="HJ212" s="1">
        <v>317.16000000000003</v>
      </c>
      <c r="HK212" s="1">
        <v>221.76</v>
      </c>
      <c r="HL212" s="1">
        <v>195.94</v>
      </c>
      <c r="HM212" s="1">
        <v>0</v>
      </c>
      <c r="HN212" s="1">
        <v>0</v>
      </c>
      <c r="HO212" s="1">
        <v>0</v>
      </c>
      <c r="HP212" s="1">
        <v>0</v>
      </c>
      <c r="HQ212" s="1">
        <v>0</v>
      </c>
      <c r="HR212" s="1">
        <v>0</v>
      </c>
      <c r="HS212" s="1">
        <v>0</v>
      </c>
      <c r="HT212" s="1">
        <v>0</v>
      </c>
      <c r="HU212" s="1">
        <v>0</v>
      </c>
      <c r="HV212" s="1">
        <v>0</v>
      </c>
      <c r="HW212" s="1">
        <v>0</v>
      </c>
      <c r="HX212" s="1">
        <v>0</v>
      </c>
      <c r="HY212" s="1">
        <v>0</v>
      </c>
      <c r="HZ212" s="1">
        <v>0</v>
      </c>
      <c r="IA212" s="1">
        <v>0</v>
      </c>
      <c r="IB212" s="1">
        <v>0</v>
      </c>
      <c r="IC212" s="1">
        <v>0</v>
      </c>
      <c r="ID212" s="1">
        <v>0</v>
      </c>
      <c r="IE212" s="1">
        <v>0</v>
      </c>
      <c r="IF212" s="1">
        <v>0</v>
      </c>
      <c r="IG212" s="1">
        <v>0</v>
      </c>
      <c r="IH212" s="1">
        <v>0</v>
      </c>
      <c r="II212" s="1">
        <v>0</v>
      </c>
      <c r="IJ212" s="1">
        <v>0</v>
      </c>
      <c r="IK212" s="1">
        <v>0</v>
      </c>
      <c r="IL212" s="1">
        <v>0</v>
      </c>
      <c r="IM212" s="1">
        <v>0</v>
      </c>
      <c r="IN212" s="1">
        <v>0</v>
      </c>
      <c r="IO212" s="1">
        <v>0</v>
      </c>
      <c r="IP212" s="1">
        <v>0</v>
      </c>
      <c r="IQ212" s="1">
        <v>0</v>
      </c>
      <c r="IR212" s="1">
        <v>0</v>
      </c>
      <c r="IS212" s="1">
        <v>0</v>
      </c>
      <c r="IT212" s="1">
        <v>0</v>
      </c>
      <c r="IU212" s="1">
        <v>0</v>
      </c>
      <c r="IV212" s="1">
        <v>0</v>
      </c>
      <c r="IW212" s="1">
        <v>0</v>
      </c>
      <c r="IX212" s="1">
        <v>0</v>
      </c>
      <c r="IY212" s="1">
        <v>0</v>
      </c>
      <c r="IZ212" s="1">
        <v>0</v>
      </c>
      <c r="JA212" s="1">
        <v>0</v>
      </c>
      <c r="JB212" s="1">
        <v>0</v>
      </c>
      <c r="JC212" s="1">
        <v>0</v>
      </c>
      <c r="JD212" s="1">
        <v>0</v>
      </c>
      <c r="JE212" s="1">
        <v>0</v>
      </c>
      <c r="JF212" s="1">
        <v>0</v>
      </c>
      <c r="JG212" s="1">
        <v>0</v>
      </c>
      <c r="JH212" s="1">
        <v>0</v>
      </c>
      <c r="JI212" s="1">
        <v>0</v>
      </c>
      <c r="JJ212" s="1">
        <v>0</v>
      </c>
      <c r="JK212" s="1">
        <v>0</v>
      </c>
      <c r="JL212" s="1">
        <v>0</v>
      </c>
      <c r="JM212" s="1">
        <v>0</v>
      </c>
      <c r="JN212" s="1">
        <v>0</v>
      </c>
      <c r="JO212" s="1">
        <v>0</v>
      </c>
      <c r="JP212" s="1">
        <v>0</v>
      </c>
      <c r="JQ212" s="9"/>
      <c r="JR212" s="1">
        <f t="shared" si="48"/>
        <v>27520.703100000006</v>
      </c>
      <c r="JS212" s="1">
        <f t="shared" si="48"/>
        <v>27050.417100000002</v>
      </c>
      <c r="JT212" s="1">
        <f t="shared" si="48"/>
        <v>26187.713100000004</v>
      </c>
      <c r="JU212" s="1">
        <f t="shared" si="48"/>
        <v>24540.407999999999</v>
      </c>
      <c r="JV212" s="1">
        <f t="shared" si="49"/>
        <v>5096.4265000000014</v>
      </c>
      <c r="JW212" s="1">
        <f t="shared" si="49"/>
        <v>5009.3365000000003</v>
      </c>
      <c r="JX212" s="1">
        <f t="shared" si="49"/>
        <v>4849.576500000001</v>
      </c>
      <c r="JY212" s="1">
        <f t="shared" si="49"/>
        <v>4544.5199999999995</v>
      </c>
    </row>
    <row r="213" spans="1:285" x14ac:dyDescent="0.35">
      <c r="A213" s="2" t="s">
        <v>220</v>
      </c>
      <c r="B213" s="1">
        <v>216432</v>
      </c>
      <c r="C213" s="1">
        <v>216677</v>
      </c>
      <c r="D213" s="1">
        <v>217957</v>
      </c>
      <c r="E213" s="1">
        <v>219710</v>
      </c>
      <c r="F213" s="1">
        <v>191913.25099999999</v>
      </c>
      <c r="G213" s="1">
        <v>194785.86199999999</v>
      </c>
      <c r="H213" s="1">
        <v>192714.53400000001</v>
      </c>
      <c r="I213" s="1">
        <v>191045.51</v>
      </c>
      <c r="J213" s="1">
        <f t="shared" si="50"/>
        <v>51012.099000000009</v>
      </c>
      <c r="K213" s="1">
        <f t="shared" si="51"/>
        <v>43496.655999999995</v>
      </c>
      <c r="L213" s="1">
        <f t="shared" si="52"/>
        <v>55909.815999999992</v>
      </c>
      <c r="M213" s="1">
        <f t="shared" si="53"/>
        <v>59855.856000000007</v>
      </c>
      <c r="N213" s="1">
        <f t="shared" si="54"/>
        <v>140901.15199999997</v>
      </c>
      <c r="O213" s="1">
        <f t="shared" si="55"/>
        <v>151289.20600000001</v>
      </c>
      <c r="P213" s="1">
        <f t="shared" si="56"/>
        <v>136804.71800000002</v>
      </c>
      <c r="Q213" s="1">
        <f t="shared" si="57"/>
        <v>131189.65400000001</v>
      </c>
      <c r="R213" s="1">
        <v>148.488</v>
      </c>
      <c r="S213" s="1">
        <v>177.36</v>
      </c>
      <c r="T213" s="1">
        <v>45.591000000000001</v>
      </c>
      <c r="U213" s="1">
        <v>199.42499999999998</v>
      </c>
      <c r="V213" s="1">
        <v>0</v>
      </c>
      <c r="W213" s="1">
        <v>0</v>
      </c>
      <c r="X213" s="1">
        <v>148.488</v>
      </c>
      <c r="Y213" s="1">
        <v>0</v>
      </c>
      <c r="Z213" s="1">
        <v>0</v>
      </c>
      <c r="AA213" s="1">
        <v>177.36</v>
      </c>
      <c r="AB213" s="1">
        <v>0</v>
      </c>
      <c r="AC213" s="1">
        <v>0</v>
      </c>
      <c r="AD213" s="1">
        <v>45.591000000000001</v>
      </c>
      <c r="AE213" s="1">
        <v>0</v>
      </c>
      <c r="AF213" s="1">
        <v>0</v>
      </c>
      <c r="AG213" s="1">
        <v>199.42499999999998</v>
      </c>
      <c r="AH213" s="1">
        <v>0</v>
      </c>
      <c r="AI213" s="1">
        <v>0</v>
      </c>
      <c r="AJ213" s="1">
        <v>0</v>
      </c>
      <c r="AK213" s="1">
        <v>0</v>
      </c>
      <c r="AL213" s="1">
        <v>0</v>
      </c>
      <c r="AM213" s="1">
        <v>0</v>
      </c>
      <c r="AN213" s="1">
        <v>0</v>
      </c>
      <c r="AO213" s="1">
        <v>0</v>
      </c>
      <c r="AP213" s="1">
        <v>17821.22</v>
      </c>
      <c r="AQ213" s="1">
        <v>12352.939999999999</v>
      </c>
      <c r="AR213" s="1">
        <v>15617.240000000002</v>
      </c>
      <c r="AS213" s="1">
        <v>18563.560000000001</v>
      </c>
      <c r="AT213" s="1">
        <v>0</v>
      </c>
      <c r="AU213" s="1">
        <v>17340.38</v>
      </c>
      <c r="AV213" s="1">
        <v>0</v>
      </c>
      <c r="AW213" s="1">
        <v>0</v>
      </c>
      <c r="AX213" s="1">
        <v>0</v>
      </c>
      <c r="AY213" s="1">
        <v>12347.679999999998</v>
      </c>
      <c r="AZ213" s="1">
        <v>0</v>
      </c>
      <c r="BA213" s="1">
        <v>0</v>
      </c>
      <c r="BB213" s="1">
        <v>0</v>
      </c>
      <c r="BC213" s="1">
        <v>15583.54</v>
      </c>
      <c r="BD213" s="1">
        <v>0</v>
      </c>
      <c r="BE213" s="1">
        <v>0</v>
      </c>
      <c r="BF213" s="1">
        <v>18540.780000000002</v>
      </c>
      <c r="BG213" s="1">
        <v>0</v>
      </c>
      <c r="BH213" s="1">
        <v>0</v>
      </c>
      <c r="BI213" s="1">
        <v>0</v>
      </c>
      <c r="BJ213" s="1">
        <v>0</v>
      </c>
      <c r="BK213" s="1">
        <v>480.84</v>
      </c>
      <c r="BL213" s="1">
        <v>0</v>
      </c>
      <c r="BM213" s="1">
        <v>0</v>
      </c>
      <c r="BN213" s="1">
        <v>5.26</v>
      </c>
      <c r="BO213" s="1">
        <v>0</v>
      </c>
      <c r="BP213" s="1">
        <v>0</v>
      </c>
      <c r="BQ213" s="1">
        <v>33.700000000000003</v>
      </c>
      <c r="BR213" s="1">
        <v>0</v>
      </c>
      <c r="BS213" s="1">
        <v>0</v>
      </c>
      <c r="BT213" s="1">
        <v>22.78</v>
      </c>
      <c r="BU213" s="1">
        <v>18831.415000000001</v>
      </c>
      <c r="BV213" s="1">
        <v>16332.436</v>
      </c>
      <c r="BW213" s="1">
        <v>15114.722</v>
      </c>
      <c r="BX213" s="1">
        <v>13441.174999999999</v>
      </c>
      <c r="BY213" s="1">
        <v>18831.415000000001</v>
      </c>
      <c r="BZ213" s="1">
        <v>16332.436</v>
      </c>
      <c r="CA213" s="1">
        <v>15114.722</v>
      </c>
      <c r="CB213" s="1">
        <v>13441.174999999999</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2637.7860000000001</v>
      </c>
      <c r="CT213" s="1">
        <v>2374.0619999999999</v>
      </c>
      <c r="CU213" s="1">
        <v>2176.13</v>
      </c>
      <c r="CV213" s="1">
        <v>3434.011</v>
      </c>
      <c r="CW213" s="1">
        <v>2637.7860000000001</v>
      </c>
      <c r="CX213" s="1">
        <v>2374.0619999999999</v>
      </c>
      <c r="CY213" s="1">
        <v>2176.13</v>
      </c>
      <c r="CZ213" s="1">
        <v>3434.011</v>
      </c>
      <c r="DA213" s="1">
        <v>0</v>
      </c>
      <c r="DB213" s="1">
        <v>0</v>
      </c>
      <c r="DC213" s="1">
        <v>0</v>
      </c>
      <c r="DD213" s="1">
        <v>0</v>
      </c>
      <c r="DE213" s="1">
        <v>0</v>
      </c>
      <c r="DF213" s="1">
        <v>0</v>
      </c>
      <c r="DG213" s="1">
        <v>0</v>
      </c>
      <c r="DH213" s="1">
        <v>0</v>
      </c>
      <c r="DI213" s="1">
        <v>0</v>
      </c>
      <c r="DJ213" s="1">
        <v>0</v>
      </c>
      <c r="DK213" s="1">
        <v>0</v>
      </c>
      <c r="DL213" s="1">
        <v>0</v>
      </c>
      <c r="DM213" s="1">
        <v>7722.884</v>
      </c>
      <c r="DN213" s="1">
        <v>8163.8829999999998</v>
      </c>
      <c r="DO213" s="1">
        <v>6896.326</v>
      </c>
      <c r="DP213" s="1">
        <v>5369.5609999999997</v>
      </c>
      <c r="DQ213" s="1">
        <v>7722.884</v>
      </c>
      <c r="DR213" s="1">
        <v>8162.9629999999997</v>
      </c>
      <c r="DS213" s="1">
        <v>6896.326</v>
      </c>
      <c r="DT213" s="1">
        <v>5369.5609999999997</v>
      </c>
      <c r="DU213" s="1">
        <v>0</v>
      </c>
      <c r="DV213" s="1">
        <v>0</v>
      </c>
      <c r="DW213" s="1">
        <v>0</v>
      </c>
      <c r="DX213" s="1">
        <v>0</v>
      </c>
      <c r="DY213" s="1">
        <v>0</v>
      </c>
      <c r="DZ213" s="1">
        <v>0</v>
      </c>
      <c r="EA213" s="1">
        <v>0</v>
      </c>
      <c r="EB213" s="1">
        <v>0</v>
      </c>
      <c r="EC213" s="1">
        <v>0</v>
      </c>
      <c r="ED213" s="1">
        <v>0</v>
      </c>
      <c r="EE213" s="1">
        <v>0</v>
      </c>
      <c r="EF213" s="1">
        <v>0</v>
      </c>
      <c r="EG213" s="1">
        <v>0</v>
      </c>
      <c r="EH213" s="1">
        <v>0.92</v>
      </c>
      <c r="EI213" s="1">
        <v>0</v>
      </c>
      <c r="EJ213" s="1">
        <v>0</v>
      </c>
      <c r="EK213" s="1">
        <v>3165.9609999999998</v>
      </c>
      <c r="EL213" s="1">
        <v>3247.7179999999998</v>
      </c>
      <c r="EM213" s="1">
        <v>9601.1369999999988</v>
      </c>
      <c r="EN213" s="1">
        <v>9858.5649999999987</v>
      </c>
      <c r="EO213" s="1">
        <v>3165.9609999999998</v>
      </c>
      <c r="EP213" s="1">
        <v>3247.7179999999998</v>
      </c>
      <c r="EQ213" s="1">
        <v>9601.1369999999988</v>
      </c>
      <c r="ER213" s="1">
        <v>9858.5649999999987</v>
      </c>
      <c r="ES213" s="1">
        <v>0</v>
      </c>
      <c r="ET213" s="1">
        <v>0</v>
      </c>
      <c r="EU213" s="1">
        <v>0</v>
      </c>
      <c r="EV213" s="1">
        <v>0</v>
      </c>
      <c r="EW213" s="1">
        <v>0</v>
      </c>
      <c r="EX213" s="1">
        <v>0</v>
      </c>
      <c r="EY213" s="1">
        <v>0</v>
      </c>
      <c r="EZ213" s="1">
        <v>0</v>
      </c>
      <c r="FA213" s="1">
        <v>0</v>
      </c>
      <c r="FB213" s="1">
        <v>0</v>
      </c>
      <c r="FC213" s="1">
        <v>0</v>
      </c>
      <c r="FD213" s="1">
        <v>0</v>
      </c>
      <c r="FE213" s="1">
        <v>70.838000000000008</v>
      </c>
      <c r="FF213" s="1">
        <v>96.786999999999992</v>
      </c>
      <c r="FG213" s="1">
        <v>71.823000000000008</v>
      </c>
      <c r="FH213" s="1">
        <v>75.674999999999997</v>
      </c>
      <c r="FI213" s="1">
        <v>70.838000000000008</v>
      </c>
      <c r="FJ213" s="1">
        <v>96.786999999999992</v>
      </c>
      <c r="FK213" s="1">
        <v>71.823000000000008</v>
      </c>
      <c r="FL213" s="1">
        <v>75.674999999999997</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v>0</v>
      </c>
      <c r="GC213" s="1">
        <v>613.50699999999995</v>
      </c>
      <c r="GD213" s="1">
        <v>751.47</v>
      </c>
      <c r="GE213" s="1">
        <v>801.35400000000004</v>
      </c>
      <c r="GF213" s="1">
        <v>1260.924</v>
      </c>
      <c r="GG213" s="1">
        <v>613.50699999999995</v>
      </c>
      <c r="GH213" s="1">
        <v>751.47</v>
      </c>
      <c r="GI213" s="1">
        <v>801.35400000000004</v>
      </c>
      <c r="GJ213" s="1">
        <v>1260.924</v>
      </c>
      <c r="GK213" s="1">
        <v>0</v>
      </c>
      <c r="GL213" s="1">
        <v>0</v>
      </c>
      <c r="GM213" s="1">
        <v>0</v>
      </c>
      <c r="GN213" s="1">
        <v>0</v>
      </c>
      <c r="GO213" s="1">
        <v>0</v>
      </c>
      <c r="GP213" s="1">
        <v>0</v>
      </c>
      <c r="GQ213" s="1">
        <v>0</v>
      </c>
      <c r="GR213" s="1">
        <v>0</v>
      </c>
      <c r="GS213" s="1">
        <v>0</v>
      </c>
      <c r="GT213" s="1">
        <v>0</v>
      </c>
      <c r="GU213" s="1">
        <v>0</v>
      </c>
      <c r="GV213" s="1">
        <v>0</v>
      </c>
      <c r="GW213" s="1">
        <v>0</v>
      </c>
      <c r="GX213" s="1">
        <v>0</v>
      </c>
      <c r="GY213" s="1">
        <v>0</v>
      </c>
      <c r="GZ213" s="1">
        <v>0</v>
      </c>
      <c r="HA213" s="1">
        <v>0</v>
      </c>
      <c r="HB213" s="1">
        <v>0</v>
      </c>
      <c r="HC213" s="1">
        <v>0</v>
      </c>
      <c r="HD213" s="1">
        <v>0</v>
      </c>
      <c r="HE213" s="1">
        <v>0</v>
      </c>
      <c r="HF213" s="1">
        <v>0</v>
      </c>
      <c r="HG213" s="1">
        <v>3099.8130000000001</v>
      </c>
      <c r="HH213" s="1">
        <v>4367.68</v>
      </c>
      <c r="HI213" s="1">
        <v>0</v>
      </c>
      <c r="HJ213" s="1">
        <v>0</v>
      </c>
      <c r="HK213" s="1">
        <v>3099.8130000000001</v>
      </c>
      <c r="HL213" s="1">
        <v>4367.68</v>
      </c>
      <c r="HM213" s="1">
        <v>0</v>
      </c>
      <c r="HN213" s="1">
        <v>0</v>
      </c>
      <c r="HO213" s="1">
        <v>0</v>
      </c>
      <c r="HP213" s="1">
        <v>0</v>
      </c>
      <c r="HQ213" s="1">
        <v>0</v>
      </c>
      <c r="HR213" s="1">
        <v>0</v>
      </c>
      <c r="HS213" s="1">
        <v>0</v>
      </c>
      <c r="HT213" s="1">
        <v>0</v>
      </c>
      <c r="HU213" s="1">
        <v>0</v>
      </c>
      <c r="HV213" s="1">
        <v>0</v>
      </c>
      <c r="HW213" s="1">
        <v>0</v>
      </c>
      <c r="HX213" s="1">
        <v>0</v>
      </c>
      <c r="HY213" s="1">
        <v>0</v>
      </c>
      <c r="HZ213" s="1">
        <v>0</v>
      </c>
      <c r="IA213" s="1">
        <v>0</v>
      </c>
      <c r="IB213" s="1">
        <v>0</v>
      </c>
      <c r="IC213" s="1">
        <v>0</v>
      </c>
      <c r="ID213" s="1">
        <v>0</v>
      </c>
      <c r="IE213" s="1">
        <v>0</v>
      </c>
      <c r="IF213" s="1">
        <v>0</v>
      </c>
      <c r="IG213" s="1">
        <v>0</v>
      </c>
      <c r="IH213" s="1">
        <v>0</v>
      </c>
      <c r="II213" s="1">
        <v>0</v>
      </c>
      <c r="IJ213" s="1">
        <v>0</v>
      </c>
      <c r="IK213" s="1">
        <v>0</v>
      </c>
      <c r="IL213" s="1">
        <v>0</v>
      </c>
      <c r="IM213" s="1">
        <v>0</v>
      </c>
      <c r="IN213" s="1">
        <v>0</v>
      </c>
      <c r="IO213" s="1">
        <v>0</v>
      </c>
      <c r="IP213" s="1">
        <v>0</v>
      </c>
      <c r="IQ213" s="1">
        <v>2485.6799999999998</v>
      </c>
      <c r="IR213" s="1">
        <v>3285.28</v>
      </c>
      <c r="IS213" s="1">
        <v>0</v>
      </c>
      <c r="IT213" s="1">
        <v>0</v>
      </c>
      <c r="IU213" s="1">
        <v>2485.6799999999998</v>
      </c>
      <c r="IV213" s="1">
        <v>3285.28</v>
      </c>
      <c r="IW213" s="1">
        <v>0</v>
      </c>
      <c r="IX213" s="1">
        <v>0</v>
      </c>
      <c r="IY213" s="1">
        <v>0</v>
      </c>
      <c r="IZ213" s="1">
        <v>0</v>
      </c>
      <c r="JA213" s="1">
        <v>0</v>
      </c>
      <c r="JB213" s="1">
        <v>0</v>
      </c>
      <c r="JC213" s="1">
        <v>0</v>
      </c>
      <c r="JD213" s="1">
        <v>0</v>
      </c>
      <c r="JE213" s="1">
        <v>0</v>
      </c>
      <c r="JF213" s="1">
        <v>0</v>
      </c>
      <c r="JG213" s="1">
        <v>0</v>
      </c>
      <c r="JH213" s="1">
        <v>0</v>
      </c>
      <c r="JI213" s="1">
        <v>0</v>
      </c>
      <c r="JJ213" s="1">
        <v>0</v>
      </c>
      <c r="JK213" s="1">
        <v>0</v>
      </c>
      <c r="JL213" s="1">
        <v>0</v>
      </c>
      <c r="JM213" s="1">
        <v>0</v>
      </c>
      <c r="JN213" s="1">
        <v>0</v>
      </c>
      <c r="JO213" s="1">
        <v>0</v>
      </c>
      <c r="JP213" s="1">
        <v>0</v>
      </c>
      <c r="JQ213" s="9"/>
      <c r="JR213" s="1">
        <f t="shared" si="48"/>
        <v>38043.311039999993</v>
      </c>
      <c r="JS213" s="1">
        <f t="shared" si="48"/>
        <v>40848.085620000005</v>
      </c>
      <c r="JT213" s="1">
        <f t="shared" si="48"/>
        <v>36937.273860000008</v>
      </c>
      <c r="JU213" s="1">
        <f t="shared" si="48"/>
        <v>35421.206580000005</v>
      </c>
      <c r="JV213" s="1">
        <f t="shared" si="49"/>
        <v>7045.0575999999992</v>
      </c>
      <c r="JW213" s="1">
        <f t="shared" si="49"/>
        <v>7564.4603000000006</v>
      </c>
      <c r="JX213" s="1">
        <f t="shared" si="49"/>
        <v>6840.2359000000015</v>
      </c>
      <c r="JY213" s="1">
        <f t="shared" si="49"/>
        <v>6559.4827000000005</v>
      </c>
    </row>
    <row r="214" spans="1:285" s="5" customFormat="1" x14ac:dyDescent="0.35">
      <c r="A214" s="3" t="s">
        <v>221</v>
      </c>
      <c r="B214" s="4">
        <v>566310</v>
      </c>
      <c r="C214" s="4">
        <v>573100</v>
      </c>
      <c r="D214" s="4">
        <v>577349</v>
      </c>
      <c r="E214" s="4">
        <v>582962</v>
      </c>
      <c r="F214" s="4">
        <v>389649.14600000001</v>
      </c>
      <c r="G214" s="4">
        <v>441726.93800000002</v>
      </c>
      <c r="H214" s="4">
        <v>425799.46100000001</v>
      </c>
      <c r="I214" s="4">
        <v>444732.33199999999</v>
      </c>
      <c r="J214" s="4">
        <f t="shared" si="50"/>
        <v>165313.31300000002</v>
      </c>
      <c r="K214" s="4">
        <f t="shared" si="51"/>
        <v>184426.622</v>
      </c>
      <c r="L214" s="4">
        <f t="shared" si="52"/>
        <v>175894.71200000003</v>
      </c>
      <c r="M214" s="4">
        <f t="shared" si="53"/>
        <v>179171.533</v>
      </c>
      <c r="N214" s="4">
        <f t="shared" si="54"/>
        <v>224335.83299999998</v>
      </c>
      <c r="O214" s="4">
        <f t="shared" si="55"/>
        <v>257300.31600000002</v>
      </c>
      <c r="P214" s="4">
        <f t="shared" si="56"/>
        <v>249904.74899999998</v>
      </c>
      <c r="Q214" s="4">
        <f t="shared" si="57"/>
        <v>265560.799</v>
      </c>
      <c r="R214" s="4">
        <v>21459.31</v>
      </c>
      <c r="S214" s="4">
        <v>23413.200000000001</v>
      </c>
      <c r="T214" s="4">
        <v>22960.74</v>
      </c>
      <c r="U214" s="4">
        <v>22612.84</v>
      </c>
      <c r="V214" s="4">
        <v>0</v>
      </c>
      <c r="W214" s="4">
        <v>0</v>
      </c>
      <c r="X214" s="4">
        <v>21459.31</v>
      </c>
      <c r="Y214" s="4">
        <v>0</v>
      </c>
      <c r="Z214" s="4">
        <v>0</v>
      </c>
      <c r="AA214" s="4">
        <v>23413.200000000001</v>
      </c>
      <c r="AB214" s="4">
        <v>0</v>
      </c>
      <c r="AC214" s="4">
        <v>0</v>
      </c>
      <c r="AD214" s="4">
        <v>22960.74</v>
      </c>
      <c r="AE214" s="4">
        <v>0</v>
      </c>
      <c r="AF214" s="4">
        <v>0</v>
      </c>
      <c r="AG214" s="4">
        <v>22612.84</v>
      </c>
      <c r="AH214" s="4">
        <v>0</v>
      </c>
      <c r="AI214" s="4">
        <v>0</v>
      </c>
      <c r="AJ214" s="4">
        <v>0</v>
      </c>
      <c r="AK214" s="4">
        <v>0</v>
      </c>
      <c r="AL214" s="4">
        <v>0</v>
      </c>
      <c r="AM214" s="4">
        <v>0</v>
      </c>
      <c r="AN214" s="4">
        <v>0</v>
      </c>
      <c r="AO214" s="4">
        <v>0</v>
      </c>
      <c r="AP214" s="4">
        <v>37252.519999999997</v>
      </c>
      <c r="AQ214" s="4">
        <v>45446.799999999996</v>
      </c>
      <c r="AR214" s="4">
        <v>42205.510000000009</v>
      </c>
      <c r="AS214" s="4">
        <v>47624.17</v>
      </c>
      <c r="AT214" s="4">
        <v>0</v>
      </c>
      <c r="AU214" s="4">
        <v>37252.519999999997</v>
      </c>
      <c r="AV214" s="4">
        <v>0</v>
      </c>
      <c r="AW214" s="4">
        <v>0</v>
      </c>
      <c r="AX214" s="4">
        <v>0</v>
      </c>
      <c r="AY214" s="4">
        <v>45446.799999999996</v>
      </c>
      <c r="AZ214" s="4">
        <v>0</v>
      </c>
      <c r="BA214" s="4">
        <v>0</v>
      </c>
      <c r="BB214" s="4">
        <v>0</v>
      </c>
      <c r="BC214" s="4">
        <v>42205.510000000009</v>
      </c>
      <c r="BD214" s="4">
        <v>0</v>
      </c>
      <c r="BE214" s="4">
        <v>0</v>
      </c>
      <c r="BF214" s="4">
        <v>47624.17</v>
      </c>
      <c r="BG214" s="4">
        <v>0</v>
      </c>
      <c r="BH214" s="4">
        <v>0</v>
      </c>
      <c r="BI214" s="4">
        <v>0</v>
      </c>
      <c r="BJ214" s="4">
        <v>0</v>
      </c>
      <c r="BK214" s="4">
        <v>0</v>
      </c>
      <c r="BL214" s="4">
        <v>0</v>
      </c>
      <c r="BM214" s="4">
        <v>0</v>
      </c>
      <c r="BN214" s="4">
        <v>0</v>
      </c>
      <c r="BO214" s="4">
        <v>0</v>
      </c>
      <c r="BP214" s="4">
        <v>0</v>
      </c>
      <c r="BQ214" s="4">
        <v>0</v>
      </c>
      <c r="BR214" s="4">
        <v>0</v>
      </c>
      <c r="BS214" s="4">
        <v>0</v>
      </c>
      <c r="BT214" s="4">
        <v>0</v>
      </c>
      <c r="BU214" s="4">
        <v>39628.411</v>
      </c>
      <c r="BV214" s="4">
        <v>42502.915000000001</v>
      </c>
      <c r="BW214" s="4">
        <v>43905.593000000001</v>
      </c>
      <c r="BX214" s="4">
        <v>45178.827000000005</v>
      </c>
      <c r="BY214" s="4">
        <v>39628.411</v>
      </c>
      <c r="BZ214" s="4">
        <v>42502.915000000001</v>
      </c>
      <c r="CA214" s="4">
        <v>43905.593000000001</v>
      </c>
      <c r="CB214" s="4">
        <v>45178.827000000005</v>
      </c>
      <c r="CC214" s="4">
        <v>0</v>
      </c>
      <c r="CD214" s="4">
        <v>0</v>
      </c>
      <c r="CE214" s="4">
        <v>0</v>
      </c>
      <c r="CF214" s="4">
        <v>0</v>
      </c>
      <c r="CG214" s="4">
        <v>0</v>
      </c>
      <c r="CH214" s="4">
        <v>0</v>
      </c>
      <c r="CI214" s="4">
        <v>0</v>
      </c>
      <c r="CJ214" s="4">
        <v>0</v>
      </c>
      <c r="CK214" s="4">
        <v>0</v>
      </c>
      <c r="CL214" s="4">
        <v>0</v>
      </c>
      <c r="CM214" s="4">
        <v>0</v>
      </c>
      <c r="CN214" s="4">
        <v>0</v>
      </c>
      <c r="CO214" s="4">
        <v>0</v>
      </c>
      <c r="CP214" s="4">
        <v>0</v>
      </c>
      <c r="CQ214" s="4">
        <v>0</v>
      </c>
      <c r="CR214" s="4">
        <v>0</v>
      </c>
      <c r="CS214" s="4">
        <v>6498.6869999999999</v>
      </c>
      <c r="CT214" s="4">
        <v>6584.2489999999998</v>
      </c>
      <c r="CU214" s="4">
        <v>7237.4659999999994</v>
      </c>
      <c r="CV214" s="4">
        <v>6907.5910000000003</v>
      </c>
      <c r="CW214" s="4">
        <v>6498.6869999999999</v>
      </c>
      <c r="CX214" s="4">
        <v>6584.2489999999998</v>
      </c>
      <c r="CY214" s="4">
        <v>7237.4659999999994</v>
      </c>
      <c r="CZ214" s="4">
        <v>6907.5910000000003</v>
      </c>
      <c r="DA214" s="4">
        <v>0</v>
      </c>
      <c r="DB214" s="4">
        <v>0</v>
      </c>
      <c r="DC214" s="4">
        <v>0</v>
      </c>
      <c r="DD214" s="4">
        <v>0</v>
      </c>
      <c r="DE214" s="4">
        <v>0</v>
      </c>
      <c r="DF214" s="4">
        <v>0</v>
      </c>
      <c r="DG214" s="4">
        <v>0</v>
      </c>
      <c r="DH214" s="4">
        <v>0</v>
      </c>
      <c r="DI214" s="4">
        <v>0</v>
      </c>
      <c r="DJ214" s="4">
        <v>0</v>
      </c>
      <c r="DK214" s="4">
        <v>0</v>
      </c>
      <c r="DL214" s="4">
        <v>0</v>
      </c>
      <c r="DM214" s="4">
        <v>19742.370999999999</v>
      </c>
      <c r="DN214" s="4">
        <v>20197.099999999999</v>
      </c>
      <c r="DO214" s="4">
        <v>18412.846000000001</v>
      </c>
      <c r="DP214" s="4">
        <v>16999.919999999998</v>
      </c>
      <c r="DQ214" s="4">
        <v>19742.370999999999</v>
      </c>
      <c r="DR214" s="4">
        <v>20197.099999999999</v>
      </c>
      <c r="DS214" s="4">
        <v>18412.846000000001</v>
      </c>
      <c r="DT214" s="4">
        <v>16999.919999999998</v>
      </c>
      <c r="DU214" s="4">
        <v>0</v>
      </c>
      <c r="DV214" s="4">
        <v>0</v>
      </c>
      <c r="DW214" s="4">
        <v>0</v>
      </c>
      <c r="DX214" s="4">
        <v>0</v>
      </c>
      <c r="DY214" s="4">
        <v>0</v>
      </c>
      <c r="DZ214" s="4">
        <v>0</v>
      </c>
      <c r="EA214" s="4">
        <v>0</v>
      </c>
      <c r="EB214" s="4">
        <v>0</v>
      </c>
      <c r="EC214" s="4">
        <v>0</v>
      </c>
      <c r="ED214" s="4">
        <v>0</v>
      </c>
      <c r="EE214" s="4">
        <v>0</v>
      </c>
      <c r="EF214" s="4">
        <v>0</v>
      </c>
      <c r="EG214" s="4">
        <v>0</v>
      </c>
      <c r="EH214" s="4">
        <v>0</v>
      </c>
      <c r="EI214" s="4">
        <v>0</v>
      </c>
      <c r="EJ214" s="4">
        <v>0</v>
      </c>
      <c r="EK214" s="4">
        <v>10505.263999999999</v>
      </c>
      <c r="EL214" s="4">
        <v>11963.647999999999</v>
      </c>
      <c r="EM214" s="4">
        <v>11465.236999999999</v>
      </c>
      <c r="EN214" s="4">
        <v>10966.21</v>
      </c>
      <c r="EO214" s="4">
        <v>10505.263999999999</v>
      </c>
      <c r="EP214" s="4">
        <v>11963.647999999999</v>
      </c>
      <c r="EQ214" s="4">
        <v>11465.236999999999</v>
      </c>
      <c r="ER214" s="4">
        <v>10966.21</v>
      </c>
      <c r="ES214" s="4">
        <v>0</v>
      </c>
      <c r="ET214" s="4">
        <v>0</v>
      </c>
      <c r="EU214" s="4">
        <v>0</v>
      </c>
      <c r="EV214" s="4">
        <v>0</v>
      </c>
      <c r="EW214" s="4">
        <v>0</v>
      </c>
      <c r="EX214" s="4">
        <v>0</v>
      </c>
      <c r="EY214" s="4">
        <v>0</v>
      </c>
      <c r="EZ214" s="4">
        <v>0</v>
      </c>
      <c r="FA214" s="4">
        <v>0</v>
      </c>
      <c r="FB214" s="4">
        <v>0</v>
      </c>
      <c r="FC214" s="4">
        <v>0</v>
      </c>
      <c r="FD214" s="4">
        <v>0</v>
      </c>
      <c r="FE214" s="4">
        <v>1821.56</v>
      </c>
      <c r="FF214" s="4">
        <v>1901.84</v>
      </c>
      <c r="FG214" s="4">
        <v>1668.39</v>
      </c>
      <c r="FH214" s="4">
        <v>1680.51</v>
      </c>
      <c r="FI214" s="4">
        <v>904.89</v>
      </c>
      <c r="FJ214" s="4">
        <v>874.03000000000009</v>
      </c>
      <c r="FK214" s="4">
        <v>809.68000000000006</v>
      </c>
      <c r="FL214" s="4">
        <v>763.69</v>
      </c>
      <c r="FM214" s="4">
        <v>916.67000000000007</v>
      </c>
      <c r="FN214" s="4">
        <v>1027.81</v>
      </c>
      <c r="FO214" s="4">
        <v>858.71</v>
      </c>
      <c r="FP214" s="4">
        <v>916.82</v>
      </c>
      <c r="FQ214" s="4">
        <v>0</v>
      </c>
      <c r="FR214" s="4">
        <v>0</v>
      </c>
      <c r="FS214" s="4">
        <v>0</v>
      </c>
      <c r="FT214" s="4">
        <v>0</v>
      </c>
      <c r="FU214" s="4">
        <v>0</v>
      </c>
      <c r="FV214" s="4">
        <v>0</v>
      </c>
      <c r="FW214" s="4">
        <v>0</v>
      </c>
      <c r="FX214" s="4">
        <v>0</v>
      </c>
      <c r="FY214" s="4">
        <v>0</v>
      </c>
      <c r="FZ214" s="4">
        <v>0</v>
      </c>
      <c r="GA214" s="4">
        <v>0</v>
      </c>
      <c r="GB214" s="4">
        <v>0</v>
      </c>
      <c r="GC214" s="4">
        <v>16223.77</v>
      </c>
      <c r="GD214" s="4">
        <v>17221.830000000002</v>
      </c>
      <c r="GE214" s="4">
        <v>14423.05</v>
      </c>
      <c r="GF214" s="4">
        <v>13882.803</v>
      </c>
      <c r="GG214" s="4">
        <v>16223.77</v>
      </c>
      <c r="GH214" s="4">
        <v>17221.830000000002</v>
      </c>
      <c r="GI214" s="4">
        <v>14421</v>
      </c>
      <c r="GJ214" s="4">
        <v>13881.18</v>
      </c>
      <c r="GK214" s="4">
        <v>0</v>
      </c>
      <c r="GL214" s="4">
        <v>0</v>
      </c>
      <c r="GM214" s="4">
        <v>2.0499999999999998</v>
      </c>
      <c r="GN214" s="4">
        <v>1.623</v>
      </c>
      <c r="GO214" s="4">
        <v>0</v>
      </c>
      <c r="GP214" s="4">
        <v>0</v>
      </c>
      <c r="GQ214" s="4">
        <v>0</v>
      </c>
      <c r="GR214" s="4">
        <v>0</v>
      </c>
      <c r="GS214" s="4">
        <v>0</v>
      </c>
      <c r="GT214" s="4">
        <v>0</v>
      </c>
      <c r="GU214" s="4">
        <v>0</v>
      </c>
      <c r="GV214" s="4">
        <v>0</v>
      </c>
      <c r="GW214" s="4">
        <v>0</v>
      </c>
      <c r="GX214" s="4">
        <v>0</v>
      </c>
      <c r="GY214" s="4">
        <v>0</v>
      </c>
      <c r="GZ214" s="4">
        <v>0</v>
      </c>
      <c r="HA214" s="4">
        <v>0</v>
      </c>
      <c r="HB214" s="4">
        <v>0</v>
      </c>
      <c r="HC214" s="4">
        <v>0</v>
      </c>
      <c r="HD214" s="4">
        <v>0</v>
      </c>
      <c r="HE214" s="4">
        <v>5133.9799999999996</v>
      </c>
      <c r="HF214" s="4">
        <v>7772.67</v>
      </c>
      <c r="HG214" s="4">
        <v>6375.8499999999995</v>
      </c>
      <c r="HH214" s="4">
        <v>6378.6</v>
      </c>
      <c r="HI214" s="4">
        <v>5133.9799999999996</v>
      </c>
      <c r="HJ214" s="4">
        <v>7772.67</v>
      </c>
      <c r="HK214" s="4">
        <v>6375.8499999999995</v>
      </c>
      <c r="HL214" s="4">
        <v>6378.6</v>
      </c>
      <c r="HM214" s="4">
        <v>0</v>
      </c>
      <c r="HN214" s="4">
        <v>0</v>
      </c>
      <c r="HO214" s="4">
        <v>0</v>
      </c>
      <c r="HP214" s="4">
        <v>0</v>
      </c>
      <c r="HQ214" s="4">
        <v>0</v>
      </c>
      <c r="HR214" s="4">
        <v>0</v>
      </c>
      <c r="HS214" s="4">
        <v>0</v>
      </c>
      <c r="HT214" s="4">
        <v>0</v>
      </c>
      <c r="HU214" s="4">
        <v>0</v>
      </c>
      <c r="HV214" s="4">
        <v>0</v>
      </c>
      <c r="HW214" s="4">
        <v>0</v>
      </c>
      <c r="HX214" s="4">
        <v>0</v>
      </c>
      <c r="HY214" s="4">
        <v>0</v>
      </c>
      <c r="HZ214" s="4">
        <v>0</v>
      </c>
      <c r="IA214" s="4">
        <v>0</v>
      </c>
      <c r="IB214" s="4">
        <v>0</v>
      </c>
      <c r="IC214" s="4">
        <v>0</v>
      </c>
      <c r="ID214" s="4">
        <v>0</v>
      </c>
      <c r="IE214" s="4">
        <v>0</v>
      </c>
      <c r="IF214" s="4">
        <v>0</v>
      </c>
      <c r="IG214" s="4">
        <v>0</v>
      </c>
      <c r="IH214" s="4">
        <v>0</v>
      </c>
      <c r="II214" s="4">
        <v>0</v>
      </c>
      <c r="IJ214" s="4">
        <v>0</v>
      </c>
      <c r="IK214" s="4">
        <v>0</v>
      </c>
      <c r="IL214" s="4">
        <v>0</v>
      </c>
      <c r="IM214" s="4">
        <v>0</v>
      </c>
      <c r="IN214" s="4">
        <v>0</v>
      </c>
      <c r="IO214" s="4">
        <v>7047.4400000000014</v>
      </c>
      <c r="IP214" s="4">
        <v>7422.3700000000008</v>
      </c>
      <c r="IQ214" s="4">
        <v>7240.03</v>
      </c>
      <c r="IR214" s="4">
        <v>6940.0619999999999</v>
      </c>
      <c r="IS214" s="4">
        <v>6709.82</v>
      </c>
      <c r="IT214" s="4">
        <v>7013.83</v>
      </c>
      <c r="IU214" s="4">
        <v>6803.5</v>
      </c>
      <c r="IV214" s="4">
        <v>6003.77</v>
      </c>
      <c r="IW214" s="4">
        <v>337.62</v>
      </c>
      <c r="IX214" s="4">
        <v>408.54</v>
      </c>
      <c r="IY214" s="4">
        <v>436.53</v>
      </c>
      <c r="IZ214" s="4">
        <v>552.02200000000005</v>
      </c>
      <c r="JA214" s="4">
        <v>0</v>
      </c>
      <c r="JB214" s="4">
        <v>0</v>
      </c>
      <c r="JC214" s="4">
        <v>0</v>
      </c>
      <c r="JD214" s="4">
        <v>384.27</v>
      </c>
      <c r="JE214" s="4">
        <v>0</v>
      </c>
      <c r="JF214" s="4">
        <v>0</v>
      </c>
      <c r="JG214" s="4">
        <v>0</v>
      </c>
      <c r="JH214" s="4">
        <v>0</v>
      </c>
      <c r="JI214" s="4">
        <v>0</v>
      </c>
      <c r="JJ214" s="4">
        <v>0</v>
      </c>
      <c r="JK214" s="4">
        <v>0</v>
      </c>
      <c r="JL214" s="4">
        <v>0</v>
      </c>
      <c r="JM214" s="4">
        <v>0</v>
      </c>
      <c r="JN214" s="4">
        <v>0</v>
      </c>
      <c r="JO214" s="4">
        <v>0</v>
      </c>
      <c r="JP214" s="4">
        <v>0</v>
      </c>
      <c r="JQ214" s="9"/>
      <c r="JR214" s="4">
        <f t="shared" si="48"/>
        <v>60570.674910000002</v>
      </c>
      <c r="JS214" s="4">
        <f t="shared" si="48"/>
        <v>69471.085320000013</v>
      </c>
      <c r="JT214" s="4">
        <f t="shared" si="48"/>
        <v>67474.282229999997</v>
      </c>
      <c r="JU214" s="4">
        <f t="shared" si="48"/>
        <v>71701.415730000008</v>
      </c>
      <c r="JV214" s="4">
        <f t="shared" si="49"/>
        <v>11216.791649999999</v>
      </c>
      <c r="JW214" s="4">
        <f t="shared" si="49"/>
        <v>12865.015800000001</v>
      </c>
      <c r="JX214" s="4">
        <f t="shared" si="49"/>
        <v>12495.237450000001</v>
      </c>
      <c r="JY214" s="4">
        <f t="shared" si="49"/>
        <v>13278.03995</v>
      </c>
    </row>
    <row r="215" spans="1:285" s="5" customFormat="1" x14ac:dyDescent="0.35">
      <c r="A215" s="3" t="s">
        <v>222</v>
      </c>
      <c r="B215" s="4">
        <v>160548</v>
      </c>
      <c r="C215" s="4">
        <v>163042</v>
      </c>
      <c r="D215" s="4">
        <v>165727</v>
      </c>
      <c r="E215" s="4">
        <v>169328</v>
      </c>
      <c r="F215" s="4"/>
      <c r="G215" s="4"/>
      <c r="H215" s="4"/>
      <c r="I215" s="4"/>
      <c r="J215" s="4">
        <f t="shared" si="50"/>
        <v>0</v>
      </c>
      <c r="K215" s="4">
        <f t="shared" si="51"/>
        <v>0</v>
      </c>
      <c r="L215" s="4">
        <f t="shared" si="52"/>
        <v>0</v>
      </c>
      <c r="M215" s="4">
        <f t="shared" si="53"/>
        <v>0</v>
      </c>
      <c r="N215" s="4">
        <f t="shared" si="54"/>
        <v>0</v>
      </c>
      <c r="O215" s="4">
        <f t="shared" si="55"/>
        <v>0</v>
      </c>
      <c r="P215" s="4">
        <f t="shared" si="56"/>
        <v>0</v>
      </c>
      <c r="Q215" s="4">
        <f t="shared" si="57"/>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0</v>
      </c>
      <c r="AI215" s="4">
        <v>0</v>
      </c>
      <c r="AJ215" s="4">
        <v>0</v>
      </c>
      <c r="AK215" s="4">
        <v>0</v>
      </c>
      <c r="AL215" s="4">
        <v>0</v>
      </c>
      <c r="AM215" s="4">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4">
        <v>0</v>
      </c>
      <c r="BF215" s="4">
        <v>0</v>
      </c>
      <c r="BG215" s="4">
        <v>0</v>
      </c>
      <c r="BH215" s="4">
        <v>0</v>
      </c>
      <c r="BI215" s="4">
        <v>0</v>
      </c>
      <c r="BJ215" s="4">
        <v>0</v>
      </c>
      <c r="BK215" s="4">
        <v>0</v>
      </c>
      <c r="BL215" s="4">
        <v>0</v>
      </c>
      <c r="BM215" s="4">
        <v>0</v>
      </c>
      <c r="BN215" s="4">
        <v>0</v>
      </c>
      <c r="BO215" s="4">
        <v>0</v>
      </c>
      <c r="BP215" s="4">
        <v>0</v>
      </c>
      <c r="BQ215" s="4">
        <v>0</v>
      </c>
      <c r="BR215" s="4">
        <v>0</v>
      </c>
      <c r="BS215" s="4">
        <v>0</v>
      </c>
      <c r="BT215" s="4">
        <v>0</v>
      </c>
      <c r="BU215" s="4">
        <v>0</v>
      </c>
      <c r="BV215" s="4">
        <v>0</v>
      </c>
      <c r="BW215" s="4">
        <v>0</v>
      </c>
      <c r="BX215" s="4">
        <v>0</v>
      </c>
      <c r="BY215" s="4">
        <v>0</v>
      </c>
      <c r="BZ215" s="4">
        <v>0</v>
      </c>
      <c r="CA215" s="4">
        <v>0</v>
      </c>
      <c r="CB215" s="4">
        <v>0</v>
      </c>
      <c r="CC215" s="4">
        <v>0</v>
      </c>
      <c r="CD215" s="4">
        <v>0</v>
      </c>
      <c r="CE215" s="4">
        <v>0</v>
      </c>
      <c r="CF215" s="4">
        <v>0</v>
      </c>
      <c r="CG215" s="4">
        <v>0</v>
      </c>
      <c r="CH215" s="4">
        <v>0</v>
      </c>
      <c r="CI215" s="4">
        <v>0</v>
      </c>
      <c r="CJ215" s="4">
        <v>0</v>
      </c>
      <c r="CK215" s="4">
        <v>0</v>
      </c>
      <c r="CL215" s="4">
        <v>0</v>
      </c>
      <c r="CM215" s="4">
        <v>0</v>
      </c>
      <c r="CN215" s="4">
        <v>0</v>
      </c>
      <c r="CO215" s="4">
        <v>0</v>
      </c>
      <c r="CP215" s="4">
        <v>0</v>
      </c>
      <c r="CQ215" s="4">
        <v>0</v>
      </c>
      <c r="CR215" s="4">
        <v>0</v>
      </c>
      <c r="CS215" s="4"/>
      <c r="CT215" s="4"/>
      <c r="CU215" s="4"/>
      <c r="CV215" s="4"/>
      <c r="CW215" s="4"/>
      <c r="CX215" s="4"/>
      <c r="CY215" s="4"/>
      <c r="CZ215" s="4"/>
      <c r="DA215" s="4">
        <v>0</v>
      </c>
      <c r="DB215" s="4">
        <v>0</v>
      </c>
      <c r="DC215" s="4">
        <v>0</v>
      </c>
      <c r="DD215" s="4">
        <v>0</v>
      </c>
      <c r="DE215" s="4">
        <v>0</v>
      </c>
      <c r="DF215" s="4">
        <v>0</v>
      </c>
      <c r="DG215" s="4">
        <v>0</v>
      </c>
      <c r="DH215" s="4">
        <v>0</v>
      </c>
      <c r="DI215" s="4">
        <v>0</v>
      </c>
      <c r="DJ215" s="4">
        <v>0</v>
      </c>
      <c r="DK215" s="4">
        <v>0</v>
      </c>
      <c r="DL215" s="4">
        <v>0</v>
      </c>
      <c r="DM215" s="4"/>
      <c r="DN215" s="4"/>
      <c r="DO215" s="4"/>
      <c r="DP215" s="4"/>
      <c r="DQ215" s="4"/>
      <c r="DR215" s="4"/>
      <c r="DS215" s="4"/>
      <c r="DT215" s="4"/>
      <c r="DU215" s="4">
        <v>0</v>
      </c>
      <c r="DV215" s="4">
        <v>0</v>
      </c>
      <c r="DW215" s="4">
        <v>0</v>
      </c>
      <c r="DX215" s="4">
        <v>0</v>
      </c>
      <c r="DY215" s="4">
        <v>0</v>
      </c>
      <c r="DZ215" s="4">
        <v>0</v>
      </c>
      <c r="EA215" s="4">
        <v>0</v>
      </c>
      <c r="EB215" s="4">
        <v>0</v>
      </c>
      <c r="EC215" s="4">
        <v>0</v>
      </c>
      <c r="ED215" s="4">
        <v>0</v>
      </c>
      <c r="EE215" s="4">
        <v>0</v>
      </c>
      <c r="EF215" s="4">
        <v>0</v>
      </c>
      <c r="EG215" s="4">
        <v>0</v>
      </c>
      <c r="EH215" s="4">
        <v>0</v>
      </c>
      <c r="EI215" s="4">
        <v>0</v>
      </c>
      <c r="EJ215" s="4">
        <v>0</v>
      </c>
      <c r="EK215" s="4"/>
      <c r="EL215" s="4"/>
      <c r="EM215" s="4"/>
      <c r="EN215" s="4"/>
      <c r="EO215" s="4"/>
      <c r="EP215" s="4"/>
      <c r="EQ215" s="4"/>
      <c r="ER215" s="4"/>
      <c r="ES215" s="4">
        <v>0</v>
      </c>
      <c r="ET215" s="4">
        <v>0</v>
      </c>
      <c r="EU215" s="4">
        <v>0</v>
      </c>
      <c r="EV215" s="4">
        <v>0</v>
      </c>
      <c r="EW215" s="4">
        <v>0</v>
      </c>
      <c r="EX215" s="4">
        <v>0</v>
      </c>
      <c r="EY215" s="4">
        <v>0</v>
      </c>
      <c r="EZ215" s="4">
        <v>0</v>
      </c>
      <c r="FA215" s="4">
        <v>0</v>
      </c>
      <c r="FB215" s="4">
        <v>0</v>
      </c>
      <c r="FC215" s="4">
        <v>0</v>
      </c>
      <c r="FD215" s="4">
        <v>0</v>
      </c>
      <c r="FE215" s="4"/>
      <c r="FF215" s="4"/>
      <c r="FG215" s="4"/>
      <c r="FH215" s="4"/>
      <c r="FI215" s="4"/>
      <c r="FJ215" s="4"/>
      <c r="FK215" s="4"/>
      <c r="FL215" s="4"/>
      <c r="FM215" s="4">
        <v>0</v>
      </c>
      <c r="FN215" s="4">
        <v>0</v>
      </c>
      <c r="FO215" s="4">
        <v>0</v>
      </c>
      <c r="FP215" s="4">
        <v>0</v>
      </c>
      <c r="FQ215" s="4">
        <v>0</v>
      </c>
      <c r="FR215" s="4">
        <v>0</v>
      </c>
      <c r="FS215" s="4">
        <v>0</v>
      </c>
      <c r="FT215" s="4">
        <v>0</v>
      </c>
      <c r="FU215" s="4">
        <v>0</v>
      </c>
      <c r="FV215" s="4">
        <v>0</v>
      </c>
      <c r="FW215" s="4">
        <v>0</v>
      </c>
      <c r="FX215" s="4">
        <v>0</v>
      </c>
      <c r="FY215" s="4">
        <v>0</v>
      </c>
      <c r="FZ215" s="4">
        <v>0</v>
      </c>
      <c r="GA215" s="4">
        <v>0</v>
      </c>
      <c r="GB215" s="4">
        <v>0</v>
      </c>
      <c r="GC215" s="4"/>
      <c r="GD215" s="4"/>
      <c r="GE215" s="4"/>
      <c r="GF215" s="4"/>
      <c r="GG215" s="4"/>
      <c r="GH215" s="4"/>
      <c r="GI215" s="4"/>
      <c r="GJ215" s="4"/>
      <c r="GK215" s="4">
        <v>0</v>
      </c>
      <c r="GL215" s="4">
        <v>0</v>
      </c>
      <c r="GM215" s="4">
        <v>0</v>
      </c>
      <c r="GN215" s="4">
        <v>0</v>
      </c>
      <c r="GO215" s="4">
        <v>0</v>
      </c>
      <c r="GP215" s="4">
        <v>0</v>
      </c>
      <c r="GQ215" s="4">
        <v>0</v>
      </c>
      <c r="GR215" s="4">
        <v>0</v>
      </c>
      <c r="GS215" s="4">
        <v>0</v>
      </c>
      <c r="GT215" s="4">
        <v>0</v>
      </c>
      <c r="GU215" s="4">
        <v>0</v>
      </c>
      <c r="GV215" s="4">
        <v>0</v>
      </c>
      <c r="GW215" s="4">
        <v>0</v>
      </c>
      <c r="GX215" s="4">
        <v>0</v>
      </c>
      <c r="GY215" s="4">
        <v>0</v>
      </c>
      <c r="GZ215" s="4">
        <v>0</v>
      </c>
      <c r="HA215" s="4">
        <v>0</v>
      </c>
      <c r="HB215" s="4">
        <v>0</v>
      </c>
      <c r="HC215" s="4">
        <v>0</v>
      </c>
      <c r="HD215" s="4">
        <v>0</v>
      </c>
      <c r="HE215" s="4"/>
      <c r="HF215" s="4"/>
      <c r="HG215" s="4"/>
      <c r="HH215" s="4"/>
      <c r="HI215" s="4"/>
      <c r="HJ215" s="4"/>
      <c r="HK215" s="4"/>
      <c r="HL215" s="4"/>
      <c r="HM215" s="4">
        <v>0</v>
      </c>
      <c r="HN215" s="4">
        <v>0</v>
      </c>
      <c r="HO215" s="4">
        <v>0</v>
      </c>
      <c r="HP215" s="4">
        <v>0</v>
      </c>
      <c r="HQ215" s="4">
        <v>0</v>
      </c>
      <c r="HR215" s="4">
        <v>0</v>
      </c>
      <c r="HS215" s="4">
        <v>0</v>
      </c>
      <c r="HT215" s="4">
        <v>0</v>
      </c>
      <c r="HU215" s="4">
        <v>0</v>
      </c>
      <c r="HV215" s="4">
        <v>0</v>
      </c>
      <c r="HW215" s="4">
        <v>0</v>
      </c>
      <c r="HX215" s="4">
        <v>0</v>
      </c>
      <c r="HY215" s="4">
        <v>0</v>
      </c>
      <c r="HZ215" s="4">
        <v>0</v>
      </c>
      <c r="IA215" s="4">
        <v>0</v>
      </c>
      <c r="IB215" s="4">
        <v>0</v>
      </c>
      <c r="IC215" s="4">
        <v>0</v>
      </c>
      <c r="ID215" s="4">
        <v>0</v>
      </c>
      <c r="IE215" s="4">
        <v>0</v>
      </c>
      <c r="IF215" s="4">
        <v>0</v>
      </c>
      <c r="IG215" s="4">
        <v>0</v>
      </c>
      <c r="IH215" s="4">
        <v>0</v>
      </c>
      <c r="II215" s="4">
        <v>0</v>
      </c>
      <c r="IJ215" s="4">
        <v>0</v>
      </c>
      <c r="IK215" s="4">
        <v>0</v>
      </c>
      <c r="IL215" s="4">
        <v>0</v>
      </c>
      <c r="IM215" s="4">
        <v>0</v>
      </c>
      <c r="IN215" s="4">
        <v>0</v>
      </c>
      <c r="IO215" s="4">
        <v>0</v>
      </c>
      <c r="IP215" s="4">
        <v>0</v>
      </c>
      <c r="IQ215" s="4">
        <v>0</v>
      </c>
      <c r="IR215" s="4">
        <v>0</v>
      </c>
      <c r="IS215" s="4">
        <v>0</v>
      </c>
      <c r="IT215" s="4">
        <v>0</v>
      </c>
      <c r="IU215" s="4">
        <v>0</v>
      </c>
      <c r="IV215" s="4">
        <v>0</v>
      </c>
      <c r="IW215" s="4">
        <v>0</v>
      </c>
      <c r="IX215" s="4">
        <v>0</v>
      </c>
      <c r="IY215" s="4">
        <v>0</v>
      </c>
      <c r="IZ215" s="4">
        <v>0</v>
      </c>
      <c r="JA215" s="4">
        <v>0</v>
      </c>
      <c r="JB215" s="4">
        <v>0</v>
      </c>
      <c r="JC215" s="4">
        <v>0</v>
      </c>
      <c r="JD215" s="4">
        <v>0</v>
      </c>
      <c r="JE215" s="4">
        <v>0</v>
      </c>
      <c r="JF215" s="4">
        <v>0</v>
      </c>
      <c r="JG215" s="4">
        <v>0</v>
      </c>
      <c r="JH215" s="4">
        <v>0</v>
      </c>
      <c r="JI215" s="4">
        <v>0</v>
      </c>
      <c r="JJ215" s="4">
        <v>0</v>
      </c>
      <c r="JK215" s="4">
        <v>0</v>
      </c>
      <c r="JL215" s="4">
        <v>0</v>
      </c>
      <c r="JM215" s="4">
        <v>0</v>
      </c>
      <c r="JN215" s="4">
        <v>0</v>
      </c>
      <c r="JO215" s="4">
        <v>0</v>
      </c>
      <c r="JP215" s="4">
        <v>0</v>
      </c>
      <c r="JQ215" s="9"/>
      <c r="JR215" s="4">
        <f t="shared" si="48"/>
        <v>0</v>
      </c>
      <c r="JS215" s="4">
        <f t="shared" si="48"/>
        <v>0</v>
      </c>
      <c r="JT215" s="4">
        <f t="shared" si="48"/>
        <v>0</v>
      </c>
      <c r="JU215" s="4">
        <f t="shared" si="48"/>
        <v>0</v>
      </c>
      <c r="JV215" s="4">
        <f t="shared" si="49"/>
        <v>0</v>
      </c>
      <c r="JW215" s="4">
        <f t="shared" si="49"/>
        <v>0</v>
      </c>
      <c r="JX215" s="4">
        <f t="shared" si="49"/>
        <v>0</v>
      </c>
      <c r="JY215" s="4">
        <f t="shared" si="49"/>
        <v>0</v>
      </c>
    </row>
    <row r="216" spans="1:285" x14ac:dyDescent="0.35">
      <c r="A216" s="2" t="s">
        <v>223</v>
      </c>
      <c r="B216" s="1">
        <v>105265</v>
      </c>
      <c r="C216" s="1">
        <v>108051</v>
      </c>
      <c r="D216" s="1">
        <v>111235</v>
      </c>
      <c r="E216" s="1">
        <v>114413</v>
      </c>
      <c r="F216" s="1">
        <v>31143.873</v>
      </c>
      <c r="G216" s="1">
        <v>30003.487000000001</v>
      </c>
      <c r="H216" s="1">
        <v>26404.09</v>
      </c>
      <c r="I216" s="1">
        <v>27216.484</v>
      </c>
      <c r="J216" s="1">
        <f t="shared" si="50"/>
        <v>24145.802999999996</v>
      </c>
      <c r="K216" s="1">
        <f t="shared" si="51"/>
        <v>23533.126999999997</v>
      </c>
      <c r="L216" s="1">
        <f t="shared" si="52"/>
        <v>19234.680000000004</v>
      </c>
      <c r="M216" s="1">
        <f t="shared" si="53"/>
        <v>20085.534</v>
      </c>
      <c r="N216" s="1">
        <f t="shared" si="54"/>
        <v>6998.0700000000033</v>
      </c>
      <c r="O216" s="1">
        <f t="shared" si="55"/>
        <v>6470.3600000000042</v>
      </c>
      <c r="P216" s="1">
        <f t="shared" si="56"/>
        <v>7169.4099999999962</v>
      </c>
      <c r="Q216" s="1">
        <f t="shared" si="57"/>
        <v>7130.9500000000007</v>
      </c>
      <c r="R216" s="1">
        <v>0</v>
      </c>
      <c r="S216" s="1">
        <v>0</v>
      </c>
      <c r="T216" s="1">
        <v>0</v>
      </c>
      <c r="U216" s="1">
        <v>0</v>
      </c>
      <c r="V216" s="1">
        <v>0</v>
      </c>
      <c r="W216" s="1">
        <v>0</v>
      </c>
      <c r="X216" s="1">
        <v>0</v>
      </c>
      <c r="Y216" s="1">
        <v>0</v>
      </c>
      <c r="Z216" s="1">
        <v>0</v>
      </c>
      <c r="AA216" s="1">
        <v>0</v>
      </c>
      <c r="AB216" s="1">
        <v>0</v>
      </c>
      <c r="AC216" s="1">
        <v>0</v>
      </c>
      <c r="AD216" s="1">
        <v>0</v>
      </c>
      <c r="AE216" s="1">
        <v>0</v>
      </c>
      <c r="AF216" s="1">
        <v>0</v>
      </c>
      <c r="AG216" s="1">
        <v>0</v>
      </c>
      <c r="AH216" s="1">
        <v>0</v>
      </c>
      <c r="AI216" s="1">
        <v>0</v>
      </c>
      <c r="AJ216" s="1">
        <v>0</v>
      </c>
      <c r="AK216" s="1">
        <v>0</v>
      </c>
      <c r="AL216" s="1">
        <v>0</v>
      </c>
      <c r="AM216" s="1">
        <v>0</v>
      </c>
      <c r="AN216" s="1">
        <v>0</v>
      </c>
      <c r="AO216" s="1">
        <v>0</v>
      </c>
      <c r="AP216" s="1">
        <v>12892.4</v>
      </c>
      <c r="AQ216" s="1">
        <v>12764.54</v>
      </c>
      <c r="AR216" s="1">
        <v>10978.37</v>
      </c>
      <c r="AS216" s="1">
        <v>12490.54</v>
      </c>
      <c r="AT216" s="1">
        <v>12892.4</v>
      </c>
      <c r="AU216" s="1">
        <v>0</v>
      </c>
      <c r="AV216" s="1">
        <v>0</v>
      </c>
      <c r="AW216" s="1">
        <v>0</v>
      </c>
      <c r="AX216" s="1">
        <v>12764.54</v>
      </c>
      <c r="AY216" s="1">
        <v>0</v>
      </c>
      <c r="AZ216" s="1">
        <v>0</v>
      </c>
      <c r="BA216" s="1">
        <v>0</v>
      </c>
      <c r="BB216" s="1">
        <v>10978.37</v>
      </c>
      <c r="BC216" s="1">
        <v>0</v>
      </c>
      <c r="BD216" s="1">
        <v>0</v>
      </c>
      <c r="BE216" s="1">
        <v>12490.54</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5809.6180000000004</v>
      </c>
      <c r="BV216" s="1">
        <v>5298.2150000000001</v>
      </c>
      <c r="BW216" s="1">
        <v>2908.24</v>
      </c>
      <c r="BX216" s="1">
        <v>2704.6170000000002</v>
      </c>
      <c r="BY216" s="1">
        <v>5809.6180000000004</v>
      </c>
      <c r="BZ216" s="1">
        <v>5298.2150000000001</v>
      </c>
      <c r="CA216" s="1">
        <v>2908.24</v>
      </c>
      <c r="CB216" s="1">
        <v>2704.6170000000002</v>
      </c>
      <c r="CC216" s="1">
        <v>0</v>
      </c>
      <c r="CD216" s="1">
        <v>0</v>
      </c>
      <c r="CE216" s="1">
        <v>0</v>
      </c>
      <c r="CF216" s="1">
        <v>0</v>
      </c>
      <c r="CG216" s="1">
        <v>0</v>
      </c>
      <c r="CH216" s="1">
        <v>0</v>
      </c>
      <c r="CI216" s="1">
        <v>0</v>
      </c>
      <c r="CJ216" s="1">
        <v>0</v>
      </c>
      <c r="CK216" s="1">
        <v>0</v>
      </c>
      <c r="CL216" s="1">
        <v>0</v>
      </c>
      <c r="CM216" s="1">
        <v>0</v>
      </c>
      <c r="CN216" s="1">
        <v>0</v>
      </c>
      <c r="CO216" s="1">
        <v>0</v>
      </c>
      <c r="CP216" s="1">
        <v>0</v>
      </c>
      <c r="CQ216" s="1">
        <v>0</v>
      </c>
      <c r="CR216" s="1">
        <v>0</v>
      </c>
      <c r="CS216" s="1">
        <v>1155.76</v>
      </c>
      <c r="CT216" s="1">
        <v>1116.33</v>
      </c>
      <c r="CU216" s="1">
        <v>1473.7439999999999</v>
      </c>
      <c r="CV216" s="1">
        <v>1189.883</v>
      </c>
      <c r="CW216" s="1">
        <v>1155.76</v>
      </c>
      <c r="CX216" s="1">
        <v>1116.33</v>
      </c>
      <c r="CY216" s="1">
        <v>1473.7439999999999</v>
      </c>
      <c r="CZ216" s="1">
        <v>1189.883</v>
      </c>
      <c r="DA216" s="1">
        <v>0</v>
      </c>
      <c r="DB216" s="1">
        <v>0</v>
      </c>
      <c r="DC216" s="1">
        <v>0</v>
      </c>
      <c r="DD216" s="1">
        <v>0</v>
      </c>
      <c r="DE216" s="1">
        <v>0</v>
      </c>
      <c r="DF216" s="1">
        <v>0</v>
      </c>
      <c r="DG216" s="1">
        <v>0</v>
      </c>
      <c r="DH216" s="1">
        <v>0</v>
      </c>
      <c r="DI216" s="1">
        <v>0</v>
      </c>
      <c r="DJ216" s="1">
        <v>0</v>
      </c>
      <c r="DK216" s="1">
        <v>0</v>
      </c>
      <c r="DL216" s="1">
        <v>0</v>
      </c>
      <c r="DM216" s="1">
        <v>3090.6019999999999</v>
      </c>
      <c r="DN216" s="1">
        <v>3425.6840000000002</v>
      </c>
      <c r="DO216" s="1">
        <v>3343.1</v>
      </c>
      <c r="DP216" s="1">
        <v>3248.4259999999999</v>
      </c>
      <c r="DQ216" s="1">
        <v>3090.6019999999999</v>
      </c>
      <c r="DR216" s="1">
        <v>3425.6840000000002</v>
      </c>
      <c r="DS216" s="1">
        <v>3343.1</v>
      </c>
      <c r="DT216" s="1">
        <v>3248.4259999999999</v>
      </c>
      <c r="DU216" s="1">
        <v>0</v>
      </c>
      <c r="DV216" s="1">
        <v>0</v>
      </c>
      <c r="DW216" s="1">
        <v>0</v>
      </c>
      <c r="DX216" s="1">
        <v>0</v>
      </c>
      <c r="DY216" s="1">
        <v>0</v>
      </c>
      <c r="DZ216" s="1">
        <v>0</v>
      </c>
      <c r="EA216" s="1">
        <v>0</v>
      </c>
      <c r="EB216" s="1">
        <v>0</v>
      </c>
      <c r="EC216" s="1">
        <v>0</v>
      </c>
      <c r="ED216" s="1">
        <v>0</v>
      </c>
      <c r="EE216" s="1">
        <v>0</v>
      </c>
      <c r="EF216" s="1">
        <v>0</v>
      </c>
      <c r="EG216" s="1">
        <v>0</v>
      </c>
      <c r="EH216" s="1">
        <v>0</v>
      </c>
      <c r="EI216" s="1">
        <v>0</v>
      </c>
      <c r="EJ216" s="1">
        <v>0</v>
      </c>
      <c r="EK216" s="1">
        <v>955.58699999999999</v>
      </c>
      <c r="EL216" s="1">
        <v>790.95799999999997</v>
      </c>
      <c r="EM216" s="1">
        <v>451.27600000000001</v>
      </c>
      <c r="EN216" s="1">
        <v>375.298</v>
      </c>
      <c r="EO216" s="1">
        <v>955.58699999999999</v>
      </c>
      <c r="EP216" s="1">
        <v>790.95799999999997</v>
      </c>
      <c r="EQ216" s="1">
        <v>451.27600000000001</v>
      </c>
      <c r="ER216" s="1">
        <v>375.298</v>
      </c>
      <c r="ES216" s="1">
        <v>0</v>
      </c>
      <c r="ET216" s="1">
        <v>0</v>
      </c>
      <c r="EU216" s="1">
        <v>0</v>
      </c>
      <c r="EV216" s="1">
        <v>0</v>
      </c>
      <c r="EW216" s="1">
        <v>0</v>
      </c>
      <c r="EX216" s="1">
        <v>0</v>
      </c>
      <c r="EY216" s="1">
        <v>0</v>
      </c>
      <c r="EZ216" s="1">
        <v>0</v>
      </c>
      <c r="FA216" s="1">
        <v>0</v>
      </c>
      <c r="FB216" s="1">
        <v>0</v>
      </c>
      <c r="FC216" s="1">
        <v>0</v>
      </c>
      <c r="FD216" s="1">
        <v>0</v>
      </c>
      <c r="FE216" s="1">
        <v>96.546000000000006</v>
      </c>
      <c r="FF216" s="1">
        <v>118.48</v>
      </c>
      <c r="FG216" s="1">
        <v>60.39</v>
      </c>
      <c r="FH216" s="1">
        <v>43.789999999999992</v>
      </c>
      <c r="FI216" s="1">
        <v>0</v>
      </c>
      <c r="FJ216" s="1">
        <v>0.52</v>
      </c>
      <c r="FK216" s="1">
        <v>3.61</v>
      </c>
      <c r="FL216" s="1">
        <v>1.99</v>
      </c>
      <c r="FM216" s="1">
        <v>96.546000000000006</v>
      </c>
      <c r="FN216" s="1">
        <v>117.96</v>
      </c>
      <c r="FO216" s="1">
        <v>56.779999999999987</v>
      </c>
      <c r="FP216" s="1">
        <v>41.8</v>
      </c>
      <c r="FQ216" s="1">
        <v>0</v>
      </c>
      <c r="FR216" s="1">
        <v>0</v>
      </c>
      <c r="FS216" s="1">
        <v>0</v>
      </c>
      <c r="FT216" s="1">
        <v>0</v>
      </c>
      <c r="FU216" s="1">
        <v>0</v>
      </c>
      <c r="FV216" s="1">
        <v>0</v>
      </c>
      <c r="FW216" s="1">
        <v>0</v>
      </c>
      <c r="FX216" s="1">
        <v>0</v>
      </c>
      <c r="FY216" s="1">
        <v>0</v>
      </c>
      <c r="FZ216" s="1">
        <v>0</v>
      </c>
      <c r="GA216" s="1">
        <v>0</v>
      </c>
      <c r="GB216" s="1">
        <v>0</v>
      </c>
      <c r="GC216" s="1">
        <v>145.29</v>
      </c>
      <c r="GD216" s="1">
        <v>18.920000000000002</v>
      </c>
      <c r="GE216" s="1">
        <v>19.559999999999999</v>
      </c>
      <c r="GF216" s="1">
        <v>32.979999999999997</v>
      </c>
      <c r="GG216" s="1">
        <v>111.27</v>
      </c>
      <c r="GH216" s="1">
        <v>0.86</v>
      </c>
      <c r="GI216" s="1">
        <v>0</v>
      </c>
      <c r="GJ216" s="1">
        <v>17.989999999999998</v>
      </c>
      <c r="GK216" s="1">
        <v>34.020000000000003</v>
      </c>
      <c r="GL216" s="1">
        <v>18.059999999999999</v>
      </c>
      <c r="GM216" s="1">
        <v>19.559999999999999</v>
      </c>
      <c r="GN216" s="1">
        <v>14.99</v>
      </c>
      <c r="GO216" s="1">
        <v>0</v>
      </c>
      <c r="GP216" s="1">
        <v>0</v>
      </c>
      <c r="GQ216" s="1">
        <v>0</v>
      </c>
      <c r="GR216" s="1">
        <v>0</v>
      </c>
      <c r="GS216" s="1">
        <v>0</v>
      </c>
      <c r="GT216" s="1">
        <v>0</v>
      </c>
      <c r="GU216" s="1">
        <v>0</v>
      </c>
      <c r="GV216" s="1">
        <v>0</v>
      </c>
      <c r="GW216" s="1">
        <v>0</v>
      </c>
      <c r="GX216" s="1">
        <v>0</v>
      </c>
      <c r="GY216" s="1">
        <v>0</v>
      </c>
      <c r="GZ216" s="1">
        <v>0</v>
      </c>
      <c r="HA216" s="1">
        <v>0</v>
      </c>
      <c r="HB216" s="1">
        <v>0</v>
      </c>
      <c r="HC216" s="1">
        <v>0</v>
      </c>
      <c r="HD216" s="1">
        <v>0</v>
      </c>
      <c r="HE216" s="1">
        <v>0</v>
      </c>
      <c r="HF216" s="1">
        <v>0</v>
      </c>
      <c r="HG216" s="1">
        <v>0</v>
      </c>
      <c r="HH216" s="1">
        <v>0</v>
      </c>
      <c r="HI216" s="1">
        <v>0</v>
      </c>
      <c r="HJ216" s="1">
        <v>0</v>
      </c>
      <c r="HK216" s="1">
        <v>0</v>
      </c>
      <c r="HL216" s="1">
        <v>0</v>
      </c>
      <c r="HM216" s="1">
        <v>0</v>
      </c>
      <c r="HN216" s="1">
        <v>0</v>
      </c>
      <c r="HO216" s="1">
        <v>0</v>
      </c>
      <c r="HP216" s="1">
        <v>0</v>
      </c>
      <c r="HQ216" s="1">
        <v>0</v>
      </c>
      <c r="HR216" s="1">
        <v>0</v>
      </c>
      <c r="HS216" s="1">
        <v>0</v>
      </c>
      <c r="HT216" s="1">
        <v>0</v>
      </c>
      <c r="HU216" s="1">
        <v>0</v>
      </c>
      <c r="HV216" s="1">
        <v>0</v>
      </c>
      <c r="HW216" s="1">
        <v>0</v>
      </c>
      <c r="HX216" s="1">
        <v>0</v>
      </c>
      <c r="HY216" s="1">
        <v>0</v>
      </c>
      <c r="HZ216" s="1">
        <v>0</v>
      </c>
      <c r="IA216" s="1">
        <v>0</v>
      </c>
      <c r="IB216" s="1">
        <v>0</v>
      </c>
      <c r="IC216" s="1">
        <v>0</v>
      </c>
      <c r="ID216" s="1">
        <v>0</v>
      </c>
      <c r="IE216" s="1">
        <v>0</v>
      </c>
      <c r="IF216" s="1">
        <v>0</v>
      </c>
      <c r="IG216" s="1">
        <v>0</v>
      </c>
      <c r="IH216" s="1">
        <v>0</v>
      </c>
      <c r="II216" s="1">
        <v>0</v>
      </c>
      <c r="IJ216" s="1">
        <v>0</v>
      </c>
      <c r="IK216" s="1">
        <v>0</v>
      </c>
      <c r="IL216" s="1">
        <v>0</v>
      </c>
      <c r="IM216" s="1">
        <v>0</v>
      </c>
      <c r="IN216" s="1">
        <v>0</v>
      </c>
      <c r="IO216" s="1">
        <v>0</v>
      </c>
      <c r="IP216" s="1">
        <v>0</v>
      </c>
      <c r="IQ216" s="1">
        <v>0</v>
      </c>
      <c r="IR216" s="1">
        <v>0</v>
      </c>
      <c r="IS216" s="1">
        <v>0</v>
      </c>
      <c r="IT216" s="1">
        <v>0</v>
      </c>
      <c r="IU216" s="1">
        <v>0</v>
      </c>
      <c r="IV216" s="1">
        <v>0</v>
      </c>
      <c r="IW216" s="1">
        <v>0</v>
      </c>
      <c r="IX216" s="1">
        <v>0</v>
      </c>
      <c r="IY216" s="1">
        <v>0</v>
      </c>
      <c r="IZ216" s="1">
        <v>0</v>
      </c>
      <c r="JA216" s="1">
        <v>0</v>
      </c>
      <c r="JB216" s="1">
        <v>0</v>
      </c>
      <c r="JC216" s="1">
        <v>0</v>
      </c>
      <c r="JD216" s="1">
        <v>0</v>
      </c>
      <c r="JE216" s="1">
        <v>0</v>
      </c>
      <c r="JF216" s="1">
        <v>0</v>
      </c>
      <c r="JG216" s="1">
        <v>0</v>
      </c>
      <c r="JH216" s="1">
        <v>0</v>
      </c>
      <c r="JI216" s="1">
        <v>0</v>
      </c>
      <c r="JJ216" s="1">
        <v>0</v>
      </c>
      <c r="JK216" s="1">
        <v>0</v>
      </c>
      <c r="JL216" s="1">
        <v>0</v>
      </c>
      <c r="JM216" s="1">
        <v>0</v>
      </c>
      <c r="JN216" s="1">
        <v>0</v>
      </c>
      <c r="JO216" s="1">
        <v>0</v>
      </c>
      <c r="JP216" s="1">
        <v>0</v>
      </c>
      <c r="JQ216" s="9"/>
      <c r="JR216" s="1">
        <f t="shared" si="48"/>
        <v>1889.478900000001</v>
      </c>
      <c r="JS216" s="1">
        <f t="shared" si="48"/>
        <v>1746.9972000000012</v>
      </c>
      <c r="JT216" s="1">
        <f t="shared" si="48"/>
        <v>1935.7406999999992</v>
      </c>
      <c r="JU216" s="1">
        <f t="shared" si="48"/>
        <v>1925.3565000000003</v>
      </c>
      <c r="JV216" s="1">
        <f t="shared" si="49"/>
        <v>349.90350000000018</v>
      </c>
      <c r="JW216" s="1">
        <f t="shared" si="49"/>
        <v>323.51800000000026</v>
      </c>
      <c r="JX216" s="1">
        <f t="shared" si="49"/>
        <v>358.47049999999984</v>
      </c>
      <c r="JY216" s="1">
        <f t="shared" si="49"/>
        <v>356.54750000000007</v>
      </c>
    </row>
    <row r="217" spans="1:285" x14ac:dyDescent="0.35">
      <c r="A217" s="2" t="s">
        <v>224</v>
      </c>
      <c r="B217" s="1">
        <v>287182</v>
      </c>
      <c r="C217" s="1">
        <v>290886</v>
      </c>
      <c r="D217" s="1">
        <v>295391</v>
      </c>
      <c r="E217" s="1">
        <v>300435</v>
      </c>
      <c r="F217" s="1">
        <v>207148.52</v>
      </c>
      <c r="G217" s="1">
        <v>211642.23</v>
      </c>
      <c r="H217" s="1">
        <v>197162.69</v>
      </c>
      <c r="I217" s="1">
        <v>206186.19</v>
      </c>
      <c r="J217" s="1">
        <f t="shared" si="50"/>
        <v>82512.56</v>
      </c>
      <c r="K217" s="1">
        <f t="shared" si="51"/>
        <v>93665.130000000019</v>
      </c>
      <c r="L217" s="1">
        <f t="shared" si="52"/>
        <v>81193.469999999987</v>
      </c>
      <c r="M217" s="1">
        <f t="shared" si="53"/>
        <v>81171.17</v>
      </c>
      <c r="N217" s="1">
        <f t="shared" si="54"/>
        <v>124635.95999999999</v>
      </c>
      <c r="O217" s="1">
        <f t="shared" si="55"/>
        <v>117977.09999999999</v>
      </c>
      <c r="P217" s="1">
        <f t="shared" si="56"/>
        <v>115969.22000000002</v>
      </c>
      <c r="Q217" s="1">
        <f t="shared" si="57"/>
        <v>125015.02</v>
      </c>
      <c r="R217" s="1">
        <v>9746.68</v>
      </c>
      <c r="S217" s="1">
        <v>9968.4599999999991</v>
      </c>
      <c r="T217" s="1">
        <v>9335.6</v>
      </c>
      <c r="U217" s="1">
        <v>8367.119999999999</v>
      </c>
      <c r="V217" s="1">
        <v>0</v>
      </c>
      <c r="W217" s="1">
        <v>0</v>
      </c>
      <c r="X217" s="1">
        <v>9746.68</v>
      </c>
      <c r="Y217" s="1">
        <v>0</v>
      </c>
      <c r="Z217" s="1">
        <v>0</v>
      </c>
      <c r="AA217" s="1">
        <v>9968.4599999999991</v>
      </c>
      <c r="AB217" s="1">
        <v>0</v>
      </c>
      <c r="AC217" s="1">
        <v>0</v>
      </c>
      <c r="AD217" s="1">
        <v>9335.6</v>
      </c>
      <c r="AE217" s="1">
        <v>0</v>
      </c>
      <c r="AF217" s="1">
        <v>0</v>
      </c>
      <c r="AG217" s="1">
        <v>8367.119999999999</v>
      </c>
      <c r="AH217" s="1">
        <v>0</v>
      </c>
      <c r="AI217" s="1">
        <v>0</v>
      </c>
      <c r="AJ217" s="1">
        <v>0</v>
      </c>
      <c r="AK217" s="1">
        <v>0</v>
      </c>
      <c r="AL217" s="1">
        <v>0</v>
      </c>
      <c r="AM217" s="1">
        <v>0</v>
      </c>
      <c r="AN217" s="1">
        <v>0</v>
      </c>
      <c r="AO217" s="1">
        <v>0</v>
      </c>
      <c r="AP217" s="1">
        <v>19168.650000000001</v>
      </c>
      <c r="AQ217" s="1">
        <v>21068.39</v>
      </c>
      <c r="AR217" s="1">
        <v>17365.169999999998</v>
      </c>
      <c r="AS217" s="1">
        <v>19145.509999999998</v>
      </c>
      <c r="AT217" s="1">
        <v>0</v>
      </c>
      <c r="AU217" s="1">
        <v>19168.650000000001</v>
      </c>
      <c r="AV217" s="1">
        <v>0</v>
      </c>
      <c r="AW217" s="1">
        <v>0</v>
      </c>
      <c r="AX217" s="1">
        <v>0</v>
      </c>
      <c r="AY217" s="1">
        <v>21068.39</v>
      </c>
      <c r="AZ217" s="1">
        <v>0</v>
      </c>
      <c r="BA217" s="1">
        <v>0</v>
      </c>
      <c r="BB217" s="1">
        <v>0</v>
      </c>
      <c r="BC217" s="1">
        <v>17365.169999999998</v>
      </c>
      <c r="BD217" s="1">
        <v>0</v>
      </c>
      <c r="BE217" s="1">
        <v>0</v>
      </c>
      <c r="BF217" s="1">
        <v>19145.509999999998</v>
      </c>
      <c r="BG217" s="1">
        <v>0</v>
      </c>
      <c r="BH217" s="1">
        <v>0</v>
      </c>
      <c r="BI217" s="1">
        <v>0</v>
      </c>
      <c r="BJ217" s="1">
        <v>0</v>
      </c>
      <c r="BK217" s="1">
        <v>0</v>
      </c>
      <c r="BL217" s="1">
        <v>0</v>
      </c>
      <c r="BM217" s="1">
        <v>0</v>
      </c>
      <c r="BN217" s="1">
        <v>0</v>
      </c>
      <c r="BO217" s="1">
        <v>0</v>
      </c>
      <c r="BP217" s="1">
        <v>0</v>
      </c>
      <c r="BQ217" s="1">
        <v>0</v>
      </c>
      <c r="BR217" s="1">
        <v>0</v>
      </c>
      <c r="BS217" s="1">
        <v>0</v>
      </c>
      <c r="BT217" s="1">
        <v>0</v>
      </c>
      <c r="BU217" s="1">
        <v>15773.79</v>
      </c>
      <c r="BV217" s="1">
        <v>18750.3</v>
      </c>
      <c r="BW217" s="1">
        <v>16225.36</v>
      </c>
      <c r="BX217" s="1">
        <v>18038.38</v>
      </c>
      <c r="BY217" s="1">
        <v>15663.78</v>
      </c>
      <c r="BZ217" s="1">
        <v>18606.490000000002</v>
      </c>
      <c r="CA217" s="1">
        <v>16132.7</v>
      </c>
      <c r="CB217" s="1">
        <v>17917.95</v>
      </c>
      <c r="CC217" s="1">
        <v>110.01</v>
      </c>
      <c r="CD217" s="1">
        <v>143.81</v>
      </c>
      <c r="CE217" s="1">
        <v>92.66</v>
      </c>
      <c r="CF217" s="1">
        <v>120.43</v>
      </c>
      <c r="CG217" s="1">
        <v>0</v>
      </c>
      <c r="CH217" s="1">
        <v>0</v>
      </c>
      <c r="CI217" s="1">
        <v>0</v>
      </c>
      <c r="CJ217" s="1">
        <v>0</v>
      </c>
      <c r="CK217" s="1">
        <v>0</v>
      </c>
      <c r="CL217" s="1">
        <v>0</v>
      </c>
      <c r="CM217" s="1">
        <v>0</v>
      </c>
      <c r="CN217" s="1">
        <v>0</v>
      </c>
      <c r="CO217" s="1">
        <v>0</v>
      </c>
      <c r="CP217" s="1">
        <v>0</v>
      </c>
      <c r="CQ217" s="1">
        <v>0</v>
      </c>
      <c r="CR217" s="1">
        <v>0</v>
      </c>
      <c r="CS217" s="1">
        <v>5793.9400000000014</v>
      </c>
      <c r="CT217" s="1">
        <v>5352.3</v>
      </c>
      <c r="CU217" s="1">
        <v>4952.2700000000004</v>
      </c>
      <c r="CV217" s="1">
        <v>4400.45</v>
      </c>
      <c r="CW217" s="1">
        <v>5793.9400000000014</v>
      </c>
      <c r="CX217" s="1">
        <v>5352.3</v>
      </c>
      <c r="CY217" s="1">
        <v>4952.2700000000004</v>
      </c>
      <c r="CZ217" s="1">
        <v>4400.45</v>
      </c>
      <c r="DA217" s="1">
        <v>0</v>
      </c>
      <c r="DB217" s="1">
        <v>0</v>
      </c>
      <c r="DC217" s="1">
        <v>0</v>
      </c>
      <c r="DD217" s="1">
        <v>0</v>
      </c>
      <c r="DE217" s="1">
        <v>0</v>
      </c>
      <c r="DF217" s="1">
        <v>0</v>
      </c>
      <c r="DG217" s="1">
        <v>0</v>
      </c>
      <c r="DH217" s="1">
        <v>0</v>
      </c>
      <c r="DI217" s="1">
        <v>0</v>
      </c>
      <c r="DJ217" s="1">
        <v>0</v>
      </c>
      <c r="DK217" s="1">
        <v>0</v>
      </c>
      <c r="DL217" s="1">
        <v>0</v>
      </c>
      <c r="DM217" s="1">
        <v>8577.3700000000008</v>
      </c>
      <c r="DN217" s="1">
        <v>8480.41</v>
      </c>
      <c r="DO217" s="1">
        <v>7905.3899999999994</v>
      </c>
      <c r="DP217" s="1">
        <v>7631.72</v>
      </c>
      <c r="DQ217" s="1">
        <v>8577.3700000000008</v>
      </c>
      <c r="DR217" s="1">
        <v>8480.41</v>
      </c>
      <c r="DS217" s="1">
        <v>7905.3899999999994</v>
      </c>
      <c r="DT217" s="1">
        <v>7631.72</v>
      </c>
      <c r="DU217" s="1">
        <v>0</v>
      </c>
      <c r="DV217" s="1">
        <v>0</v>
      </c>
      <c r="DW217" s="1">
        <v>0</v>
      </c>
      <c r="DX217" s="1">
        <v>0</v>
      </c>
      <c r="DY217" s="1">
        <v>0</v>
      </c>
      <c r="DZ217" s="1">
        <v>0</v>
      </c>
      <c r="EA217" s="1">
        <v>0</v>
      </c>
      <c r="EB217" s="1">
        <v>0</v>
      </c>
      <c r="EC217" s="1">
        <v>0</v>
      </c>
      <c r="ED217" s="1">
        <v>0</v>
      </c>
      <c r="EE217" s="1">
        <v>0</v>
      </c>
      <c r="EF217" s="1">
        <v>0</v>
      </c>
      <c r="EG217" s="1">
        <v>0</v>
      </c>
      <c r="EH217" s="1">
        <v>0</v>
      </c>
      <c r="EI217" s="1">
        <v>0</v>
      </c>
      <c r="EJ217" s="1">
        <v>0</v>
      </c>
      <c r="EK217" s="1">
        <v>4790.7099999999991</v>
      </c>
      <c r="EL217" s="1">
        <v>4949.0200000000004</v>
      </c>
      <c r="EM217" s="1">
        <v>4653.24</v>
      </c>
      <c r="EN217" s="1">
        <v>4717.24</v>
      </c>
      <c r="EO217" s="1">
        <v>4790.7099999999991</v>
      </c>
      <c r="EP217" s="1">
        <v>4947.24</v>
      </c>
      <c r="EQ217" s="1">
        <v>4651.6000000000004</v>
      </c>
      <c r="ER217" s="1">
        <v>4715.8999999999996</v>
      </c>
      <c r="ES217" s="1">
        <v>0</v>
      </c>
      <c r="ET217" s="1">
        <v>1.78</v>
      </c>
      <c r="EU217" s="1">
        <v>1.64</v>
      </c>
      <c r="EV217" s="1">
        <v>1.34</v>
      </c>
      <c r="EW217" s="1">
        <v>0</v>
      </c>
      <c r="EX217" s="1">
        <v>0</v>
      </c>
      <c r="EY217" s="1">
        <v>0</v>
      </c>
      <c r="EZ217" s="1">
        <v>0</v>
      </c>
      <c r="FA217" s="1">
        <v>0</v>
      </c>
      <c r="FB217" s="1">
        <v>0</v>
      </c>
      <c r="FC217" s="1">
        <v>0</v>
      </c>
      <c r="FD217" s="1">
        <v>0</v>
      </c>
      <c r="FE217" s="1">
        <v>380.34</v>
      </c>
      <c r="FF217" s="1">
        <v>498.58</v>
      </c>
      <c r="FG217" s="1">
        <v>402.81</v>
      </c>
      <c r="FH217" s="1">
        <v>374.75</v>
      </c>
      <c r="FI217" s="1">
        <v>380.34</v>
      </c>
      <c r="FJ217" s="1">
        <v>498.58</v>
      </c>
      <c r="FK217" s="1">
        <v>402.81</v>
      </c>
      <c r="FL217" s="1">
        <v>374.75</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v>0</v>
      </c>
      <c r="GC217" s="1">
        <v>1392.41</v>
      </c>
      <c r="GD217" s="1">
        <v>1375.99</v>
      </c>
      <c r="GE217" s="1">
        <v>1270.57</v>
      </c>
      <c r="GF217" s="1">
        <v>1335.88</v>
      </c>
      <c r="GG217" s="1">
        <v>1392.41</v>
      </c>
      <c r="GH217" s="1">
        <v>1375.99</v>
      </c>
      <c r="GI217" s="1">
        <v>1270.57</v>
      </c>
      <c r="GJ217" s="1">
        <v>1335.88</v>
      </c>
      <c r="GK217" s="1">
        <v>0</v>
      </c>
      <c r="GL217" s="1">
        <v>0</v>
      </c>
      <c r="GM217" s="1">
        <v>0</v>
      </c>
      <c r="GN217" s="1">
        <v>0</v>
      </c>
      <c r="GO217" s="1">
        <v>0</v>
      </c>
      <c r="GP217" s="1">
        <v>0</v>
      </c>
      <c r="GQ217" s="1">
        <v>0</v>
      </c>
      <c r="GR217" s="1">
        <v>0</v>
      </c>
      <c r="GS217" s="1">
        <v>0</v>
      </c>
      <c r="GT217" s="1">
        <v>0</v>
      </c>
      <c r="GU217" s="1">
        <v>0</v>
      </c>
      <c r="GV217" s="1">
        <v>0</v>
      </c>
      <c r="GW217" s="1">
        <v>0</v>
      </c>
      <c r="GX217" s="1">
        <v>0</v>
      </c>
      <c r="GY217" s="1">
        <v>0</v>
      </c>
      <c r="GZ217" s="1">
        <v>0</v>
      </c>
      <c r="HA217" s="1">
        <v>0</v>
      </c>
      <c r="HB217" s="1">
        <v>0</v>
      </c>
      <c r="HC217" s="1">
        <v>0</v>
      </c>
      <c r="HD217" s="1">
        <v>0</v>
      </c>
      <c r="HE217" s="1">
        <v>12884.05</v>
      </c>
      <c r="HF217" s="1">
        <v>17493.32</v>
      </c>
      <c r="HG217" s="1">
        <v>14200.05</v>
      </c>
      <c r="HH217" s="1">
        <v>13094.79</v>
      </c>
      <c r="HI217" s="1">
        <v>12015.03</v>
      </c>
      <c r="HJ217" s="1">
        <v>15650.5</v>
      </c>
      <c r="HK217" s="1">
        <v>12977.11</v>
      </c>
      <c r="HL217" s="1">
        <v>11893.21</v>
      </c>
      <c r="HM217" s="1">
        <v>0</v>
      </c>
      <c r="HN217" s="1">
        <v>0</v>
      </c>
      <c r="HO217" s="1">
        <v>0</v>
      </c>
      <c r="HP217" s="1">
        <v>0</v>
      </c>
      <c r="HQ217" s="1">
        <v>0</v>
      </c>
      <c r="HR217" s="1">
        <v>0</v>
      </c>
      <c r="HS217" s="1">
        <v>0</v>
      </c>
      <c r="HT217" s="1">
        <v>0</v>
      </c>
      <c r="HU217" s="1">
        <v>0</v>
      </c>
      <c r="HV217" s="1">
        <v>0</v>
      </c>
      <c r="HW217" s="1">
        <v>0</v>
      </c>
      <c r="HX217" s="1">
        <v>0</v>
      </c>
      <c r="HY217" s="1">
        <v>0</v>
      </c>
      <c r="HZ217" s="1">
        <v>0</v>
      </c>
      <c r="IA217" s="1">
        <v>0</v>
      </c>
      <c r="IB217" s="1">
        <v>0</v>
      </c>
      <c r="IC217" s="1">
        <v>854.74</v>
      </c>
      <c r="ID217" s="1">
        <v>1830.68</v>
      </c>
      <c r="IE217" s="1">
        <v>1221.22</v>
      </c>
      <c r="IF217" s="1">
        <v>1201.58</v>
      </c>
      <c r="IG217" s="1">
        <v>0</v>
      </c>
      <c r="IH217" s="1">
        <v>0</v>
      </c>
      <c r="II217" s="1">
        <v>0</v>
      </c>
      <c r="IJ217" s="1">
        <v>0</v>
      </c>
      <c r="IK217" s="1">
        <v>14.28</v>
      </c>
      <c r="IL217" s="1">
        <v>12.14</v>
      </c>
      <c r="IM217" s="1">
        <v>1.72</v>
      </c>
      <c r="IN217" s="1">
        <v>0</v>
      </c>
      <c r="IO217" s="1">
        <v>4004.62</v>
      </c>
      <c r="IP217" s="1">
        <v>5728.36</v>
      </c>
      <c r="IQ217" s="1">
        <v>4883.01</v>
      </c>
      <c r="IR217" s="1">
        <v>4065.33</v>
      </c>
      <c r="IS217" s="1">
        <v>1415.96</v>
      </c>
      <c r="IT217" s="1">
        <v>2409.06</v>
      </c>
      <c r="IU217" s="1">
        <v>2037.05</v>
      </c>
      <c r="IV217" s="1">
        <v>2195.12</v>
      </c>
      <c r="IW217" s="1">
        <v>2588.66</v>
      </c>
      <c r="IX217" s="1">
        <v>3319.3</v>
      </c>
      <c r="IY217" s="1">
        <v>2845.96</v>
      </c>
      <c r="IZ217" s="1">
        <v>1870.21</v>
      </c>
      <c r="JA217" s="1">
        <v>0</v>
      </c>
      <c r="JB217" s="1">
        <v>0</v>
      </c>
      <c r="JC217" s="1">
        <v>0</v>
      </c>
      <c r="JD217" s="1">
        <v>0</v>
      </c>
      <c r="JE217" s="1">
        <v>0</v>
      </c>
      <c r="JF217" s="1">
        <v>0</v>
      </c>
      <c r="JG217" s="1">
        <v>0</v>
      </c>
      <c r="JH217" s="1">
        <v>0</v>
      </c>
      <c r="JI217" s="1">
        <v>0</v>
      </c>
      <c r="JJ217" s="1">
        <v>0</v>
      </c>
      <c r="JK217" s="1">
        <v>0</v>
      </c>
      <c r="JL217" s="1">
        <v>0</v>
      </c>
      <c r="JM217" s="1">
        <v>0</v>
      </c>
      <c r="JN217" s="1">
        <v>0</v>
      </c>
      <c r="JO217" s="1">
        <v>0</v>
      </c>
      <c r="JP217" s="1">
        <v>0</v>
      </c>
      <c r="JQ217" s="9"/>
      <c r="JR217" s="1">
        <f t="shared" si="48"/>
        <v>33651.709199999998</v>
      </c>
      <c r="JS217" s="1">
        <f t="shared" si="48"/>
        <v>31853.816999999999</v>
      </c>
      <c r="JT217" s="1">
        <f t="shared" si="48"/>
        <v>31311.689400000007</v>
      </c>
      <c r="JU217" s="1">
        <f t="shared" si="48"/>
        <v>33754.055400000005</v>
      </c>
      <c r="JV217" s="1">
        <f t="shared" si="49"/>
        <v>6231.7979999999998</v>
      </c>
      <c r="JW217" s="1">
        <f t="shared" si="49"/>
        <v>5898.8549999999996</v>
      </c>
      <c r="JX217" s="1">
        <f t="shared" si="49"/>
        <v>5798.4610000000011</v>
      </c>
      <c r="JY217" s="1">
        <f t="shared" si="49"/>
        <v>6250.7510000000002</v>
      </c>
    </row>
    <row r="218" spans="1:285" x14ac:dyDescent="0.35">
      <c r="A218" s="2" t="s">
        <v>225</v>
      </c>
      <c r="B218" s="1">
        <v>87371</v>
      </c>
      <c r="C218" s="1">
        <v>89161</v>
      </c>
      <c r="D218" s="1">
        <v>89795</v>
      </c>
      <c r="E218" s="1">
        <v>90937</v>
      </c>
      <c r="F218" s="1">
        <v>28137.669000000002</v>
      </c>
      <c r="G218" s="1">
        <v>22239.991999999998</v>
      </c>
      <c r="H218" s="1">
        <v>19445.319</v>
      </c>
      <c r="I218" s="1">
        <v>18964.036</v>
      </c>
      <c r="J218" s="1">
        <f t="shared" si="50"/>
        <v>20804.555</v>
      </c>
      <c r="K218" s="1">
        <f t="shared" si="51"/>
        <v>16600.834000000003</v>
      </c>
      <c r="L218" s="1">
        <f t="shared" si="52"/>
        <v>13615.496999999998</v>
      </c>
      <c r="M218" s="1">
        <f t="shared" si="53"/>
        <v>13340.558000000001</v>
      </c>
      <c r="N218" s="1">
        <f t="shared" si="54"/>
        <v>7333.1140000000014</v>
      </c>
      <c r="O218" s="1">
        <f t="shared" si="55"/>
        <v>5639.1579999999958</v>
      </c>
      <c r="P218" s="1">
        <f t="shared" si="56"/>
        <v>5829.8220000000019</v>
      </c>
      <c r="Q218" s="1">
        <f t="shared" si="57"/>
        <v>5623.4779999999992</v>
      </c>
      <c r="R218" s="1">
        <v>77.28</v>
      </c>
      <c r="S218" s="1">
        <v>1499.22</v>
      </c>
      <c r="T218" s="1">
        <v>1788.2</v>
      </c>
      <c r="U218" s="1">
        <v>1701.23</v>
      </c>
      <c r="V218" s="1">
        <v>0</v>
      </c>
      <c r="W218" s="1">
        <v>0</v>
      </c>
      <c r="X218" s="1">
        <v>77.28</v>
      </c>
      <c r="Y218" s="1">
        <v>0</v>
      </c>
      <c r="Z218" s="1">
        <v>0</v>
      </c>
      <c r="AA218" s="1">
        <v>1499.22</v>
      </c>
      <c r="AB218" s="1">
        <v>0</v>
      </c>
      <c r="AC218" s="1">
        <v>0</v>
      </c>
      <c r="AD218" s="1">
        <v>1788.2</v>
      </c>
      <c r="AE218" s="1">
        <v>0</v>
      </c>
      <c r="AF218" s="1">
        <v>0</v>
      </c>
      <c r="AG218" s="1">
        <v>1701.23</v>
      </c>
      <c r="AH218" s="1">
        <v>0</v>
      </c>
      <c r="AI218" s="1">
        <v>0</v>
      </c>
      <c r="AJ218" s="1">
        <v>0</v>
      </c>
      <c r="AK218" s="1">
        <v>0</v>
      </c>
      <c r="AL218" s="1">
        <v>0</v>
      </c>
      <c r="AM218" s="1">
        <v>0</v>
      </c>
      <c r="AN218" s="1">
        <v>0</v>
      </c>
      <c r="AO218" s="1">
        <v>0</v>
      </c>
      <c r="AP218" s="1">
        <v>11382.140000000001</v>
      </c>
      <c r="AQ218" s="1">
        <v>6171.7969999999996</v>
      </c>
      <c r="AR218" s="1">
        <v>4278.8829999999989</v>
      </c>
      <c r="AS218" s="1">
        <v>4511.4049999999997</v>
      </c>
      <c r="AT218" s="1">
        <v>11059.619999999999</v>
      </c>
      <c r="AU218" s="1">
        <v>322.52000000000226</v>
      </c>
      <c r="AV218" s="1">
        <v>0</v>
      </c>
      <c r="AW218" s="1">
        <v>0</v>
      </c>
      <c r="AX218" s="1">
        <v>3341.1400000000003</v>
      </c>
      <c r="AY218" s="1">
        <v>2830.6569999999992</v>
      </c>
      <c r="AZ218" s="1">
        <v>0</v>
      </c>
      <c r="BA218" s="1">
        <v>0</v>
      </c>
      <c r="BB218" s="1">
        <v>0</v>
      </c>
      <c r="BC218" s="1">
        <v>4278.8829999999989</v>
      </c>
      <c r="BD218" s="1">
        <v>0</v>
      </c>
      <c r="BE218" s="1">
        <v>0</v>
      </c>
      <c r="BF218" s="1">
        <v>4511.4049999999997</v>
      </c>
      <c r="BG218" s="1">
        <v>0</v>
      </c>
      <c r="BH218" s="1">
        <v>0</v>
      </c>
      <c r="BI218" s="1">
        <v>0</v>
      </c>
      <c r="BJ218" s="1">
        <v>0</v>
      </c>
      <c r="BK218" s="1">
        <v>0</v>
      </c>
      <c r="BL218" s="1">
        <v>0</v>
      </c>
      <c r="BM218" s="1">
        <v>0</v>
      </c>
      <c r="BN218" s="1">
        <v>0</v>
      </c>
      <c r="BO218" s="1">
        <v>0</v>
      </c>
      <c r="BP218" s="1">
        <v>0</v>
      </c>
      <c r="BQ218" s="1">
        <v>0</v>
      </c>
      <c r="BR218" s="1">
        <v>0</v>
      </c>
      <c r="BS218" s="1">
        <v>0</v>
      </c>
      <c r="BT218" s="1">
        <v>0</v>
      </c>
      <c r="BU218" s="1">
        <v>4834.8770000000004</v>
      </c>
      <c r="BV218" s="1">
        <v>4017.8359999999998</v>
      </c>
      <c r="BW218" s="1">
        <v>3453.99</v>
      </c>
      <c r="BX218" s="1">
        <v>3262.442</v>
      </c>
      <c r="BY218" s="1">
        <v>4817.7939999999999</v>
      </c>
      <c r="BZ218" s="1">
        <v>4002.386</v>
      </c>
      <c r="CA218" s="1">
        <v>3434.8710000000001</v>
      </c>
      <c r="CB218" s="1">
        <v>3248.3649999999998</v>
      </c>
      <c r="CC218" s="1">
        <v>17.082999999999998</v>
      </c>
      <c r="CD218" s="1">
        <v>15.45</v>
      </c>
      <c r="CE218" s="1">
        <v>19.119</v>
      </c>
      <c r="CF218" s="1">
        <v>14.077</v>
      </c>
      <c r="CG218" s="1">
        <v>0</v>
      </c>
      <c r="CH218" s="1">
        <v>0</v>
      </c>
      <c r="CI218" s="1">
        <v>0</v>
      </c>
      <c r="CJ218" s="1">
        <v>0</v>
      </c>
      <c r="CK218" s="1">
        <v>0</v>
      </c>
      <c r="CL218" s="1">
        <v>0</v>
      </c>
      <c r="CM218" s="1">
        <v>0</v>
      </c>
      <c r="CN218" s="1">
        <v>0</v>
      </c>
      <c r="CO218" s="1">
        <v>0</v>
      </c>
      <c r="CP218" s="1">
        <v>0</v>
      </c>
      <c r="CQ218" s="1">
        <v>0</v>
      </c>
      <c r="CR218" s="1">
        <v>0</v>
      </c>
      <c r="CS218" s="1">
        <v>520.64099999999996</v>
      </c>
      <c r="CT218" s="1">
        <v>699.44899999999996</v>
      </c>
      <c r="CU218" s="1">
        <v>741.14799999999991</v>
      </c>
      <c r="CV218" s="1">
        <v>661.42700000000002</v>
      </c>
      <c r="CW218" s="1">
        <v>520.64099999999996</v>
      </c>
      <c r="CX218" s="1">
        <v>699.44899999999996</v>
      </c>
      <c r="CY218" s="1">
        <v>741.14799999999991</v>
      </c>
      <c r="CZ218" s="1">
        <v>661.42700000000002</v>
      </c>
      <c r="DA218" s="1">
        <v>0</v>
      </c>
      <c r="DB218" s="1">
        <v>0</v>
      </c>
      <c r="DC218" s="1">
        <v>0</v>
      </c>
      <c r="DD218" s="1">
        <v>0</v>
      </c>
      <c r="DE218" s="1">
        <v>0</v>
      </c>
      <c r="DF218" s="1">
        <v>0</v>
      </c>
      <c r="DG218" s="1">
        <v>0</v>
      </c>
      <c r="DH218" s="1">
        <v>0</v>
      </c>
      <c r="DI218" s="1">
        <v>0</v>
      </c>
      <c r="DJ218" s="1">
        <v>0</v>
      </c>
      <c r="DK218" s="1">
        <v>0</v>
      </c>
      <c r="DL218" s="1">
        <v>0</v>
      </c>
      <c r="DM218" s="1">
        <v>2784.67</v>
      </c>
      <c r="DN218" s="1">
        <v>3480.0070000000001</v>
      </c>
      <c r="DO218" s="1">
        <v>2950.627</v>
      </c>
      <c r="DP218" s="1">
        <v>2793.0459999999998</v>
      </c>
      <c r="DQ218" s="1">
        <v>2784.67</v>
      </c>
      <c r="DR218" s="1">
        <v>3480.0070000000001</v>
      </c>
      <c r="DS218" s="1">
        <v>2950.627</v>
      </c>
      <c r="DT218" s="1">
        <v>2793.0459999999998</v>
      </c>
      <c r="DU218" s="1">
        <v>0</v>
      </c>
      <c r="DV218" s="1">
        <v>0</v>
      </c>
      <c r="DW218" s="1">
        <v>0</v>
      </c>
      <c r="DX218" s="1">
        <v>0</v>
      </c>
      <c r="DY218" s="1">
        <v>0</v>
      </c>
      <c r="DZ218" s="1">
        <v>0</v>
      </c>
      <c r="EA218" s="1">
        <v>0</v>
      </c>
      <c r="EB218" s="1">
        <v>0</v>
      </c>
      <c r="EC218" s="1">
        <v>0</v>
      </c>
      <c r="ED218" s="1">
        <v>0</v>
      </c>
      <c r="EE218" s="1">
        <v>0</v>
      </c>
      <c r="EF218" s="1">
        <v>0</v>
      </c>
      <c r="EG218" s="1">
        <v>0</v>
      </c>
      <c r="EH218" s="1">
        <v>0</v>
      </c>
      <c r="EI218" s="1">
        <v>0</v>
      </c>
      <c r="EJ218" s="1">
        <v>0</v>
      </c>
      <c r="EK218" s="1">
        <v>1113.1120000000001</v>
      </c>
      <c r="EL218" s="1">
        <v>619.39099999999996</v>
      </c>
      <c r="EM218" s="1">
        <v>295.10899999999998</v>
      </c>
      <c r="EN218" s="1">
        <v>314.13400000000001</v>
      </c>
      <c r="EO218" s="1">
        <v>1113.1120000000001</v>
      </c>
      <c r="EP218" s="1">
        <v>619.39099999999996</v>
      </c>
      <c r="EQ218" s="1">
        <v>295.10899999999998</v>
      </c>
      <c r="ER218" s="1">
        <v>314.13400000000001</v>
      </c>
      <c r="ES218" s="1">
        <v>0</v>
      </c>
      <c r="ET218" s="1">
        <v>0</v>
      </c>
      <c r="EU218" s="1">
        <v>0</v>
      </c>
      <c r="EV218" s="1">
        <v>0</v>
      </c>
      <c r="EW218" s="1">
        <v>0</v>
      </c>
      <c r="EX218" s="1">
        <v>0</v>
      </c>
      <c r="EY218" s="1">
        <v>0</v>
      </c>
      <c r="EZ218" s="1">
        <v>0</v>
      </c>
      <c r="FA218" s="1">
        <v>0</v>
      </c>
      <c r="FB218" s="1">
        <v>0</v>
      </c>
      <c r="FC218" s="1">
        <v>0</v>
      </c>
      <c r="FD218" s="1">
        <v>0</v>
      </c>
      <c r="FE218" s="1">
        <v>88.91</v>
      </c>
      <c r="FF218" s="1">
        <v>100.51900000000001</v>
      </c>
      <c r="FG218" s="1">
        <v>90.361999999999995</v>
      </c>
      <c r="FH218" s="1">
        <v>83.185000000000002</v>
      </c>
      <c r="FI218" s="1">
        <v>0</v>
      </c>
      <c r="FJ218" s="1">
        <v>0</v>
      </c>
      <c r="FK218" s="1">
        <v>0</v>
      </c>
      <c r="FL218" s="1">
        <v>0</v>
      </c>
      <c r="FM218" s="1">
        <v>88.91</v>
      </c>
      <c r="FN218" s="1">
        <v>100.51900000000001</v>
      </c>
      <c r="FO218" s="1">
        <v>90.361999999999995</v>
      </c>
      <c r="FP218" s="1">
        <v>83.185000000000002</v>
      </c>
      <c r="FQ218" s="1">
        <v>0</v>
      </c>
      <c r="FR218" s="1">
        <v>0</v>
      </c>
      <c r="FS218" s="1">
        <v>0</v>
      </c>
      <c r="FT218" s="1">
        <v>0</v>
      </c>
      <c r="FU218" s="1">
        <v>0</v>
      </c>
      <c r="FV218" s="1">
        <v>0</v>
      </c>
      <c r="FW218" s="1">
        <v>0</v>
      </c>
      <c r="FX218" s="1">
        <v>0</v>
      </c>
      <c r="FY218" s="1">
        <v>0</v>
      </c>
      <c r="FZ218" s="1">
        <v>0</v>
      </c>
      <c r="GA218" s="1">
        <v>0</v>
      </c>
      <c r="GB218" s="1">
        <v>0</v>
      </c>
      <c r="GC218" s="1">
        <v>2.9249999999999998</v>
      </c>
      <c r="GD218" s="1">
        <v>12.465</v>
      </c>
      <c r="GE218" s="1">
        <v>15.03</v>
      </c>
      <c r="GF218" s="1">
        <v>13.455</v>
      </c>
      <c r="GG218" s="1">
        <v>2.9249999999999998</v>
      </c>
      <c r="GH218" s="1">
        <v>12.465</v>
      </c>
      <c r="GI218" s="1">
        <v>15.03</v>
      </c>
      <c r="GJ218" s="1">
        <v>13.455</v>
      </c>
      <c r="GK218" s="1">
        <v>0</v>
      </c>
      <c r="GL218" s="1">
        <v>0</v>
      </c>
      <c r="GM218" s="1">
        <v>0</v>
      </c>
      <c r="GN218" s="1">
        <v>0</v>
      </c>
      <c r="GO218" s="1">
        <v>0</v>
      </c>
      <c r="GP218" s="1">
        <v>0</v>
      </c>
      <c r="GQ218" s="1">
        <v>0</v>
      </c>
      <c r="GR218" s="1">
        <v>0</v>
      </c>
      <c r="GS218" s="1">
        <v>0</v>
      </c>
      <c r="GT218" s="1">
        <v>0</v>
      </c>
      <c r="GU218" s="1">
        <v>0</v>
      </c>
      <c r="GV218" s="1">
        <v>0</v>
      </c>
      <c r="GW218" s="1">
        <v>0</v>
      </c>
      <c r="GX218" s="1">
        <v>0</v>
      </c>
      <c r="GY218" s="1">
        <v>0</v>
      </c>
      <c r="GZ218" s="1">
        <v>0</v>
      </c>
      <c r="HA218" s="1">
        <v>0</v>
      </c>
      <c r="HB218" s="1">
        <v>0</v>
      </c>
      <c r="HC218" s="1">
        <v>0</v>
      </c>
      <c r="HD218" s="1">
        <v>0</v>
      </c>
      <c r="HE218" s="1">
        <v>0</v>
      </c>
      <c r="HF218" s="1">
        <v>0</v>
      </c>
      <c r="HG218" s="1">
        <v>0</v>
      </c>
      <c r="HH218" s="1">
        <v>0</v>
      </c>
      <c r="HI218" s="1">
        <v>0</v>
      </c>
      <c r="HJ218" s="1">
        <v>0</v>
      </c>
      <c r="HK218" s="1">
        <v>0</v>
      </c>
      <c r="HL218" s="1">
        <v>0</v>
      </c>
      <c r="HM218" s="1">
        <v>0</v>
      </c>
      <c r="HN218" s="1">
        <v>0</v>
      </c>
      <c r="HO218" s="1">
        <v>0</v>
      </c>
      <c r="HP218" s="1">
        <v>0</v>
      </c>
      <c r="HQ218" s="1">
        <v>0</v>
      </c>
      <c r="HR218" s="1">
        <v>0</v>
      </c>
      <c r="HS218" s="1">
        <v>0</v>
      </c>
      <c r="HT218" s="1">
        <v>0</v>
      </c>
      <c r="HU218" s="1">
        <v>0</v>
      </c>
      <c r="HV218" s="1">
        <v>0</v>
      </c>
      <c r="HW218" s="1">
        <v>0</v>
      </c>
      <c r="HX218" s="1">
        <v>0</v>
      </c>
      <c r="HY218" s="1">
        <v>0</v>
      </c>
      <c r="HZ218" s="1">
        <v>0</v>
      </c>
      <c r="IA218" s="1">
        <v>0</v>
      </c>
      <c r="IB218" s="1">
        <v>0</v>
      </c>
      <c r="IC218" s="1">
        <v>0</v>
      </c>
      <c r="ID218" s="1">
        <v>0</v>
      </c>
      <c r="IE218" s="1">
        <v>0</v>
      </c>
      <c r="IF218" s="1">
        <v>0</v>
      </c>
      <c r="IG218" s="1">
        <v>0</v>
      </c>
      <c r="IH218" s="1">
        <v>0</v>
      </c>
      <c r="II218" s="1">
        <v>0</v>
      </c>
      <c r="IJ218" s="1">
        <v>0</v>
      </c>
      <c r="IK218" s="1">
        <v>0</v>
      </c>
      <c r="IL218" s="1">
        <v>0</v>
      </c>
      <c r="IM218" s="1">
        <v>0</v>
      </c>
      <c r="IN218" s="1">
        <v>0</v>
      </c>
      <c r="IO218" s="1">
        <v>0</v>
      </c>
      <c r="IP218" s="1">
        <v>0.15</v>
      </c>
      <c r="IQ218" s="1">
        <v>2.1480000000000001</v>
      </c>
      <c r="IR218" s="1">
        <v>0.23400000000000001</v>
      </c>
      <c r="IS218" s="1">
        <v>0</v>
      </c>
      <c r="IT218" s="1">
        <v>0.15</v>
      </c>
      <c r="IU218" s="1">
        <v>2.1480000000000001</v>
      </c>
      <c r="IV218" s="1">
        <v>0.23400000000000001</v>
      </c>
      <c r="IW218" s="1">
        <v>0</v>
      </c>
      <c r="IX218" s="1">
        <v>0</v>
      </c>
      <c r="IY218" s="1">
        <v>0</v>
      </c>
      <c r="IZ218" s="1">
        <v>0</v>
      </c>
      <c r="JA218" s="1">
        <v>0</v>
      </c>
      <c r="JB218" s="1">
        <v>0</v>
      </c>
      <c r="JC218" s="1">
        <v>0</v>
      </c>
      <c r="JD218" s="1">
        <v>0</v>
      </c>
      <c r="JE218" s="1">
        <v>0</v>
      </c>
      <c r="JF218" s="1">
        <v>0</v>
      </c>
      <c r="JG218" s="1">
        <v>0</v>
      </c>
      <c r="JH218" s="1">
        <v>0</v>
      </c>
      <c r="JI218" s="1">
        <v>0</v>
      </c>
      <c r="JJ218" s="1">
        <v>0</v>
      </c>
      <c r="JK218" s="1">
        <v>0</v>
      </c>
      <c r="JL218" s="1">
        <v>0</v>
      </c>
      <c r="JM218" s="1">
        <v>0</v>
      </c>
      <c r="JN218" s="1">
        <v>0</v>
      </c>
      <c r="JO218" s="1">
        <v>0</v>
      </c>
      <c r="JP218" s="1">
        <v>0</v>
      </c>
      <c r="JQ218" s="9"/>
      <c r="JR218" s="1">
        <f t="shared" si="48"/>
        <v>1979.9407800000006</v>
      </c>
      <c r="JS218" s="1">
        <f t="shared" si="48"/>
        <v>1522.5726599999989</v>
      </c>
      <c r="JT218" s="1">
        <f t="shared" si="48"/>
        <v>1574.0519400000005</v>
      </c>
      <c r="JU218" s="1">
        <f t="shared" si="48"/>
        <v>1518.3390599999998</v>
      </c>
      <c r="JV218" s="1">
        <f t="shared" si="49"/>
        <v>366.65570000000008</v>
      </c>
      <c r="JW218" s="1">
        <f t="shared" si="49"/>
        <v>281.95789999999982</v>
      </c>
      <c r="JX218" s="1">
        <f t="shared" si="49"/>
        <v>291.49110000000013</v>
      </c>
      <c r="JY218" s="1">
        <f t="shared" si="49"/>
        <v>281.17389999999995</v>
      </c>
    </row>
    <row r="219" spans="1:285" x14ac:dyDescent="0.35">
      <c r="A219" s="2" t="s">
        <v>226</v>
      </c>
      <c r="B219" s="1">
        <v>94029</v>
      </c>
      <c r="C219" s="1">
        <v>95490</v>
      </c>
      <c r="D219" s="1">
        <v>97063</v>
      </c>
      <c r="E219" s="1">
        <v>98312</v>
      </c>
      <c r="F219" s="1">
        <v>26958.235000000001</v>
      </c>
      <c r="G219" s="1">
        <v>32633.095000000001</v>
      </c>
      <c r="H219" s="1">
        <v>25535.118999999999</v>
      </c>
      <c r="I219" s="1">
        <v>25406.052</v>
      </c>
      <c r="J219" s="1">
        <f t="shared" si="50"/>
        <v>9653.3949999999986</v>
      </c>
      <c r="K219" s="1">
        <f t="shared" si="51"/>
        <v>12652.455</v>
      </c>
      <c r="L219" s="1">
        <f t="shared" si="52"/>
        <v>12088.449000000001</v>
      </c>
      <c r="M219" s="1">
        <f t="shared" si="53"/>
        <v>12343.541999999999</v>
      </c>
      <c r="N219" s="1">
        <f t="shared" si="54"/>
        <v>17304.840000000004</v>
      </c>
      <c r="O219" s="1">
        <f t="shared" si="55"/>
        <v>19980.64</v>
      </c>
      <c r="P219" s="1">
        <f t="shared" si="56"/>
        <v>13446.669999999998</v>
      </c>
      <c r="Q219" s="1">
        <f t="shared" si="57"/>
        <v>13062.51</v>
      </c>
      <c r="R219" s="1">
        <v>0</v>
      </c>
      <c r="S219" s="1">
        <v>0</v>
      </c>
      <c r="T219" s="1">
        <v>0</v>
      </c>
      <c r="U219" s="1">
        <v>0</v>
      </c>
      <c r="V219" s="1">
        <v>0</v>
      </c>
      <c r="W219" s="1">
        <v>0</v>
      </c>
      <c r="X219" s="1">
        <v>0</v>
      </c>
      <c r="Y219" s="1">
        <v>0</v>
      </c>
      <c r="Z219" s="1">
        <v>0</v>
      </c>
      <c r="AA219" s="1">
        <v>0</v>
      </c>
      <c r="AB219" s="1">
        <v>0</v>
      </c>
      <c r="AC219" s="1">
        <v>0</v>
      </c>
      <c r="AD219" s="1">
        <v>0</v>
      </c>
      <c r="AE219" s="1">
        <v>0</v>
      </c>
      <c r="AF219" s="1">
        <v>0</v>
      </c>
      <c r="AG219" s="1">
        <v>0</v>
      </c>
      <c r="AH219" s="1">
        <v>0</v>
      </c>
      <c r="AI219" s="1">
        <v>0</v>
      </c>
      <c r="AJ219" s="1">
        <v>0</v>
      </c>
      <c r="AK219" s="1">
        <v>0</v>
      </c>
      <c r="AL219" s="1">
        <v>0</v>
      </c>
      <c r="AM219" s="1">
        <v>0</v>
      </c>
      <c r="AN219" s="1">
        <v>0</v>
      </c>
      <c r="AO219" s="1">
        <v>0</v>
      </c>
      <c r="AP219" s="1">
        <v>2926.26</v>
      </c>
      <c r="AQ219" s="1">
        <v>3911.57</v>
      </c>
      <c r="AR219" s="1">
        <v>4293.34</v>
      </c>
      <c r="AS219" s="1">
        <v>4897.54</v>
      </c>
      <c r="AT219" s="1">
        <v>0</v>
      </c>
      <c r="AU219" s="1">
        <v>2926.26</v>
      </c>
      <c r="AV219" s="1">
        <v>0</v>
      </c>
      <c r="AW219" s="1">
        <v>0</v>
      </c>
      <c r="AX219" s="1">
        <v>0</v>
      </c>
      <c r="AY219" s="1">
        <v>3911.57</v>
      </c>
      <c r="AZ219" s="1">
        <v>0</v>
      </c>
      <c r="BA219" s="1">
        <v>0</v>
      </c>
      <c r="BB219" s="1">
        <v>0</v>
      </c>
      <c r="BC219" s="1">
        <v>4293.34</v>
      </c>
      <c r="BD219" s="1">
        <v>0</v>
      </c>
      <c r="BE219" s="1">
        <v>0</v>
      </c>
      <c r="BF219" s="1">
        <v>4897.54</v>
      </c>
      <c r="BG219" s="1">
        <v>0</v>
      </c>
      <c r="BH219" s="1">
        <v>0</v>
      </c>
      <c r="BI219" s="1">
        <v>0</v>
      </c>
      <c r="BJ219" s="1">
        <v>0</v>
      </c>
      <c r="BK219" s="1">
        <v>0</v>
      </c>
      <c r="BL219" s="1">
        <v>0</v>
      </c>
      <c r="BM219" s="1">
        <v>0</v>
      </c>
      <c r="BN219" s="1">
        <v>0</v>
      </c>
      <c r="BO219" s="1">
        <v>0</v>
      </c>
      <c r="BP219" s="1">
        <v>0</v>
      </c>
      <c r="BQ219" s="1">
        <v>0</v>
      </c>
      <c r="BR219" s="1">
        <v>0</v>
      </c>
      <c r="BS219" s="1">
        <v>0</v>
      </c>
      <c r="BT219" s="1">
        <v>0</v>
      </c>
      <c r="BU219" s="1">
        <v>3535.84</v>
      </c>
      <c r="BV219" s="1">
        <v>4411.2700000000004</v>
      </c>
      <c r="BW219" s="1">
        <v>3256.6</v>
      </c>
      <c r="BX219" s="1">
        <v>3124.71</v>
      </c>
      <c r="BY219" s="1">
        <v>3535.84</v>
      </c>
      <c r="BZ219" s="1">
        <v>4411.2700000000004</v>
      </c>
      <c r="CA219" s="1">
        <v>3256.6</v>
      </c>
      <c r="CB219" s="1">
        <v>3124.71</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943.06999999999994</v>
      </c>
      <c r="CT219" s="1">
        <v>1516.34</v>
      </c>
      <c r="CU219" s="1">
        <v>1931.46</v>
      </c>
      <c r="CV219" s="1">
        <v>1928.28</v>
      </c>
      <c r="CW219" s="1">
        <v>943.06999999999994</v>
      </c>
      <c r="CX219" s="1">
        <v>1516.34</v>
      </c>
      <c r="CY219" s="1">
        <v>1931.46</v>
      </c>
      <c r="CZ219" s="1">
        <v>1928.28</v>
      </c>
      <c r="DA219" s="1">
        <v>0</v>
      </c>
      <c r="DB219" s="1">
        <v>0</v>
      </c>
      <c r="DC219" s="1">
        <v>0</v>
      </c>
      <c r="DD219" s="1">
        <v>0</v>
      </c>
      <c r="DE219" s="1">
        <v>0</v>
      </c>
      <c r="DF219" s="1">
        <v>0</v>
      </c>
      <c r="DG219" s="1">
        <v>0</v>
      </c>
      <c r="DH219" s="1">
        <v>0</v>
      </c>
      <c r="DI219" s="1">
        <v>0</v>
      </c>
      <c r="DJ219" s="1">
        <v>0</v>
      </c>
      <c r="DK219" s="1">
        <v>0</v>
      </c>
      <c r="DL219" s="1">
        <v>0</v>
      </c>
      <c r="DM219" s="1">
        <v>1446.05</v>
      </c>
      <c r="DN219" s="1">
        <v>1784.47</v>
      </c>
      <c r="DO219" s="1">
        <v>1499.251</v>
      </c>
      <c r="DP219" s="1">
        <v>1290.3900000000001</v>
      </c>
      <c r="DQ219" s="1">
        <v>1446.05</v>
      </c>
      <c r="DR219" s="1">
        <v>1784.47</v>
      </c>
      <c r="DS219" s="1">
        <v>1499.251</v>
      </c>
      <c r="DT219" s="1">
        <v>1290.3900000000001</v>
      </c>
      <c r="DU219" s="1">
        <v>0</v>
      </c>
      <c r="DV219" s="1">
        <v>0</v>
      </c>
      <c r="DW219" s="1">
        <v>0</v>
      </c>
      <c r="DX219" s="1">
        <v>0</v>
      </c>
      <c r="DY219" s="1">
        <v>0</v>
      </c>
      <c r="DZ219" s="1">
        <v>0</v>
      </c>
      <c r="EA219" s="1">
        <v>0</v>
      </c>
      <c r="EB219" s="1">
        <v>0</v>
      </c>
      <c r="EC219" s="1">
        <v>0</v>
      </c>
      <c r="ED219" s="1">
        <v>0</v>
      </c>
      <c r="EE219" s="1">
        <v>0</v>
      </c>
      <c r="EF219" s="1">
        <v>0</v>
      </c>
      <c r="EG219" s="1">
        <v>0</v>
      </c>
      <c r="EH219" s="1">
        <v>0</v>
      </c>
      <c r="EI219" s="1">
        <v>0</v>
      </c>
      <c r="EJ219" s="1">
        <v>0</v>
      </c>
      <c r="EK219" s="1">
        <v>405.56000000000012</v>
      </c>
      <c r="EL219" s="1">
        <v>489.14</v>
      </c>
      <c r="EM219" s="1">
        <v>488.98</v>
      </c>
      <c r="EN219" s="1">
        <v>471.61</v>
      </c>
      <c r="EO219" s="1">
        <v>405.56000000000012</v>
      </c>
      <c r="EP219" s="1">
        <v>489.14</v>
      </c>
      <c r="EQ219" s="1">
        <v>488.98</v>
      </c>
      <c r="ER219" s="1">
        <v>471.61</v>
      </c>
      <c r="ES219" s="1">
        <v>0</v>
      </c>
      <c r="ET219" s="1">
        <v>0</v>
      </c>
      <c r="EU219" s="1">
        <v>0</v>
      </c>
      <c r="EV219" s="1">
        <v>0</v>
      </c>
      <c r="EW219" s="1">
        <v>0</v>
      </c>
      <c r="EX219" s="1">
        <v>0</v>
      </c>
      <c r="EY219" s="1">
        <v>0</v>
      </c>
      <c r="EZ219" s="1">
        <v>0</v>
      </c>
      <c r="FA219" s="1">
        <v>0</v>
      </c>
      <c r="FB219" s="1">
        <v>0</v>
      </c>
      <c r="FC219" s="1">
        <v>0</v>
      </c>
      <c r="FD219" s="1">
        <v>0</v>
      </c>
      <c r="FE219" s="1">
        <v>75.00500000000001</v>
      </c>
      <c r="FF219" s="1">
        <v>102.80500000000001</v>
      </c>
      <c r="FG219" s="1">
        <v>98.738</v>
      </c>
      <c r="FH219" s="1">
        <v>103.819</v>
      </c>
      <c r="FI219" s="1">
        <v>75.00500000000001</v>
      </c>
      <c r="FJ219" s="1">
        <v>102.80500000000001</v>
      </c>
      <c r="FK219" s="1">
        <v>98.738</v>
      </c>
      <c r="FL219" s="1">
        <v>103.819</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v>0</v>
      </c>
      <c r="GC219" s="1">
        <v>0</v>
      </c>
      <c r="GD219" s="1">
        <v>29.03</v>
      </c>
      <c r="GE219" s="1">
        <v>46.98</v>
      </c>
      <c r="GF219" s="1">
        <v>36.603000000000002</v>
      </c>
      <c r="GG219" s="1">
        <v>0</v>
      </c>
      <c r="GH219" s="1">
        <v>29.03</v>
      </c>
      <c r="GI219" s="1">
        <v>46.98</v>
      </c>
      <c r="GJ219" s="1">
        <v>36.603000000000002</v>
      </c>
      <c r="GK219" s="1">
        <v>0</v>
      </c>
      <c r="GL219" s="1">
        <v>0</v>
      </c>
      <c r="GM219" s="1">
        <v>0</v>
      </c>
      <c r="GN219" s="1">
        <v>0</v>
      </c>
      <c r="GO219" s="1">
        <v>0</v>
      </c>
      <c r="GP219" s="1">
        <v>0</v>
      </c>
      <c r="GQ219" s="1">
        <v>0</v>
      </c>
      <c r="GR219" s="1">
        <v>0</v>
      </c>
      <c r="GS219" s="1">
        <v>0</v>
      </c>
      <c r="GT219" s="1">
        <v>0</v>
      </c>
      <c r="GU219" s="1">
        <v>0</v>
      </c>
      <c r="GV219" s="1">
        <v>0</v>
      </c>
      <c r="GW219" s="1">
        <v>0</v>
      </c>
      <c r="GX219" s="1">
        <v>0</v>
      </c>
      <c r="GY219" s="1">
        <v>0</v>
      </c>
      <c r="GZ219" s="1">
        <v>0</v>
      </c>
      <c r="HA219" s="1">
        <v>0</v>
      </c>
      <c r="HB219" s="1">
        <v>0</v>
      </c>
      <c r="HC219" s="1">
        <v>0</v>
      </c>
      <c r="HD219" s="1">
        <v>0</v>
      </c>
      <c r="HE219" s="1">
        <v>15.27</v>
      </c>
      <c r="HF219" s="1">
        <v>0</v>
      </c>
      <c r="HG219" s="1">
        <v>0</v>
      </c>
      <c r="HH219" s="1">
        <v>0</v>
      </c>
      <c r="HI219" s="1">
        <v>15.27</v>
      </c>
      <c r="HJ219" s="1">
        <v>0</v>
      </c>
      <c r="HK219" s="1">
        <v>0</v>
      </c>
      <c r="HL219" s="1">
        <v>0</v>
      </c>
      <c r="HM219" s="1">
        <v>0</v>
      </c>
      <c r="HN219" s="1">
        <v>0</v>
      </c>
      <c r="HO219" s="1">
        <v>0</v>
      </c>
      <c r="HP219" s="1">
        <v>0</v>
      </c>
      <c r="HQ219" s="1">
        <v>0</v>
      </c>
      <c r="HR219" s="1">
        <v>0</v>
      </c>
      <c r="HS219" s="1">
        <v>0</v>
      </c>
      <c r="HT219" s="1">
        <v>0</v>
      </c>
      <c r="HU219" s="1">
        <v>0</v>
      </c>
      <c r="HV219" s="1">
        <v>0</v>
      </c>
      <c r="HW219" s="1">
        <v>0</v>
      </c>
      <c r="HX219" s="1">
        <v>0</v>
      </c>
      <c r="HY219" s="1">
        <v>0</v>
      </c>
      <c r="HZ219" s="1">
        <v>0</v>
      </c>
      <c r="IA219" s="1">
        <v>0</v>
      </c>
      <c r="IB219" s="1">
        <v>0</v>
      </c>
      <c r="IC219" s="1">
        <v>0</v>
      </c>
      <c r="ID219" s="1">
        <v>0</v>
      </c>
      <c r="IE219" s="1">
        <v>0</v>
      </c>
      <c r="IF219" s="1">
        <v>0</v>
      </c>
      <c r="IG219" s="1">
        <v>0</v>
      </c>
      <c r="IH219" s="1">
        <v>0</v>
      </c>
      <c r="II219" s="1">
        <v>0</v>
      </c>
      <c r="IJ219" s="1">
        <v>0</v>
      </c>
      <c r="IK219" s="1">
        <v>0</v>
      </c>
      <c r="IL219" s="1">
        <v>0</v>
      </c>
      <c r="IM219" s="1">
        <v>0</v>
      </c>
      <c r="IN219" s="1">
        <v>0</v>
      </c>
      <c r="IO219" s="1">
        <v>306.33999999999997</v>
      </c>
      <c r="IP219" s="1">
        <v>407.83</v>
      </c>
      <c r="IQ219" s="1">
        <v>473.1</v>
      </c>
      <c r="IR219" s="1">
        <v>490.59</v>
      </c>
      <c r="IS219" s="1">
        <v>306.33999999999997</v>
      </c>
      <c r="IT219" s="1">
        <v>407.83</v>
      </c>
      <c r="IU219" s="1">
        <v>473.1</v>
      </c>
      <c r="IV219" s="1">
        <v>490.59</v>
      </c>
      <c r="IW219" s="1">
        <v>0</v>
      </c>
      <c r="IX219" s="1">
        <v>0</v>
      </c>
      <c r="IY219" s="1">
        <v>0</v>
      </c>
      <c r="IZ219" s="1">
        <v>0</v>
      </c>
      <c r="JA219" s="1">
        <v>0</v>
      </c>
      <c r="JB219" s="1">
        <v>0</v>
      </c>
      <c r="JC219" s="1">
        <v>0</v>
      </c>
      <c r="JD219" s="1">
        <v>0</v>
      </c>
      <c r="JE219" s="1">
        <v>0</v>
      </c>
      <c r="JF219" s="1">
        <v>0</v>
      </c>
      <c r="JG219" s="1">
        <v>0</v>
      </c>
      <c r="JH219" s="1">
        <v>0</v>
      </c>
      <c r="JI219" s="1">
        <v>0</v>
      </c>
      <c r="JJ219" s="1">
        <v>0</v>
      </c>
      <c r="JK219" s="1">
        <v>0</v>
      </c>
      <c r="JL219" s="1">
        <v>0</v>
      </c>
      <c r="JM219" s="1">
        <v>0</v>
      </c>
      <c r="JN219" s="1">
        <v>0</v>
      </c>
      <c r="JO219" s="1">
        <v>0</v>
      </c>
      <c r="JP219" s="1">
        <v>0</v>
      </c>
      <c r="JQ219" s="9"/>
      <c r="JR219" s="1">
        <f t="shared" si="48"/>
        <v>4672.3068000000012</v>
      </c>
      <c r="JS219" s="1">
        <f t="shared" si="48"/>
        <v>5394.7728000000006</v>
      </c>
      <c r="JT219" s="1">
        <f t="shared" si="48"/>
        <v>3630.6008999999999</v>
      </c>
      <c r="JU219" s="1">
        <f t="shared" si="48"/>
        <v>3526.8777000000005</v>
      </c>
      <c r="JV219" s="1">
        <f t="shared" si="49"/>
        <v>865.24200000000019</v>
      </c>
      <c r="JW219" s="1">
        <f t="shared" si="49"/>
        <v>999.03200000000004</v>
      </c>
      <c r="JX219" s="1">
        <f t="shared" si="49"/>
        <v>672.33349999999996</v>
      </c>
      <c r="JY219" s="1">
        <f t="shared" si="49"/>
        <v>653.1255000000001</v>
      </c>
    </row>
    <row r="220" spans="1:285" x14ac:dyDescent="0.35">
      <c r="A220" s="2" t="s">
        <v>227</v>
      </c>
      <c r="B220" s="1">
        <v>142869</v>
      </c>
      <c r="C220" s="1">
        <v>143751</v>
      </c>
      <c r="D220" s="1">
        <v>144322</v>
      </c>
      <c r="E220" s="1">
        <v>146114</v>
      </c>
      <c r="F220" s="1">
        <v>54606.85</v>
      </c>
      <c r="G220" s="1">
        <v>54311.27</v>
      </c>
      <c r="H220" s="1">
        <v>45773.539999999994</v>
      </c>
      <c r="I220" s="1">
        <v>46361.94</v>
      </c>
      <c r="J220" s="1">
        <f t="shared" si="50"/>
        <v>23267.559999999994</v>
      </c>
      <c r="K220" s="1">
        <f t="shared" si="51"/>
        <v>24516.71</v>
      </c>
      <c r="L220" s="1">
        <f t="shared" si="52"/>
        <v>22725.57</v>
      </c>
      <c r="M220" s="1">
        <f t="shared" si="53"/>
        <v>23710.95</v>
      </c>
      <c r="N220" s="1">
        <f t="shared" si="54"/>
        <v>31339.290000000005</v>
      </c>
      <c r="O220" s="1">
        <f t="shared" si="55"/>
        <v>29794.559999999998</v>
      </c>
      <c r="P220" s="1">
        <f t="shared" si="56"/>
        <v>23047.969999999994</v>
      </c>
      <c r="Q220" s="1">
        <f t="shared" si="57"/>
        <v>22650.99</v>
      </c>
      <c r="R220" s="1">
        <v>313.52</v>
      </c>
      <c r="S220" s="1">
        <v>342.12</v>
      </c>
      <c r="T220" s="1">
        <v>59.52</v>
      </c>
      <c r="U220" s="1">
        <v>0</v>
      </c>
      <c r="V220" s="1">
        <v>0</v>
      </c>
      <c r="W220" s="1">
        <v>0</v>
      </c>
      <c r="X220" s="1">
        <v>313.52</v>
      </c>
      <c r="Y220" s="1">
        <v>0</v>
      </c>
      <c r="Z220" s="1">
        <v>0</v>
      </c>
      <c r="AA220" s="1">
        <v>342.12</v>
      </c>
      <c r="AB220" s="1">
        <v>0</v>
      </c>
      <c r="AC220" s="1">
        <v>0</v>
      </c>
      <c r="AD220" s="1">
        <v>59.52</v>
      </c>
      <c r="AE220" s="1">
        <v>0</v>
      </c>
      <c r="AF220" s="1">
        <v>0</v>
      </c>
      <c r="AG220" s="1">
        <v>0</v>
      </c>
      <c r="AH220" s="1">
        <v>0</v>
      </c>
      <c r="AI220" s="1">
        <v>0</v>
      </c>
      <c r="AJ220" s="1">
        <v>0</v>
      </c>
      <c r="AK220" s="1">
        <v>0</v>
      </c>
      <c r="AL220" s="1">
        <v>0</v>
      </c>
      <c r="AM220" s="1">
        <v>0</v>
      </c>
      <c r="AN220" s="1">
        <v>0</v>
      </c>
      <c r="AO220" s="1">
        <v>0</v>
      </c>
      <c r="AP220" s="1">
        <v>11230.69</v>
      </c>
      <c r="AQ220" s="1">
        <v>11486.53</v>
      </c>
      <c r="AR220" s="1">
        <v>9447.57</v>
      </c>
      <c r="AS220" s="1">
        <v>11276.050000000001</v>
      </c>
      <c r="AT220" s="1">
        <v>0</v>
      </c>
      <c r="AU220" s="1">
        <v>11230.69</v>
      </c>
      <c r="AV220" s="1">
        <v>0</v>
      </c>
      <c r="AW220" s="1">
        <v>0</v>
      </c>
      <c r="AX220" s="1">
        <v>0</v>
      </c>
      <c r="AY220" s="1">
        <v>11486.53</v>
      </c>
      <c r="AZ220" s="1">
        <v>0</v>
      </c>
      <c r="BA220" s="1">
        <v>0</v>
      </c>
      <c r="BB220" s="1">
        <v>0</v>
      </c>
      <c r="BC220" s="1">
        <v>9447.57</v>
      </c>
      <c r="BD220" s="1">
        <v>0</v>
      </c>
      <c r="BE220" s="1">
        <v>0</v>
      </c>
      <c r="BF220" s="1">
        <v>11276.050000000001</v>
      </c>
      <c r="BG220" s="1">
        <v>0</v>
      </c>
      <c r="BH220" s="1">
        <v>0</v>
      </c>
      <c r="BI220" s="1">
        <v>0</v>
      </c>
      <c r="BJ220" s="1">
        <v>0</v>
      </c>
      <c r="BK220" s="1">
        <v>0</v>
      </c>
      <c r="BL220" s="1">
        <v>0</v>
      </c>
      <c r="BM220" s="1">
        <v>0</v>
      </c>
      <c r="BN220" s="1">
        <v>0</v>
      </c>
      <c r="BO220" s="1">
        <v>0</v>
      </c>
      <c r="BP220" s="1">
        <v>0</v>
      </c>
      <c r="BQ220" s="1">
        <v>0</v>
      </c>
      <c r="BR220" s="1">
        <v>0</v>
      </c>
      <c r="BS220" s="1">
        <v>0</v>
      </c>
      <c r="BT220" s="1">
        <v>0</v>
      </c>
      <c r="BU220" s="1">
        <v>5698.43</v>
      </c>
      <c r="BV220" s="1">
        <v>6343.38</v>
      </c>
      <c r="BW220" s="1">
        <v>5755.52</v>
      </c>
      <c r="BX220" s="1">
        <v>5440.3099999999986</v>
      </c>
      <c r="BY220" s="1">
        <v>5698.43</v>
      </c>
      <c r="BZ220" s="1">
        <v>6343.38</v>
      </c>
      <c r="CA220" s="1">
        <v>5755.52</v>
      </c>
      <c r="CB220" s="1">
        <v>5440.3099999999986</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1558.03</v>
      </c>
      <c r="CT220" s="1">
        <v>2193.44</v>
      </c>
      <c r="CU220" s="1">
        <v>3042.4</v>
      </c>
      <c r="CV220" s="1">
        <v>3183.32</v>
      </c>
      <c r="CW220" s="1">
        <v>1558.03</v>
      </c>
      <c r="CX220" s="1">
        <v>2193.44</v>
      </c>
      <c r="CY220" s="1">
        <v>3042.4</v>
      </c>
      <c r="CZ220" s="1">
        <v>3183.32</v>
      </c>
      <c r="DA220" s="1">
        <v>0</v>
      </c>
      <c r="DB220" s="1">
        <v>0</v>
      </c>
      <c r="DC220" s="1">
        <v>0</v>
      </c>
      <c r="DD220" s="1">
        <v>0</v>
      </c>
      <c r="DE220" s="1">
        <v>0</v>
      </c>
      <c r="DF220" s="1">
        <v>0</v>
      </c>
      <c r="DG220" s="1">
        <v>0</v>
      </c>
      <c r="DH220" s="1">
        <v>0</v>
      </c>
      <c r="DI220" s="1">
        <v>0</v>
      </c>
      <c r="DJ220" s="1">
        <v>0</v>
      </c>
      <c r="DK220" s="1">
        <v>0</v>
      </c>
      <c r="DL220" s="1">
        <v>0</v>
      </c>
      <c r="DM220" s="1">
        <v>2998.94</v>
      </c>
      <c r="DN220" s="1">
        <v>2834.28</v>
      </c>
      <c r="DO220" s="1">
        <v>2743.17</v>
      </c>
      <c r="DP220" s="1">
        <v>2126.54</v>
      </c>
      <c r="DQ220" s="1">
        <v>2998.94</v>
      </c>
      <c r="DR220" s="1">
        <v>2834.28</v>
      </c>
      <c r="DS220" s="1">
        <v>2743.17</v>
      </c>
      <c r="DT220" s="1">
        <v>2126.54</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835.85</v>
      </c>
      <c r="EL220" s="1">
        <v>784.25</v>
      </c>
      <c r="EM220" s="1">
        <v>897.92</v>
      </c>
      <c r="EN220" s="1">
        <v>889.66</v>
      </c>
      <c r="EO220" s="1">
        <v>835.85</v>
      </c>
      <c r="EP220" s="1">
        <v>784.25</v>
      </c>
      <c r="EQ220" s="1">
        <v>897.92</v>
      </c>
      <c r="ER220" s="1">
        <v>889.66</v>
      </c>
      <c r="ES220" s="1">
        <v>0</v>
      </c>
      <c r="ET220" s="1">
        <v>0</v>
      </c>
      <c r="EU220" s="1">
        <v>0</v>
      </c>
      <c r="EV220" s="1">
        <v>0</v>
      </c>
      <c r="EW220" s="1">
        <v>0</v>
      </c>
      <c r="EX220" s="1">
        <v>0</v>
      </c>
      <c r="EY220" s="1">
        <v>0</v>
      </c>
      <c r="EZ220" s="1">
        <v>0</v>
      </c>
      <c r="FA220" s="1">
        <v>0</v>
      </c>
      <c r="FB220" s="1">
        <v>0</v>
      </c>
      <c r="FC220" s="1">
        <v>0</v>
      </c>
      <c r="FD220" s="1">
        <v>0</v>
      </c>
      <c r="FE220" s="1">
        <v>0</v>
      </c>
      <c r="FF220" s="1">
        <v>0</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v>0</v>
      </c>
      <c r="GC220" s="1">
        <v>0</v>
      </c>
      <c r="GD220" s="1">
        <v>0</v>
      </c>
      <c r="GE220" s="1">
        <v>0</v>
      </c>
      <c r="GF220" s="1">
        <v>0</v>
      </c>
      <c r="GG220" s="1">
        <v>0</v>
      </c>
      <c r="GH220" s="1">
        <v>0</v>
      </c>
      <c r="GI220" s="1">
        <v>0</v>
      </c>
      <c r="GJ220" s="1">
        <v>0</v>
      </c>
      <c r="GK220" s="1">
        <v>0</v>
      </c>
      <c r="GL220" s="1">
        <v>0</v>
      </c>
      <c r="GM220" s="1">
        <v>0</v>
      </c>
      <c r="GN220" s="1">
        <v>0</v>
      </c>
      <c r="GO220" s="1">
        <v>0</v>
      </c>
      <c r="GP220" s="1">
        <v>0</v>
      </c>
      <c r="GQ220" s="1">
        <v>0</v>
      </c>
      <c r="GR220" s="1">
        <v>0</v>
      </c>
      <c r="GS220" s="1">
        <v>0</v>
      </c>
      <c r="GT220" s="1">
        <v>0</v>
      </c>
      <c r="GU220" s="1">
        <v>0</v>
      </c>
      <c r="GV220" s="1">
        <v>0</v>
      </c>
      <c r="GW220" s="1">
        <v>0</v>
      </c>
      <c r="GX220" s="1">
        <v>0</v>
      </c>
      <c r="GY220" s="1">
        <v>0</v>
      </c>
      <c r="GZ220" s="1">
        <v>0</v>
      </c>
      <c r="HA220" s="1">
        <v>0</v>
      </c>
      <c r="HB220" s="1">
        <v>0</v>
      </c>
      <c r="HC220" s="1">
        <v>0</v>
      </c>
      <c r="HD220" s="1">
        <v>0</v>
      </c>
      <c r="HE220" s="1">
        <v>28.16</v>
      </c>
      <c r="HF220" s="1">
        <v>0</v>
      </c>
      <c r="HG220" s="1">
        <v>0</v>
      </c>
      <c r="HH220" s="1">
        <v>0</v>
      </c>
      <c r="HI220" s="1">
        <v>28.16</v>
      </c>
      <c r="HJ220" s="1">
        <v>0</v>
      </c>
      <c r="HK220" s="1">
        <v>0</v>
      </c>
      <c r="HL220" s="1">
        <v>0</v>
      </c>
      <c r="HM220" s="1">
        <v>0</v>
      </c>
      <c r="HN220" s="1">
        <v>0</v>
      </c>
      <c r="HO220" s="1">
        <v>0</v>
      </c>
      <c r="HP220" s="1">
        <v>0</v>
      </c>
      <c r="HQ220" s="1">
        <v>0</v>
      </c>
      <c r="HR220" s="1">
        <v>0</v>
      </c>
      <c r="HS220" s="1">
        <v>0</v>
      </c>
      <c r="HT220" s="1">
        <v>0</v>
      </c>
      <c r="HU220" s="1">
        <v>0</v>
      </c>
      <c r="HV220" s="1">
        <v>0</v>
      </c>
      <c r="HW220" s="1">
        <v>0</v>
      </c>
      <c r="HX220" s="1">
        <v>0</v>
      </c>
      <c r="HY220" s="1">
        <v>0</v>
      </c>
      <c r="HZ220" s="1">
        <v>0</v>
      </c>
      <c r="IA220" s="1">
        <v>0</v>
      </c>
      <c r="IB220" s="1">
        <v>0</v>
      </c>
      <c r="IC220" s="1">
        <v>0</v>
      </c>
      <c r="ID220" s="1">
        <v>0</v>
      </c>
      <c r="IE220" s="1">
        <v>0</v>
      </c>
      <c r="IF220" s="1">
        <v>0</v>
      </c>
      <c r="IG220" s="1">
        <v>0</v>
      </c>
      <c r="IH220" s="1">
        <v>0</v>
      </c>
      <c r="II220" s="1">
        <v>0</v>
      </c>
      <c r="IJ220" s="1">
        <v>0</v>
      </c>
      <c r="IK220" s="1">
        <v>0</v>
      </c>
      <c r="IL220" s="1">
        <v>0</v>
      </c>
      <c r="IM220" s="1">
        <v>0</v>
      </c>
      <c r="IN220" s="1">
        <v>0</v>
      </c>
      <c r="IO220" s="1">
        <v>603.94000000000005</v>
      </c>
      <c r="IP220" s="1">
        <v>532.71</v>
      </c>
      <c r="IQ220" s="1">
        <v>779.46999999999991</v>
      </c>
      <c r="IR220" s="1">
        <v>795.06999999999994</v>
      </c>
      <c r="IS220" s="1">
        <v>603.94000000000005</v>
      </c>
      <c r="IT220" s="1">
        <v>532.71</v>
      </c>
      <c r="IU220" s="1">
        <v>779.46999999999991</v>
      </c>
      <c r="IV220" s="1">
        <v>795.06999999999994</v>
      </c>
      <c r="IW220" s="1">
        <v>0</v>
      </c>
      <c r="IX220" s="1">
        <v>0</v>
      </c>
      <c r="IY220" s="1">
        <v>0</v>
      </c>
      <c r="IZ220" s="1">
        <v>0</v>
      </c>
      <c r="JA220" s="1">
        <v>0</v>
      </c>
      <c r="JB220" s="1">
        <v>0</v>
      </c>
      <c r="JC220" s="1">
        <v>0</v>
      </c>
      <c r="JD220" s="1">
        <v>0</v>
      </c>
      <c r="JE220" s="1">
        <v>0</v>
      </c>
      <c r="JF220" s="1">
        <v>0</v>
      </c>
      <c r="JG220" s="1">
        <v>0</v>
      </c>
      <c r="JH220" s="1">
        <v>0</v>
      </c>
      <c r="JI220" s="1">
        <v>0</v>
      </c>
      <c r="JJ220" s="1">
        <v>0</v>
      </c>
      <c r="JK220" s="1">
        <v>0</v>
      </c>
      <c r="JL220" s="1">
        <v>0</v>
      </c>
      <c r="JM220" s="1">
        <v>0</v>
      </c>
      <c r="JN220" s="1">
        <v>0</v>
      </c>
      <c r="JO220" s="1">
        <v>0</v>
      </c>
      <c r="JP220" s="1">
        <v>0</v>
      </c>
      <c r="JQ220" s="9"/>
      <c r="JR220" s="1">
        <f t="shared" si="48"/>
        <v>8461.6083000000017</v>
      </c>
      <c r="JS220" s="1">
        <f t="shared" si="48"/>
        <v>8044.5312000000004</v>
      </c>
      <c r="JT220" s="1">
        <f t="shared" si="48"/>
        <v>6222.9518999999991</v>
      </c>
      <c r="JU220" s="1">
        <f t="shared" si="48"/>
        <v>6115.7673000000004</v>
      </c>
      <c r="JV220" s="1">
        <f t="shared" si="49"/>
        <v>1566.9645000000003</v>
      </c>
      <c r="JW220" s="1">
        <f t="shared" si="49"/>
        <v>1489.7280000000001</v>
      </c>
      <c r="JX220" s="1">
        <f t="shared" si="49"/>
        <v>1152.3984999999998</v>
      </c>
      <c r="JY220" s="1">
        <f t="shared" si="49"/>
        <v>1132.5495000000001</v>
      </c>
    </row>
    <row r="221" spans="1:285" x14ac:dyDescent="0.35">
      <c r="A221" s="2" t="s">
        <v>228</v>
      </c>
      <c r="B221" s="1">
        <v>139842</v>
      </c>
      <c r="C221" s="1">
        <v>142509</v>
      </c>
      <c r="D221" s="1">
        <v>144641</v>
      </c>
      <c r="E221" s="1">
        <v>146645</v>
      </c>
      <c r="F221" s="1">
        <v>58383.190999999999</v>
      </c>
      <c r="G221" s="1">
        <v>56910.713000000003</v>
      </c>
      <c r="H221" s="1">
        <v>54997.36</v>
      </c>
      <c r="I221" s="1">
        <v>56604.820000000007</v>
      </c>
      <c r="J221" s="1">
        <f t="shared" si="50"/>
        <v>35772.233</v>
      </c>
      <c r="K221" s="1">
        <f t="shared" si="51"/>
        <v>35130.786000000007</v>
      </c>
      <c r="L221" s="1">
        <f t="shared" si="52"/>
        <v>34507.769999999997</v>
      </c>
      <c r="M221" s="1">
        <f t="shared" si="53"/>
        <v>36456.54</v>
      </c>
      <c r="N221" s="1">
        <f t="shared" si="54"/>
        <v>22610.957999999999</v>
      </c>
      <c r="O221" s="1">
        <f t="shared" si="55"/>
        <v>21779.926999999996</v>
      </c>
      <c r="P221" s="1">
        <f t="shared" si="56"/>
        <v>20489.590000000004</v>
      </c>
      <c r="Q221" s="1">
        <f t="shared" si="57"/>
        <v>20148.280000000006</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L221" s="1">
        <v>0</v>
      </c>
      <c r="AM221" s="1">
        <v>0</v>
      </c>
      <c r="AN221" s="1">
        <v>0</v>
      </c>
      <c r="AO221" s="1">
        <v>0</v>
      </c>
      <c r="AP221" s="1">
        <v>11326.02</v>
      </c>
      <c r="AQ221" s="1">
        <v>12098.694</v>
      </c>
      <c r="AR221" s="1">
        <v>9991.8299999999981</v>
      </c>
      <c r="AS221" s="1">
        <v>12519.560000000001</v>
      </c>
      <c r="AT221" s="1">
        <v>0</v>
      </c>
      <c r="AU221" s="1">
        <v>11326.02</v>
      </c>
      <c r="AV221" s="1">
        <v>0</v>
      </c>
      <c r="AW221" s="1">
        <v>0</v>
      </c>
      <c r="AX221" s="1">
        <v>0</v>
      </c>
      <c r="AY221" s="1">
        <v>12098.694</v>
      </c>
      <c r="AZ221" s="1">
        <v>0</v>
      </c>
      <c r="BA221" s="1">
        <v>0</v>
      </c>
      <c r="BB221" s="1">
        <v>0</v>
      </c>
      <c r="BC221" s="1">
        <v>9991.8299999999981</v>
      </c>
      <c r="BD221" s="1">
        <v>0</v>
      </c>
      <c r="BE221" s="1">
        <v>0</v>
      </c>
      <c r="BF221" s="1">
        <v>12519.560000000001</v>
      </c>
      <c r="BG221" s="1">
        <v>0</v>
      </c>
      <c r="BH221" s="1">
        <v>0</v>
      </c>
      <c r="BI221" s="1">
        <v>0</v>
      </c>
      <c r="BJ221" s="1">
        <v>0</v>
      </c>
      <c r="BK221" s="1">
        <v>0</v>
      </c>
      <c r="BL221" s="1">
        <v>0</v>
      </c>
      <c r="BM221" s="1">
        <v>0</v>
      </c>
      <c r="BN221" s="1">
        <v>0</v>
      </c>
      <c r="BO221" s="1">
        <v>0</v>
      </c>
      <c r="BP221" s="1">
        <v>0</v>
      </c>
      <c r="BQ221" s="1">
        <v>0</v>
      </c>
      <c r="BR221" s="1">
        <v>0</v>
      </c>
      <c r="BS221" s="1">
        <v>0</v>
      </c>
      <c r="BT221" s="1">
        <v>0</v>
      </c>
      <c r="BU221" s="1">
        <v>12628.945</v>
      </c>
      <c r="BV221" s="1">
        <v>12164.434999999999</v>
      </c>
      <c r="BW221" s="1">
        <v>14300.71</v>
      </c>
      <c r="BX221" s="1">
        <v>14229.44</v>
      </c>
      <c r="BY221" s="1">
        <v>12628.945</v>
      </c>
      <c r="BZ221" s="1">
        <v>12164.434999999999</v>
      </c>
      <c r="CA221" s="1">
        <v>14300.71</v>
      </c>
      <c r="CB221" s="1">
        <v>14229.44</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4004.8890000000001</v>
      </c>
      <c r="CT221" s="1">
        <v>4761.951</v>
      </c>
      <c r="CU221" s="1">
        <v>3885.1</v>
      </c>
      <c r="CV221" s="1">
        <v>2792.24</v>
      </c>
      <c r="CW221" s="1">
        <v>4004.8890000000001</v>
      </c>
      <c r="CX221" s="1">
        <v>4761.951</v>
      </c>
      <c r="CY221" s="1">
        <v>3885.1</v>
      </c>
      <c r="CZ221" s="1">
        <v>2792.24</v>
      </c>
      <c r="DA221" s="1">
        <v>0</v>
      </c>
      <c r="DB221" s="1">
        <v>0</v>
      </c>
      <c r="DC221" s="1">
        <v>0</v>
      </c>
      <c r="DD221" s="1">
        <v>0</v>
      </c>
      <c r="DE221" s="1">
        <v>0</v>
      </c>
      <c r="DF221" s="1">
        <v>0</v>
      </c>
      <c r="DG221" s="1">
        <v>0</v>
      </c>
      <c r="DH221" s="1">
        <v>0</v>
      </c>
      <c r="DI221" s="1">
        <v>0</v>
      </c>
      <c r="DJ221" s="1">
        <v>0</v>
      </c>
      <c r="DK221" s="1">
        <v>0</v>
      </c>
      <c r="DL221" s="1">
        <v>0</v>
      </c>
      <c r="DM221" s="1">
        <v>5666.0010000000002</v>
      </c>
      <c r="DN221" s="1">
        <v>4303.6819999999998</v>
      </c>
      <c r="DO221" s="1">
        <v>4232.78</v>
      </c>
      <c r="DP221" s="1">
        <v>4313.1499999999996</v>
      </c>
      <c r="DQ221" s="1">
        <v>5666.0010000000002</v>
      </c>
      <c r="DR221" s="1">
        <v>4303.6819999999998</v>
      </c>
      <c r="DS221" s="1">
        <v>4232.78</v>
      </c>
      <c r="DT221" s="1">
        <v>4313.1499999999996</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0</v>
      </c>
      <c r="EK221" s="1">
        <v>1178.9490000000001</v>
      </c>
      <c r="EL221" s="1">
        <v>1172.559</v>
      </c>
      <c r="EM221" s="1">
        <v>1139.49</v>
      </c>
      <c r="EN221" s="1">
        <v>1653.03</v>
      </c>
      <c r="EO221" s="1">
        <v>1178.9490000000001</v>
      </c>
      <c r="EP221" s="1">
        <v>1172.559</v>
      </c>
      <c r="EQ221" s="1">
        <v>1139.49</v>
      </c>
      <c r="ER221" s="1">
        <v>1653.03</v>
      </c>
      <c r="ES221" s="1">
        <v>0</v>
      </c>
      <c r="ET221" s="1">
        <v>0</v>
      </c>
      <c r="EU221" s="1">
        <v>0</v>
      </c>
      <c r="EV221" s="1">
        <v>0</v>
      </c>
      <c r="EW221" s="1">
        <v>0</v>
      </c>
      <c r="EX221" s="1">
        <v>0</v>
      </c>
      <c r="EY221" s="1">
        <v>0</v>
      </c>
      <c r="EZ221" s="1">
        <v>0</v>
      </c>
      <c r="FA221" s="1">
        <v>0</v>
      </c>
      <c r="FB221" s="1">
        <v>0</v>
      </c>
      <c r="FC221" s="1">
        <v>0</v>
      </c>
      <c r="FD221" s="1">
        <v>0</v>
      </c>
      <c r="FE221" s="1">
        <v>495.80500000000012</v>
      </c>
      <c r="FF221" s="1">
        <v>123.971</v>
      </c>
      <c r="FG221" s="1">
        <v>304.52</v>
      </c>
      <c r="FH221" s="1">
        <v>221.5</v>
      </c>
      <c r="FI221" s="1">
        <v>495.80500000000012</v>
      </c>
      <c r="FJ221" s="1">
        <v>123.971</v>
      </c>
      <c r="FK221" s="1">
        <v>304.52</v>
      </c>
      <c r="FL221" s="1">
        <v>221.5</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v>0</v>
      </c>
      <c r="GC221" s="1">
        <v>69.680000000000007</v>
      </c>
      <c r="GD221" s="1">
        <v>101.98</v>
      </c>
      <c r="GE221" s="1">
        <v>99.43</v>
      </c>
      <c r="GF221" s="1">
        <v>87.460000000000008</v>
      </c>
      <c r="GG221" s="1">
        <v>69.680000000000007</v>
      </c>
      <c r="GH221" s="1">
        <v>101.98</v>
      </c>
      <c r="GI221" s="1">
        <v>99.43</v>
      </c>
      <c r="GJ221" s="1">
        <v>87.460000000000008</v>
      </c>
      <c r="GK221" s="1">
        <v>0</v>
      </c>
      <c r="GL221" s="1">
        <v>0</v>
      </c>
      <c r="GM221" s="1">
        <v>0</v>
      </c>
      <c r="GN221" s="1">
        <v>0</v>
      </c>
      <c r="GO221" s="1">
        <v>0</v>
      </c>
      <c r="GP221" s="1">
        <v>0</v>
      </c>
      <c r="GQ221" s="1">
        <v>0</v>
      </c>
      <c r="GR221" s="1">
        <v>0</v>
      </c>
      <c r="GS221" s="1">
        <v>0</v>
      </c>
      <c r="GT221" s="1">
        <v>0</v>
      </c>
      <c r="GU221" s="1">
        <v>0</v>
      </c>
      <c r="GV221" s="1">
        <v>0</v>
      </c>
      <c r="GW221" s="1">
        <v>0</v>
      </c>
      <c r="GX221" s="1">
        <v>0</v>
      </c>
      <c r="GY221" s="1">
        <v>0</v>
      </c>
      <c r="GZ221" s="1">
        <v>0</v>
      </c>
      <c r="HA221" s="1">
        <v>0</v>
      </c>
      <c r="HB221" s="1">
        <v>0</v>
      </c>
      <c r="HC221" s="1">
        <v>0</v>
      </c>
      <c r="HD221" s="1">
        <v>0</v>
      </c>
      <c r="HE221" s="1">
        <v>0</v>
      </c>
      <c r="HF221" s="1">
        <v>0</v>
      </c>
      <c r="HG221" s="1">
        <v>0</v>
      </c>
      <c r="HH221" s="1">
        <v>0</v>
      </c>
      <c r="HI221" s="1">
        <v>0</v>
      </c>
      <c r="HJ221" s="1">
        <v>0</v>
      </c>
      <c r="HK221" s="1">
        <v>0</v>
      </c>
      <c r="HL221" s="1">
        <v>0</v>
      </c>
      <c r="HM221" s="1">
        <v>0</v>
      </c>
      <c r="HN221" s="1">
        <v>0</v>
      </c>
      <c r="HO221" s="1">
        <v>0</v>
      </c>
      <c r="HP221" s="1">
        <v>0</v>
      </c>
      <c r="HQ221" s="1">
        <v>0</v>
      </c>
      <c r="HR221" s="1">
        <v>0</v>
      </c>
      <c r="HS221" s="1">
        <v>0</v>
      </c>
      <c r="HT221" s="1">
        <v>0</v>
      </c>
      <c r="HU221" s="1">
        <v>0</v>
      </c>
      <c r="HV221" s="1">
        <v>0</v>
      </c>
      <c r="HW221" s="1">
        <v>0</v>
      </c>
      <c r="HX221" s="1">
        <v>0</v>
      </c>
      <c r="HY221" s="1">
        <v>0</v>
      </c>
      <c r="HZ221" s="1">
        <v>0</v>
      </c>
      <c r="IA221" s="1">
        <v>0</v>
      </c>
      <c r="IB221" s="1">
        <v>0</v>
      </c>
      <c r="IC221" s="1">
        <v>0</v>
      </c>
      <c r="ID221" s="1">
        <v>0</v>
      </c>
      <c r="IE221" s="1">
        <v>0</v>
      </c>
      <c r="IF221" s="1">
        <v>0</v>
      </c>
      <c r="IG221" s="1">
        <v>0</v>
      </c>
      <c r="IH221" s="1">
        <v>0</v>
      </c>
      <c r="II221" s="1">
        <v>0</v>
      </c>
      <c r="IJ221" s="1">
        <v>0</v>
      </c>
      <c r="IK221" s="1">
        <v>0</v>
      </c>
      <c r="IL221" s="1">
        <v>0</v>
      </c>
      <c r="IM221" s="1">
        <v>0</v>
      </c>
      <c r="IN221" s="1">
        <v>0</v>
      </c>
      <c r="IO221" s="1">
        <v>401.94400000000002</v>
      </c>
      <c r="IP221" s="1">
        <v>403.51400000000001</v>
      </c>
      <c r="IQ221" s="1">
        <v>553.91</v>
      </c>
      <c r="IR221" s="1">
        <v>640.16</v>
      </c>
      <c r="IS221" s="1">
        <v>401.94400000000002</v>
      </c>
      <c r="IT221" s="1">
        <v>403.51400000000001</v>
      </c>
      <c r="IU221" s="1">
        <v>553.91</v>
      </c>
      <c r="IV221" s="1">
        <v>640.16</v>
      </c>
      <c r="IW221" s="1">
        <v>0</v>
      </c>
      <c r="IX221" s="1">
        <v>0</v>
      </c>
      <c r="IY221" s="1">
        <v>0</v>
      </c>
      <c r="IZ221" s="1">
        <v>0</v>
      </c>
      <c r="JA221" s="1">
        <v>0</v>
      </c>
      <c r="JB221" s="1">
        <v>0</v>
      </c>
      <c r="JC221" s="1">
        <v>0</v>
      </c>
      <c r="JD221" s="1">
        <v>0</v>
      </c>
      <c r="JE221" s="1">
        <v>0</v>
      </c>
      <c r="JF221" s="1">
        <v>0</v>
      </c>
      <c r="JG221" s="1">
        <v>0</v>
      </c>
      <c r="JH221" s="1">
        <v>0</v>
      </c>
      <c r="JI221" s="1">
        <v>0</v>
      </c>
      <c r="JJ221" s="1">
        <v>0</v>
      </c>
      <c r="JK221" s="1">
        <v>0</v>
      </c>
      <c r="JL221" s="1">
        <v>0</v>
      </c>
      <c r="JM221" s="1">
        <v>0</v>
      </c>
      <c r="JN221" s="1">
        <v>0</v>
      </c>
      <c r="JO221" s="1">
        <v>0</v>
      </c>
      <c r="JP221" s="1">
        <v>0</v>
      </c>
      <c r="JQ221" s="9"/>
      <c r="JR221" s="1">
        <f t="shared" si="48"/>
        <v>6104.9586600000002</v>
      </c>
      <c r="JS221" s="1">
        <f t="shared" si="48"/>
        <v>5880.580289999999</v>
      </c>
      <c r="JT221" s="1">
        <f t="shared" si="48"/>
        <v>5532.1893000000018</v>
      </c>
      <c r="JU221" s="1">
        <f t="shared" si="48"/>
        <v>5440.035600000002</v>
      </c>
      <c r="JV221" s="1">
        <f t="shared" si="49"/>
        <v>1130.5479</v>
      </c>
      <c r="JW221" s="1">
        <f t="shared" si="49"/>
        <v>1088.9963499999999</v>
      </c>
      <c r="JX221" s="1">
        <f t="shared" si="49"/>
        <v>1024.4795000000001</v>
      </c>
      <c r="JY221" s="1">
        <f t="shared" si="49"/>
        <v>1007.4140000000003</v>
      </c>
    </row>
    <row r="222" spans="1:285" x14ac:dyDescent="0.35">
      <c r="A222" s="2" t="s">
        <v>229</v>
      </c>
      <c r="B222" s="1">
        <v>146844</v>
      </c>
      <c r="C222" s="1">
        <v>150002</v>
      </c>
      <c r="D222" s="1">
        <v>151886</v>
      </c>
      <c r="E222" s="1">
        <v>153946</v>
      </c>
      <c r="F222" s="1">
        <v>70021.899999999994</v>
      </c>
      <c r="G222" s="1">
        <v>67257.509999999995</v>
      </c>
      <c r="H222" s="1">
        <v>64304.73</v>
      </c>
      <c r="I222" s="1">
        <v>63370.767999999996</v>
      </c>
      <c r="J222" s="1">
        <f t="shared" si="50"/>
        <v>47944.88</v>
      </c>
      <c r="K222" s="1">
        <f t="shared" si="51"/>
        <v>45003.21</v>
      </c>
      <c r="L222" s="1">
        <f t="shared" si="52"/>
        <v>43935.08</v>
      </c>
      <c r="M222" s="1">
        <f t="shared" si="53"/>
        <v>43457.417999999998</v>
      </c>
      <c r="N222" s="1">
        <f t="shared" si="54"/>
        <v>22077.019999999997</v>
      </c>
      <c r="O222" s="1">
        <f t="shared" si="55"/>
        <v>22254.299999999996</v>
      </c>
      <c r="P222" s="1">
        <f t="shared" si="56"/>
        <v>20369.650000000001</v>
      </c>
      <c r="Q222" s="1">
        <f t="shared" si="57"/>
        <v>19913.349999999999</v>
      </c>
      <c r="R222" s="1">
        <v>6871.08</v>
      </c>
      <c r="S222" s="1">
        <v>6959.38</v>
      </c>
      <c r="T222" s="1">
        <v>6291.91</v>
      </c>
      <c r="U222" s="1">
        <v>6084.7300000000005</v>
      </c>
      <c r="V222" s="1">
        <v>0</v>
      </c>
      <c r="W222" s="1">
        <v>0</v>
      </c>
      <c r="X222" s="1">
        <v>6871.08</v>
      </c>
      <c r="Y222" s="1">
        <v>0</v>
      </c>
      <c r="Z222" s="1">
        <v>0</v>
      </c>
      <c r="AA222" s="1">
        <v>0</v>
      </c>
      <c r="AB222" s="1">
        <v>0</v>
      </c>
      <c r="AC222" s="1">
        <v>0</v>
      </c>
      <c r="AD222" s="1">
        <v>6291.91</v>
      </c>
      <c r="AE222" s="1">
        <v>0</v>
      </c>
      <c r="AF222" s="1">
        <v>0</v>
      </c>
      <c r="AG222" s="1">
        <v>6084.7300000000005</v>
      </c>
      <c r="AH222" s="1">
        <v>0</v>
      </c>
      <c r="AI222" s="1">
        <v>0</v>
      </c>
      <c r="AJ222" s="1">
        <v>0</v>
      </c>
      <c r="AK222" s="1">
        <v>0</v>
      </c>
      <c r="AL222" s="1">
        <v>0</v>
      </c>
      <c r="AM222" s="1">
        <v>0</v>
      </c>
      <c r="AN222" s="1">
        <v>0</v>
      </c>
      <c r="AO222" s="1">
        <v>0</v>
      </c>
      <c r="AP222" s="1">
        <v>13615.579999999998</v>
      </c>
      <c r="AQ222" s="1">
        <v>11283.88</v>
      </c>
      <c r="AR222" s="1">
        <v>11150.23</v>
      </c>
      <c r="AS222" s="1">
        <v>13574.099999999999</v>
      </c>
      <c r="AT222" s="1">
        <v>0</v>
      </c>
      <c r="AU222" s="1">
        <v>13615.579999999998</v>
      </c>
      <c r="AV222" s="1">
        <v>0</v>
      </c>
      <c r="AW222" s="1">
        <v>0</v>
      </c>
      <c r="AX222" s="1">
        <v>0</v>
      </c>
      <c r="AY222" s="1">
        <v>11283.88</v>
      </c>
      <c r="AZ222" s="1">
        <v>0</v>
      </c>
      <c r="BA222" s="1">
        <v>0</v>
      </c>
      <c r="BB222" s="1">
        <v>0</v>
      </c>
      <c r="BC222" s="1">
        <v>11150.23</v>
      </c>
      <c r="BD222" s="1">
        <v>0</v>
      </c>
      <c r="BE222" s="1">
        <v>0</v>
      </c>
      <c r="BF222" s="1">
        <v>13574.099999999999</v>
      </c>
      <c r="BG222" s="1">
        <v>0</v>
      </c>
      <c r="BH222" s="1">
        <v>0</v>
      </c>
      <c r="BI222" s="1">
        <v>0</v>
      </c>
      <c r="BJ222" s="1">
        <v>0</v>
      </c>
      <c r="BK222" s="1">
        <v>0</v>
      </c>
      <c r="BL222" s="1">
        <v>0</v>
      </c>
      <c r="BM222" s="1">
        <v>0</v>
      </c>
      <c r="BN222" s="1">
        <v>0</v>
      </c>
      <c r="BO222" s="1">
        <v>0</v>
      </c>
      <c r="BP222" s="1">
        <v>0</v>
      </c>
      <c r="BQ222" s="1">
        <v>0</v>
      </c>
      <c r="BR222" s="1">
        <v>0</v>
      </c>
      <c r="BS222" s="1">
        <v>0</v>
      </c>
      <c r="BT222" s="1">
        <v>0</v>
      </c>
      <c r="BU222" s="1">
        <v>16685.14</v>
      </c>
      <c r="BV222" s="1">
        <v>16429.96</v>
      </c>
      <c r="BW222" s="1">
        <v>16657.27</v>
      </c>
      <c r="BX222" s="1">
        <v>15370.02</v>
      </c>
      <c r="BY222" s="1">
        <v>16466.05</v>
      </c>
      <c r="BZ222" s="1">
        <v>16341.49</v>
      </c>
      <c r="CA222" s="1">
        <v>16656.97</v>
      </c>
      <c r="CB222" s="1">
        <v>15366.97</v>
      </c>
      <c r="CC222" s="1">
        <v>219.09</v>
      </c>
      <c r="CD222" s="1">
        <v>88.47</v>
      </c>
      <c r="CE222" s="1">
        <v>0.3</v>
      </c>
      <c r="CF222" s="1">
        <v>3.05</v>
      </c>
      <c r="CG222" s="1">
        <v>0</v>
      </c>
      <c r="CH222" s="1">
        <v>0</v>
      </c>
      <c r="CI222" s="1">
        <v>0</v>
      </c>
      <c r="CJ222" s="1">
        <v>0</v>
      </c>
      <c r="CK222" s="1">
        <v>0</v>
      </c>
      <c r="CL222" s="1">
        <v>0</v>
      </c>
      <c r="CM222" s="1">
        <v>0</v>
      </c>
      <c r="CN222" s="1">
        <v>0</v>
      </c>
      <c r="CO222" s="1">
        <v>0</v>
      </c>
      <c r="CP222" s="1">
        <v>0</v>
      </c>
      <c r="CQ222" s="1">
        <v>0</v>
      </c>
      <c r="CR222" s="1">
        <v>0</v>
      </c>
      <c r="CS222" s="1">
        <v>4256.5599999999986</v>
      </c>
      <c r="CT222" s="1">
        <v>3578.04</v>
      </c>
      <c r="CU222" s="1">
        <v>2996.88</v>
      </c>
      <c r="CV222" s="1">
        <v>1773.51</v>
      </c>
      <c r="CW222" s="1">
        <v>4255.6500000000005</v>
      </c>
      <c r="CX222" s="1">
        <v>3577.64</v>
      </c>
      <c r="CY222" s="1">
        <v>2996.579999999999</v>
      </c>
      <c r="CZ222" s="1">
        <v>1770.46</v>
      </c>
      <c r="DA222" s="1">
        <v>0.90999999999999992</v>
      </c>
      <c r="DB222" s="1">
        <v>0.4</v>
      </c>
      <c r="DC222" s="1">
        <v>0.3</v>
      </c>
      <c r="DD222" s="1">
        <v>3.05</v>
      </c>
      <c r="DE222" s="1">
        <v>0</v>
      </c>
      <c r="DF222" s="1">
        <v>0</v>
      </c>
      <c r="DG222" s="1">
        <v>0</v>
      </c>
      <c r="DH222" s="1">
        <v>0</v>
      </c>
      <c r="DI222" s="1">
        <v>0</v>
      </c>
      <c r="DJ222" s="1">
        <v>0</v>
      </c>
      <c r="DK222" s="1">
        <v>0</v>
      </c>
      <c r="DL222" s="1">
        <v>0</v>
      </c>
      <c r="DM222" s="1">
        <v>4631.1099999999997</v>
      </c>
      <c r="DN222" s="1">
        <v>4359.7299999999996</v>
      </c>
      <c r="DO222" s="1">
        <v>5267.57</v>
      </c>
      <c r="DP222" s="1">
        <v>5140.8</v>
      </c>
      <c r="DQ222" s="1">
        <v>4631.1099999999997</v>
      </c>
      <c r="DR222" s="1">
        <v>4359.7299999999996</v>
      </c>
      <c r="DS222" s="1">
        <v>5267.57</v>
      </c>
      <c r="DT222" s="1">
        <v>5140.8</v>
      </c>
      <c r="DU222" s="1">
        <v>0</v>
      </c>
      <c r="DV222" s="1">
        <v>0</v>
      </c>
      <c r="DW222" s="1">
        <v>0</v>
      </c>
      <c r="DX222" s="1">
        <v>0</v>
      </c>
      <c r="DY222" s="1">
        <v>0</v>
      </c>
      <c r="DZ222" s="1">
        <v>0</v>
      </c>
      <c r="EA222" s="1">
        <v>0</v>
      </c>
      <c r="EB222" s="1">
        <v>0</v>
      </c>
      <c r="EC222" s="1">
        <v>0</v>
      </c>
      <c r="ED222" s="1">
        <v>0</v>
      </c>
      <c r="EE222" s="1">
        <v>0</v>
      </c>
      <c r="EF222" s="1">
        <v>0</v>
      </c>
      <c r="EG222" s="1">
        <v>0</v>
      </c>
      <c r="EH222" s="1">
        <v>0</v>
      </c>
      <c r="EI222" s="1">
        <v>0</v>
      </c>
      <c r="EJ222" s="1">
        <v>0</v>
      </c>
      <c r="EK222" s="1">
        <v>1167.96</v>
      </c>
      <c r="EL222" s="1">
        <v>1764.63</v>
      </c>
      <c r="EM222" s="1">
        <v>966.36999999999989</v>
      </c>
      <c r="EN222" s="1">
        <v>927.45</v>
      </c>
      <c r="EO222" s="1">
        <v>1167.96</v>
      </c>
      <c r="EP222" s="1">
        <v>1764.63</v>
      </c>
      <c r="EQ222" s="1">
        <v>966.36999999999989</v>
      </c>
      <c r="ER222" s="1">
        <v>927.45</v>
      </c>
      <c r="ES222" s="1">
        <v>0</v>
      </c>
      <c r="ET222" s="1">
        <v>0</v>
      </c>
      <c r="EU222" s="1">
        <v>0</v>
      </c>
      <c r="EV222" s="1">
        <v>0</v>
      </c>
      <c r="EW222" s="1">
        <v>0</v>
      </c>
      <c r="EX222" s="1">
        <v>0</v>
      </c>
      <c r="EY222" s="1">
        <v>0</v>
      </c>
      <c r="EZ222" s="1">
        <v>0</v>
      </c>
      <c r="FA222" s="1">
        <v>0</v>
      </c>
      <c r="FB222" s="1">
        <v>0</v>
      </c>
      <c r="FC222" s="1">
        <v>0</v>
      </c>
      <c r="FD222" s="1">
        <v>0</v>
      </c>
      <c r="FE222" s="1">
        <v>282.97000000000003</v>
      </c>
      <c r="FF222" s="1">
        <v>256.82</v>
      </c>
      <c r="FG222" s="1">
        <v>214.01</v>
      </c>
      <c r="FH222" s="1">
        <v>185.238</v>
      </c>
      <c r="FI222" s="1">
        <v>0</v>
      </c>
      <c r="FJ222" s="1">
        <v>0</v>
      </c>
      <c r="FK222" s="1">
        <v>3.7650000000000001</v>
      </c>
      <c r="FL222" s="1">
        <v>3.36</v>
      </c>
      <c r="FM222" s="1">
        <v>282.97000000000003</v>
      </c>
      <c r="FN222" s="1">
        <v>256.82</v>
      </c>
      <c r="FO222" s="1">
        <v>210.245</v>
      </c>
      <c r="FP222" s="1">
        <v>181.87799999999999</v>
      </c>
      <c r="FQ222" s="1">
        <v>0</v>
      </c>
      <c r="FR222" s="1">
        <v>0</v>
      </c>
      <c r="FS222" s="1">
        <v>0</v>
      </c>
      <c r="FT222" s="1">
        <v>0</v>
      </c>
      <c r="FU222" s="1">
        <v>0</v>
      </c>
      <c r="FV222" s="1">
        <v>0</v>
      </c>
      <c r="FW222" s="1">
        <v>0</v>
      </c>
      <c r="FX222" s="1">
        <v>0</v>
      </c>
      <c r="FY222" s="1">
        <v>0</v>
      </c>
      <c r="FZ222" s="1">
        <v>0</v>
      </c>
      <c r="GA222" s="1">
        <v>0</v>
      </c>
      <c r="GB222" s="1">
        <v>0</v>
      </c>
      <c r="GC222" s="1">
        <v>16.55</v>
      </c>
      <c r="GD222" s="1">
        <v>26.81</v>
      </c>
      <c r="GE222" s="1">
        <v>15.14</v>
      </c>
      <c r="GF222" s="1">
        <v>10.81</v>
      </c>
      <c r="GG222" s="1">
        <v>16.55</v>
      </c>
      <c r="GH222" s="1">
        <v>26.81</v>
      </c>
      <c r="GI222" s="1">
        <v>15.14</v>
      </c>
      <c r="GJ222" s="1">
        <v>10.81</v>
      </c>
      <c r="GK222" s="1">
        <v>0</v>
      </c>
      <c r="GL222" s="1">
        <v>0</v>
      </c>
      <c r="GM222" s="1">
        <v>0</v>
      </c>
      <c r="GN222" s="1">
        <v>0</v>
      </c>
      <c r="GO222" s="1">
        <v>0</v>
      </c>
      <c r="GP222" s="1">
        <v>0</v>
      </c>
      <c r="GQ222" s="1">
        <v>0</v>
      </c>
      <c r="GR222" s="1">
        <v>0</v>
      </c>
      <c r="GS222" s="1">
        <v>0</v>
      </c>
      <c r="GT222" s="1">
        <v>0</v>
      </c>
      <c r="GU222" s="1">
        <v>0</v>
      </c>
      <c r="GV222" s="1">
        <v>0</v>
      </c>
      <c r="GW222" s="1">
        <v>0</v>
      </c>
      <c r="GX222" s="1">
        <v>0</v>
      </c>
      <c r="GY222" s="1">
        <v>0</v>
      </c>
      <c r="GZ222" s="1">
        <v>0</v>
      </c>
      <c r="HA222" s="1">
        <v>0</v>
      </c>
      <c r="HB222" s="1">
        <v>0</v>
      </c>
      <c r="HC222" s="1">
        <v>0</v>
      </c>
      <c r="HD222" s="1">
        <v>0</v>
      </c>
      <c r="HE222" s="1">
        <v>0</v>
      </c>
      <c r="HF222" s="1">
        <v>0</v>
      </c>
      <c r="HG222" s="1">
        <v>0</v>
      </c>
      <c r="HH222" s="1">
        <v>0</v>
      </c>
      <c r="HI222" s="1">
        <v>0</v>
      </c>
      <c r="HJ222" s="1">
        <v>0</v>
      </c>
      <c r="HK222" s="1">
        <v>0</v>
      </c>
      <c r="HL222" s="1">
        <v>0</v>
      </c>
      <c r="HM222" s="1">
        <v>0</v>
      </c>
      <c r="HN222" s="1">
        <v>0</v>
      </c>
      <c r="HO222" s="1">
        <v>0</v>
      </c>
      <c r="HP222" s="1">
        <v>0</v>
      </c>
      <c r="HQ222" s="1">
        <v>0</v>
      </c>
      <c r="HR222" s="1">
        <v>0</v>
      </c>
      <c r="HS222" s="1">
        <v>0</v>
      </c>
      <c r="HT222" s="1">
        <v>0</v>
      </c>
      <c r="HU222" s="1">
        <v>0</v>
      </c>
      <c r="HV222" s="1">
        <v>0</v>
      </c>
      <c r="HW222" s="1">
        <v>0</v>
      </c>
      <c r="HX222" s="1">
        <v>0</v>
      </c>
      <c r="HY222" s="1">
        <v>0</v>
      </c>
      <c r="HZ222" s="1">
        <v>0</v>
      </c>
      <c r="IA222" s="1">
        <v>0</v>
      </c>
      <c r="IB222" s="1">
        <v>0</v>
      </c>
      <c r="IC222" s="1">
        <v>0</v>
      </c>
      <c r="ID222" s="1">
        <v>0</v>
      </c>
      <c r="IE222" s="1">
        <v>0</v>
      </c>
      <c r="IF222" s="1">
        <v>0</v>
      </c>
      <c r="IG222" s="1">
        <v>0</v>
      </c>
      <c r="IH222" s="1">
        <v>0</v>
      </c>
      <c r="II222" s="1">
        <v>0</v>
      </c>
      <c r="IJ222" s="1">
        <v>0</v>
      </c>
      <c r="IK222" s="1">
        <v>0</v>
      </c>
      <c r="IL222" s="1">
        <v>0</v>
      </c>
      <c r="IM222" s="1">
        <v>0</v>
      </c>
      <c r="IN222" s="1">
        <v>0</v>
      </c>
      <c r="IO222" s="1">
        <v>417.93</v>
      </c>
      <c r="IP222" s="1">
        <v>343.96</v>
      </c>
      <c r="IQ222" s="1">
        <v>375.7</v>
      </c>
      <c r="IR222" s="1">
        <v>390.76</v>
      </c>
      <c r="IS222" s="1">
        <v>417.93</v>
      </c>
      <c r="IT222" s="1">
        <v>343.96</v>
      </c>
      <c r="IU222" s="1">
        <v>375.7</v>
      </c>
      <c r="IV222" s="1">
        <v>390.76</v>
      </c>
      <c r="IW222" s="1">
        <v>0</v>
      </c>
      <c r="IX222" s="1">
        <v>0</v>
      </c>
      <c r="IY222" s="1">
        <v>0</v>
      </c>
      <c r="IZ222" s="1">
        <v>0</v>
      </c>
      <c r="JA222" s="1">
        <v>0</v>
      </c>
      <c r="JB222" s="1">
        <v>0</v>
      </c>
      <c r="JC222" s="1">
        <v>0</v>
      </c>
      <c r="JD222" s="1">
        <v>0</v>
      </c>
      <c r="JE222" s="1">
        <v>0</v>
      </c>
      <c r="JF222" s="1">
        <v>0</v>
      </c>
      <c r="JG222" s="1">
        <v>0</v>
      </c>
      <c r="JH222" s="1">
        <v>0</v>
      </c>
      <c r="JI222" s="1">
        <v>0</v>
      </c>
      <c r="JJ222" s="1">
        <v>0</v>
      </c>
      <c r="JK222" s="1">
        <v>0</v>
      </c>
      <c r="JL222" s="1">
        <v>0</v>
      </c>
      <c r="JM222" s="1">
        <v>0</v>
      </c>
      <c r="JN222" s="1">
        <v>0</v>
      </c>
      <c r="JO222" s="1">
        <v>0</v>
      </c>
      <c r="JP222" s="1">
        <v>0</v>
      </c>
      <c r="JQ222" s="9"/>
      <c r="JR222" s="1">
        <f t="shared" si="48"/>
        <v>5960.7954</v>
      </c>
      <c r="JS222" s="1">
        <f t="shared" si="48"/>
        <v>6008.6609999999991</v>
      </c>
      <c r="JT222" s="1">
        <f t="shared" si="48"/>
        <v>5499.8055000000004</v>
      </c>
      <c r="JU222" s="1">
        <f t="shared" si="48"/>
        <v>5376.6045000000004</v>
      </c>
      <c r="JV222" s="1">
        <f t="shared" si="49"/>
        <v>1103.8509999999999</v>
      </c>
      <c r="JW222" s="1">
        <f t="shared" si="49"/>
        <v>1112.7149999999999</v>
      </c>
      <c r="JX222" s="1">
        <f t="shared" si="49"/>
        <v>1018.4825000000001</v>
      </c>
      <c r="JY222" s="1">
        <f t="shared" si="49"/>
        <v>995.66750000000002</v>
      </c>
    </row>
    <row r="223" spans="1:285" x14ac:dyDescent="0.35">
      <c r="A223" s="2" t="s">
        <v>230</v>
      </c>
      <c r="B223" s="1">
        <v>110613</v>
      </c>
      <c r="C223" s="1">
        <v>111203</v>
      </c>
      <c r="D223" s="1">
        <v>112351</v>
      </c>
      <c r="E223" s="1">
        <v>113957</v>
      </c>
      <c r="F223" s="1">
        <v>34932.925999999999</v>
      </c>
      <c r="G223" s="1">
        <v>34653.442000000003</v>
      </c>
      <c r="H223" s="1">
        <v>32014.788</v>
      </c>
      <c r="I223" s="1">
        <v>33336.684000000001</v>
      </c>
      <c r="J223" s="1">
        <f t="shared" si="50"/>
        <v>20617.266</v>
      </c>
      <c r="K223" s="1">
        <f t="shared" si="51"/>
        <v>19822.953000000001</v>
      </c>
      <c r="L223" s="1">
        <f t="shared" si="52"/>
        <v>19250.477999999999</v>
      </c>
      <c r="M223" s="1">
        <f t="shared" si="53"/>
        <v>19236.944000000003</v>
      </c>
      <c r="N223" s="1">
        <f t="shared" si="54"/>
        <v>14315.66</v>
      </c>
      <c r="O223" s="1">
        <f t="shared" si="55"/>
        <v>14830.489000000001</v>
      </c>
      <c r="P223" s="1">
        <f t="shared" si="56"/>
        <v>12764.310000000001</v>
      </c>
      <c r="Q223" s="1">
        <f t="shared" si="57"/>
        <v>14099.739999999998</v>
      </c>
      <c r="R223" s="1">
        <v>0</v>
      </c>
      <c r="S223" s="1">
        <v>0</v>
      </c>
      <c r="T223" s="1">
        <v>0</v>
      </c>
      <c r="U223" s="1">
        <v>0</v>
      </c>
      <c r="V223" s="1">
        <v>0</v>
      </c>
      <c r="W223" s="1">
        <v>0</v>
      </c>
      <c r="X223" s="1">
        <v>0</v>
      </c>
      <c r="Y223" s="1">
        <v>0</v>
      </c>
      <c r="Z223" s="1">
        <v>0</v>
      </c>
      <c r="AA223" s="1">
        <v>0</v>
      </c>
      <c r="AB223" s="1">
        <v>0</v>
      </c>
      <c r="AC223" s="1">
        <v>0</v>
      </c>
      <c r="AD223" s="1">
        <v>0</v>
      </c>
      <c r="AE223" s="1">
        <v>0</v>
      </c>
      <c r="AF223" s="1">
        <v>0</v>
      </c>
      <c r="AG223" s="1">
        <v>0</v>
      </c>
      <c r="AH223" s="1">
        <v>0</v>
      </c>
      <c r="AI223" s="1">
        <v>0</v>
      </c>
      <c r="AJ223" s="1">
        <v>0</v>
      </c>
      <c r="AK223" s="1">
        <v>0</v>
      </c>
      <c r="AL223" s="1">
        <v>0</v>
      </c>
      <c r="AM223" s="1">
        <v>0</v>
      </c>
      <c r="AN223" s="1">
        <v>0</v>
      </c>
      <c r="AO223" s="1">
        <v>0</v>
      </c>
      <c r="AP223" s="1">
        <v>8738.67</v>
      </c>
      <c r="AQ223" s="1">
        <v>8021.4800000000005</v>
      </c>
      <c r="AR223" s="1">
        <v>7530.9299999999994</v>
      </c>
      <c r="AS223" s="1">
        <v>7882.66</v>
      </c>
      <c r="AT223" s="1">
        <v>0</v>
      </c>
      <c r="AU223" s="1">
        <v>8738.67</v>
      </c>
      <c r="AV223" s="1">
        <v>0</v>
      </c>
      <c r="AW223" s="1">
        <v>0</v>
      </c>
      <c r="AX223" s="1">
        <v>0</v>
      </c>
      <c r="AY223" s="1">
        <v>8021.4800000000005</v>
      </c>
      <c r="AZ223" s="1">
        <v>0</v>
      </c>
      <c r="BA223" s="1">
        <v>0</v>
      </c>
      <c r="BB223" s="1">
        <v>0</v>
      </c>
      <c r="BC223" s="1">
        <v>7530.9299999999994</v>
      </c>
      <c r="BD223" s="1">
        <v>0</v>
      </c>
      <c r="BE223" s="1">
        <v>0</v>
      </c>
      <c r="BF223" s="1">
        <v>7882.66</v>
      </c>
      <c r="BG223" s="1">
        <v>0</v>
      </c>
      <c r="BH223" s="1">
        <v>0</v>
      </c>
      <c r="BI223" s="1">
        <v>0</v>
      </c>
      <c r="BJ223" s="1">
        <v>0</v>
      </c>
      <c r="BK223" s="1">
        <v>0</v>
      </c>
      <c r="BL223" s="1">
        <v>0</v>
      </c>
      <c r="BM223" s="1">
        <v>0</v>
      </c>
      <c r="BN223" s="1">
        <v>0</v>
      </c>
      <c r="BO223" s="1">
        <v>0</v>
      </c>
      <c r="BP223" s="1">
        <v>0</v>
      </c>
      <c r="BQ223" s="1">
        <v>0</v>
      </c>
      <c r="BR223" s="1">
        <v>0</v>
      </c>
      <c r="BS223" s="1">
        <v>0</v>
      </c>
      <c r="BT223" s="1">
        <v>0</v>
      </c>
      <c r="BU223" s="1">
        <v>4018.78</v>
      </c>
      <c r="BV223" s="1">
        <v>3955.62</v>
      </c>
      <c r="BW223" s="1">
        <v>3502.71</v>
      </c>
      <c r="BX223" s="1">
        <v>3439.25</v>
      </c>
      <c r="BY223" s="1">
        <v>4018.78</v>
      </c>
      <c r="BZ223" s="1">
        <v>3955.62</v>
      </c>
      <c r="CA223" s="1">
        <v>3502.71</v>
      </c>
      <c r="CB223" s="1">
        <v>3439.25</v>
      </c>
      <c r="CC223" s="1">
        <v>0</v>
      </c>
      <c r="CD223" s="1">
        <v>0</v>
      </c>
      <c r="CE223" s="1">
        <v>0</v>
      </c>
      <c r="CF223" s="1">
        <v>0</v>
      </c>
      <c r="CG223" s="1">
        <v>0</v>
      </c>
      <c r="CH223" s="1">
        <v>0</v>
      </c>
      <c r="CI223" s="1">
        <v>0</v>
      </c>
      <c r="CJ223" s="1">
        <v>0</v>
      </c>
      <c r="CK223" s="1">
        <v>0</v>
      </c>
      <c r="CL223" s="1">
        <v>0</v>
      </c>
      <c r="CM223" s="1">
        <v>0</v>
      </c>
      <c r="CN223" s="1">
        <v>0</v>
      </c>
      <c r="CO223" s="1">
        <v>0</v>
      </c>
      <c r="CP223" s="1">
        <v>0</v>
      </c>
      <c r="CQ223" s="1">
        <v>0</v>
      </c>
      <c r="CR223" s="1">
        <v>0</v>
      </c>
      <c r="CS223" s="1">
        <v>1266.27</v>
      </c>
      <c r="CT223" s="1">
        <v>1508.1969999999999</v>
      </c>
      <c r="CU223" s="1">
        <v>1148.47</v>
      </c>
      <c r="CV223" s="1">
        <v>933.93999999999994</v>
      </c>
      <c r="CW223" s="1">
        <v>1266.27</v>
      </c>
      <c r="CX223" s="1">
        <v>1508.1969999999999</v>
      </c>
      <c r="CY223" s="1">
        <v>1148.47</v>
      </c>
      <c r="CZ223" s="1">
        <v>933.93999999999994</v>
      </c>
      <c r="DA223" s="1">
        <v>0</v>
      </c>
      <c r="DB223" s="1">
        <v>0</v>
      </c>
      <c r="DC223" s="1">
        <v>0</v>
      </c>
      <c r="DD223" s="1">
        <v>0</v>
      </c>
      <c r="DE223" s="1">
        <v>0</v>
      </c>
      <c r="DF223" s="1">
        <v>0</v>
      </c>
      <c r="DG223" s="1">
        <v>0</v>
      </c>
      <c r="DH223" s="1">
        <v>0</v>
      </c>
      <c r="DI223" s="1">
        <v>0</v>
      </c>
      <c r="DJ223" s="1">
        <v>0</v>
      </c>
      <c r="DK223" s="1">
        <v>0</v>
      </c>
      <c r="DL223" s="1">
        <v>0</v>
      </c>
      <c r="DM223" s="1">
        <v>4212.82</v>
      </c>
      <c r="DN223" s="1">
        <v>3966.6489999999999</v>
      </c>
      <c r="DO223" s="1">
        <v>4110.96</v>
      </c>
      <c r="DP223" s="1">
        <v>4019.38</v>
      </c>
      <c r="DQ223" s="1">
        <v>4212.82</v>
      </c>
      <c r="DR223" s="1">
        <v>3966.6489999999999</v>
      </c>
      <c r="DS223" s="1">
        <v>4110.96</v>
      </c>
      <c r="DT223" s="1">
        <v>4019.38</v>
      </c>
      <c r="DU223" s="1">
        <v>0</v>
      </c>
      <c r="DV223" s="1">
        <v>0</v>
      </c>
      <c r="DW223" s="1">
        <v>0</v>
      </c>
      <c r="DX223" s="1">
        <v>0</v>
      </c>
      <c r="DY223" s="1">
        <v>0</v>
      </c>
      <c r="DZ223" s="1">
        <v>0</v>
      </c>
      <c r="EA223" s="1">
        <v>0</v>
      </c>
      <c r="EB223" s="1">
        <v>0</v>
      </c>
      <c r="EC223" s="1">
        <v>0</v>
      </c>
      <c r="ED223" s="1">
        <v>0</v>
      </c>
      <c r="EE223" s="1">
        <v>0</v>
      </c>
      <c r="EF223" s="1">
        <v>0</v>
      </c>
      <c r="EG223" s="1">
        <v>0</v>
      </c>
      <c r="EH223" s="1">
        <v>0</v>
      </c>
      <c r="EI223" s="1">
        <v>0</v>
      </c>
      <c r="EJ223" s="1">
        <v>0</v>
      </c>
      <c r="EK223" s="1">
        <v>1635.35</v>
      </c>
      <c r="EL223" s="1">
        <v>1365.098</v>
      </c>
      <c r="EM223" s="1">
        <v>1385.12</v>
      </c>
      <c r="EN223" s="1">
        <v>1040.05</v>
      </c>
      <c r="EO223" s="1">
        <v>1635.35</v>
      </c>
      <c r="EP223" s="1">
        <v>1365.098</v>
      </c>
      <c r="EQ223" s="1">
        <v>1385.12</v>
      </c>
      <c r="ER223" s="1">
        <v>1040.05</v>
      </c>
      <c r="ES223" s="1">
        <v>0</v>
      </c>
      <c r="ET223" s="1">
        <v>0</v>
      </c>
      <c r="EU223" s="1">
        <v>0</v>
      </c>
      <c r="EV223" s="1">
        <v>0</v>
      </c>
      <c r="EW223" s="1">
        <v>0</v>
      </c>
      <c r="EX223" s="1">
        <v>0</v>
      </c>
      <c r="EY223" s="1">
        <v>0</v>
      </c>
      <c r="EZ223" s="1">
        <v>0</v>
      </c>
      <c r="FA223" s="1">
        <v>0</v>
      </c>
      <c r="FB223" s="1">
        <v>0</v>
      </c>
      <c r="FC223" s="1">
        <v>0</v>
      </c>
      <c r="FD223" s="1">
        <v>0</v>
      </c>
      <c r="FE223" s="1">
        <v>46.665999999999997</v>
      </c>
      <c r="FF223" s="1">
        <v>92.266999999999996</v>
      </c>
      <c r="FG223" s="1">
        <v>75.578000000000003</v>
      </c>
      <c r="FH223" s="1">
        <v>67.454000000000008</v>
      </c>
      <c r="FI223" s="1">
        <v>46.665999999999997</v>
      </c>
      <c r="FJ223" s="1">
        <v>92.266999999999996</v>
      </c>
      <c r="FK223" s="1">
        <v>75.578000000000003</v>
      </c>
      <c r="FL223" s="1">
        <v>67.454000000000008</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v>0</v>
      </c>
      <c r="GC223" s="1">
        <v>24.11</v>
      </c>
      <c r="GD223" s="1">
        <v>77.957999999999998</v>
      </c>
      <c r="GE223" s="1">
        <v>79.11</v>
      </c>
      <c r="GF223" s="1">
        <v>62.15</v>
      </c>
      <c r="GG223" s="1">
        <v>16.22</v>
      </c>
      <c r="GH223" s="1">
        <v>73.227999999999994</v>
      </c>
      <c r="GI223" s="1">
        <v>38.229999999999997</v>
      </c>
      <c r="GJ223" s="1">
        <v>42.91</v>
      </c>
      <c r="GK223" s="1">
        <v>7.8900000000000006</v>
      </c>
      <c r="GL223" s="1">
        <v>4.7300000000000004</v>
      </c>
      <c r="GM223" s="1">
        <v>40.880000000000003</v>
      </c>
      <c r="GN223" s="1">
        <v>19.239999999999998</v>
      </c>
      <c r="GO223" s="1">
        <v>0</v>
      </c>
      <c r="GP223" s="1">
        <v>0</v>
      </c>
      <c r="GQ223" s="1">
        <v>0</v>
      </c>
      <c r="GR223" s="1">
        <v>0</v>
      </c>
      <c r="GS223" s="1">
        <v>0</v>
      </c>
      <c r="GT223" s="1">
        <v>0</v>
      </c>
      <c r="GU223" s="1">
        <v>0</v>
      </c>
      <c r="GV223" s="1">
        <v>0</v>
      </c>
      <c r="GW223" s="1">
        <v>0</v>
      </c>
      <c r="GX223" s="1">
        <v>0</v>
      </c>
      <c r="GY223" s="1">
        <v>0</v>
      </c>
      <c r="GZ223" s="1">
        <v>0</v>
      </c>
      <c r="HA223" s="1">
        <v>0</v>
      </c>
      <c r="HB223" s="1">
        <v>0</v>
      </c>
      <c r="HC223" s="1">
        <v>0</v>
      </c>
      <c r="HD223" s="1">
        <v>0</v>
      </c>
      <c r="HE223" s="1">
        <v>0</v>
      </c>
      <c r="HF223" s="1">
        <v>0</v>
      </c>
      <c r="HG223" s="1">
        <v>0</v>
      </c>
      <c r="HH223" s="1">
        <v>0</v>
      </c>
      <c r="HI223" s="1">
        <v>0</v>
      </c>
      <c r="HJ223" s="1">
        <v>0</v>
      </c>
      <c r="HK223" s="1">
        <v>0</v>
      </c>
      <c r="HL223" s="1">
        <v>0</v>
      </c>
      <c r="HM223" s="1">
        <v>0</v>
      </c>
      <c r="HN223" s="1">
        <v>0</v>
      </c>
      <c r="HO223" s="1">
        <v>0</v>
      </c>
      <c r="HP223" s="1">
        <v>0</v>
      </c>
      <c r="HQ223" s="1">
        <v>0</v>
      </c>
      <c r="HR223" s="1">
        <v>0</v>
      </c>
      <c r="HS223" s="1">
        <v>0</v>
      </c>
      <c r="HT223" s="1">
        <v>0</v>
      </c>
      <c r="HU223" s="1">
        <v>0</v>
      </c>
      <c r="HV223" s="1">
        <v>0</v>
      </c>
      <c r="HW223" s="1">
        <v>0</v>
      </c>
      <c r="HX223" s="1">
        <v>0</v>
      </c>
      <c r="HY223" s="1">
        <v>0</v>
      </c>
      <c r="HZ223" s="1">
        <v>0</v>
      </c>
      <c r="IA223" s="1">
        <v>0</v>
      </c>
      <c r="IB223" s="1">
        <v>0</v>
      </c>
      <c r="IC223" s="1">
        <v>0</v>
      </c>
      <c r="ID223" s="1">
        <v>0</v>
      </c>
      <c r="IE223" s="1">
        <v>0</v>
      </c>
      <c r="IF223" s="1">
        <v>0</v>
      </c>
      <c r="IG223" s="1">
        <v>0</v>
      </c>
      <c r="IH223" s="1">
        <v>0</v>
      </c>
      <c r="II223" s="1">
        <v>0</v>
      </c>
      <c r="IJ223" s="1">
        <v>0</v>
      </c>
      <c r="IK223" s="1">
        <v>0</v>
      </c>
      <c r="IL223" s="1">
        <v>0</v>
      </c>
      <c r="IM223" s="1">
        <v>0</v>
      </c>
      <c r="IN223" s="1">
        <v>0</v>
      </c>
      <c r="IO223" s="1">
        <v>674.6</v>
      </c>
      <c r="IP223" s="1">
        <v>835.68399999999997</v>
      </c>
      <c r="IQ223" s="1">
        <v>1417.6</v>
      </c>
      <c r="IR223" s="1">
        <v>1792.06</v>
      </c>
      <c r="IS223" s="1">
        <v>674.6</v>
      </c>
      <c r="IT223" s="1">
        <v>835.68399999999997</v>
      </c>
      <c r="IU223" s="1">
        <v>1417.6</v>
      </c>
      <c r="IV223" s="1">
        <v>1792.06</v>
      </c>
      <c r="IW223" s="1">
        <v>0</v>
      </c>
      <c r="IX223" s="1">
        <v>0</v>
      </c>
      <c r="IY223" s="1">
        <v>0</v>
      </c>
      <c r="IZ223" s="1">
        <v>0</v>
      </c>
      <c r="JA223" s="1">
        <v>0</v>
      </c>
      <c r="JB223" s="1">
        <v>0</v>
      </c>
      <c r="JC223" s="1">
        <v>0</v>
      </c>
      <c r="JD223" s="1">
        <v>0</v>
      </c>
      <c r="JE223" s="1">
        <v>0</v>
      </c>
      <c r="JF223" s="1">
        <v>0</v>
      </c>
      <c r="JG223" s="1">
        <v>0</v>
      </c>
      <c r="JH223" s="1">
        <v>0</v>
      </c>
      <c r="JI223" s="1">
        <v>0</v>
      </c>
      <c r="JJ223" s="1">
        <v>0</v>
      </c>
      <c r="JK223" s="1">
        <v>0</v>
      </c>
      <c r="JL223" s="1">
        <v>0</v>
      </c>
      <c r="JM223" s="1">
        <v>0</v>
      </c>
      <c r="JN223" s="1">
        <v>0</v>
      </c>
      <c r="JO223" s="1">
        <v>0</v>
      </c>
      <c r="JP223" s="1">
        <v>0</v>
      </c>
      <c r="JQ223" s="9"/>
      <c r="JR223" s="1">
        <f t="shared" si="48"/>
        <v>3865.2282</v>
      </c>
      <c r="JS223" s="1">
        <f t="shared" si="48"/>
        <v>4004.2320300000006</v>
      </c>
      <c r="JT223" s="1">
        <f t="shared" si="48"/>
        <v>3446.3637000000008</v>
      </c>
      <c r="JU223" s="1">
        <f t="shared" si="48"/>
        <v>3806.9297999999999</v>
      </c>
      <c r="JV223" s="1">
        <f t="shared" si="49"/>
        <v>715.78300000000002</v>
      </c>
      <c r="JW223" s="1">
        <f t="shared" si="49"/>
        <v>741.52445000000012</v>
      </c>
      <c r="JX223" s="1">
        <f t="shared" si="49"/>
        <v>638.21550000000013</v>
      </c>
      <c r="JY223" s="1">
        <f t="shared" si="49"/>
        <v>704.98699999999997</v>
      </c>
    </row>
    <row r="224" spans="1:285" x14ac:dyDescent="0.35">
      <c r="A224" s="2" t="s">
        <v>231</v>
      </c>
      <c r="B224" s="1">
        <v>110243</v>
      </c>
      <c r="C224" s="1">
        <v>110787</v>
      </c>
      <c r="D224" s="1">
        <v>111641</v>
      </c>
      <c r="E224" s="1">
        <v>113412</v>
      </c>
      <c r="F224" s="1">
        <v>43776.71</v>
      </c>
      <c r="G224" s="1">
        <v>36292.06</v>
      </c>
      <c r="H224" s="1">
        <v>29848.53</v>
      </c>
      <c r="I224" s="1">
        <v>26736.9</v>
      </c>
      <c r="J224" s="1">
        <f t="shared" si="50"/>
        <v>29060.99</v>
      </c>
      <c r="K224" s="1">
        <f t="shared" si="51"/>
        <v>22663.32</v>
      </c>
      <c r="L224" s="1">
        <f t="shared" si="52"/>
        <v>18373.299999999996</v>
      </c>
      <c r="M224" s="1">
        <f t="shared" si="53"/>
        <v>18086.37</v>
      </c>
      <c r="N224" s="1">
        <f t="shared" si="54"/>
        <v>14715.719999999998</v>
      </c>
      <c r="O224" s="1">
        <f t="shared" si="55"/>
        <v>13628.739999999998</v>
      </c>
      <c r="P224" s="1">
        <f t="shared" si="56"/>
        <v>11475.230000000003</v>
      </c>
      <c r="Q224" s="1">
        <f t="shared" si="57"/>
        <v>8650.5300000000025</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L224" s="1">
        <v>0</v>
      </c>
      <c r="AM224" s="1">
        <v>0</v>
      </c>
      <c r="AN224" s="1">
        <v>0</v>
      </c>
      <c r="AO224" s="1">
        <v>0</v>
      </c>
      <c r="AP224" s="1">
        <v>11773.42</v>
      </c>
      <c r="AQ224" s="1">
        <v>9905</v>
      </c>
      <c r="AR224" s="1">
        <v>8880.2199999999993</v>
      </c>
      <c r="AS224" s="1">
        <v>9682.92</v>
      </c>
      <c r="AT224" s="1">
        <v>0</v>
      </c>
      <c r="AU224" s="1">
        <v>11773.42</v>
      </c>
      <c r="AV224" s="1">
        <v>0</v>
      </c>
      <c r="AW224" s="1">
        <v>0</v>
      </c>
      <c r="AX224" s="1">
        <v>0</v>
      </c>
      <c r="AY224" s="1">
        <v>9905</v>
      </c>
      <c r="AZ224" s="1">
        <v>0</v>
      </c>
      <c r="BA224" s="1">
        <v>0</v>
      </c>
      <c r="BB224" s="1">
        <v>0</v>
      </c>
      <c r="BC224" s="1">
        <v>8880.2199999999993</v>
      </c>
      <c r="BD224" s="1">
        <v>0</v>
      </c>
      <c r="BE224" s="1">
        <v>0</v>
      </c>
      <c r="BF224" s="1">
        <v>9682.92</v>
      </c>
      <c r="BG224" s="1">
        <v>0</v>
      </c>
      <c r="BH224" s="1">
        <v>0</v>
      </c>
      <c r="BI224" s="1">
        <v>0</v>
      </c>
      <c r="BJ224" s="1">
        <v>0</v>
      </c>
      <c r="BK224" s="1">
        <v>0</v>
      </c>
      <c r="BL224" s="1">
        <v>0</v>
      </c>
      <c r="BM224" s="1">
        <v>0</v>
      </c>
      <c r="BN224" s="1">
        <v>0</v>
      </c>
      <c r="BO224" s="1">
        <v>0</v>
      </c>
      <c r="BP224" s="1">
        <v>0</v>
      </c>
      <c r="BQ224" s="1">
        <v>0</v>
      </c>
      <c r="BR224" s="1">
        <v>0</v>
      </c>
      <c r="BS224" s="1">
        <v>0</v>
      </c>
      <c r="BT224" s="1">
        <v>0</v>
      </c>
      <c r="BU224" s="1">
        <v>10852.28</v>
      </c>
      <c r="BV224" s="1">
        <v>6810.28</v>
      </c>
      <c r="BW224" s="1">
        <v>3974.48</v>
      </c>
      <c r="BX224" s="1">
        <v>3061.94</v>
      </c>
      <c r="BY224" s="1">
        <v>10852.28</v>
      </c>
      <c r="BZ224" s="1">
        <v>6810.28</v>
      </c>
      <c r="CA224" s="1">
        <v>3974.48</v>
      </c>
      <c r="CB224" s="1">
        <v>3061.94</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1242.9100000000001</v>
      </c>
      <c r="CT224" s="1">
        <v>997.68000000000006</v>
      </c>
      <c r="CU224" s="1">
        <v>954.04</v>
      </c>
      <c r="CV224" s="1">
        <v>817.13</v>
      </c>
      <c r="CW224" s="1">
        <v>1242.9100000000001</v>
      </c>
      <c r="CX224" s="1">
        <v>997.68000000000006</v>
      </c>
      <c r="CY224" s="1">
        <v>954.04</v>
      </c>
      <c r="CZ224" s="1">
        <v>817.13</v>
      </c>
      <c r="DA224" s="1">
        <v>0</v>
      </c>
      <c r="DB224" s="1">
        <v>0</v>
      </c>
      <c r="DC224" s="1">
        <v>0</v>
      </c>
      <c r="DD224" s="1">
        <v>0</v>
      </c>
      <c r="DE224" s="1">
        <v>0</v>
      </c>
      <c r="DF224" s="1">
        <v>0</v>
      </c>
      <c r="DG224" s="1">
        <v>0</v>
      </c>
      <c r="DH224" s="1">
        <v>0</v>
      </c>
      <c r="DI224" s="1">
        <v>0</v>
      </c>
      <c r="DJ224" s="1">
        <v>0</v>
      </c>
      <c r="DK224" s="1">
        <v>0</v>
      </c>
      <c r="DL224" s="1">
        <v>0</v>
      </c>
      <c r="DM224" s="1">
        <v>4717.55</v>
      </c>
      <c r="DN224" s="1">
        <v>4476.0600000000004</v>
      </c>
      <c r="DO224" s="1">
        <v>4067.42</v>
      </c>
      <c r="DP224" s="1">
        <v>4118.33</v>
      </c>
      <c r="DQ224" s="1">
        <v>4717.55</v>
      </c>
      <c r="DR224" s="1">
        <v>4476.0600000000004</v>
      </c>
      <c r="DS224" s="1">
        <v>4067.42</v>
      </c>
      <c r="DT224" s="1">
        <v>4118.33</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467.79</v>
      </c>
      <c r="EL224" s="1">
        <v>457.34</v>
      </c>
      <c r="EM224" s="1">
        <v>487.47</v>
      </c>
      <c r="EN224" s="1">
        <v>396.84</v>
      </c>
      <c r="EO224" s="1">
        <v>467.79</v>
      </c>
      <c r="EP224" s="1">
        <v>457.34</v>
      </c>
      <c r="EQ224" s="1">
        <v>487.47</v>
      </c>
      <c r="ER224" s="1">
        <v>396.84</v>
      </c>
      <c r="ES224" s="1">
        <v>0</v>
      </c>
      <c r="ET224" s="1">
        <v>0</v>
      </c>
      <c r="EU224" s="1">
        <v>0</v>
      </c>
      <c r="EV224" s="1">
        <v>0</v>
      </c>
      <c r="EW224" s="1">
        <v>0</v>
      </c>
      <c r="EX224" s="1">
        <v>0</v>
      </c>
      <c r="EY224" s="1">
        <v>0</v>
      </c>
      <c r="EZ224" s="1">
        <v>0</v>
      </c>
      <c r="FA224" s="1">
        <v>0</v>
      </c>
      <c r="FB224" s="1">
        <v>0</v>
      </c>
      <c r="FC224" s="1">
        <v>0</v>
      </c>
      <c r="FD224" s="1">
        <v>0</v>
      </c>
      <c r="FE224" s="1">
        <v>7.04</v>
      </c>
      <c r="FF224" s="1">
        <v>13.2</v>
      </c>
      <c r="FG224" s="1">
        <v>9.67</v>
      </c>
      <c r="FH224" s="1">
        <v>9.2100000000000009</v>
      </c>
      <c r="FI224" s="1">
        <v>0</v>
      </c>
      <c r="FJ224" s="1">
        <v>0</v>
      </c>
      <c r="FK224" s="1">
        <v>0</v>
      </c>
      <c r="FL224" s="1">
        <v>0</v>
      </c>
      <c r="FM224" s="1">
        <v>7.04</v>
      </c>
      <c r="FN224" s="1">
        <v>13.2</v>
      </c>
      <c r="FO224" s="1">
        <v>9.67</v>
      </c>
      <c r="FP224" s="1">
        <v>9.2100000000000009</v>
      </c>
      <c r="FQ224" s="1">
        <v>0</v>
      </c>
      <c r="FR224" s="1">
        <v>0</v>
      </c>
      <c r="FS224" s="1">
        <v>0</v>
      </c>
      <c r="FT224" s="1">
        <v>0</v>
      </c>
      <c r="FU224" s="1">
        <v>0</v>
      </c>
      <c r="FV224" s="1">
        <v>0</v>
      </c>
      <c r="FW224" s="1">
        <v>0</v>
      </c>
      <c r="FX224" s="1">
        <v>0</v>
      </c>
      <c r="FY224" s="1">
        <v>0</v>
      </c>
      <c r="FZ224" s="1">
        <v>0</v>
      </c>
      <c r="GA224" s="1">
        <v>0</v>
      </c>
      <c r="GB224" s="1">
        <v>0</v>
      </c>
      <c r="GC224" s="1">
        <v>0</v>
      </c>
      <c r="GD224" s="1">
        <v>3.76</v>
      </c>
      <c r="GE224" s="1">
        <v>0</v>
      </c>
      <c r="GF224" s="1">
        <v>0</v>
      </c>
      <c r="GG224" s="1">
        <v>0</v>
      </c>
      <c r="GH224" s="1">
        <v>3.76</v>
      </c>
      <c r="GI224" s="1">
        <v>0</v>
      </c>
      <c r="GJ224" s="1">
        <v>0</v>
      </c>
      <c r="GK224" s="1">
        <v>0</v>
      </c>
      <c r="GL224" s="1">
        <v>0</v>
      </c>
      <c r="GM224" s="1">
        <v>0</v>
      </c>
      <c r="GN224" s="1">
        <v>0</v>
      </c>
      <c r="GO224" s="1">
        <v>0</v>
      </c>
      <c r="GP224" s="1">
        <v>0</v>
      </c>
      <c r="GQ224" s="1">
        <v>0</v>
      </c>
      <c r="GR224" s="1">
        <v>0</v>
      </c>
      <c r="GS224" s="1">
        <v>0</v>
      </c>
      <c r="GT224" s="1">
        <v>0</v>
      </c>
      <c r="GU224" s="1">
        <v>0</v>
      </c>
      <c r="GV224" s="1">
        <v>0</v>
      </c>
      <c r="GW224" s="1">
        <v>0</v>
      </c>
      <c r="GX224" s="1">
        <v>0</v>
      </c>
      <c r="GY224" s="1">
        <v>0</v>
      </c>
      <c r="GZ224" s="1">
        <v>0</v>
      </c>
      <c r="HA224" s="1">
        <v>0</v>
      </c>
      <c r="HB224" s="1">
        <v>0</v>
      </c>
      <c r="HC224" s="1">
        <v>0</v>
      </c>
      <c r="HD224" s="1">
        <v>0</v>
      </c>
      <c r="HE224" s="1">
        <v>0</v>
      </c>
      <c r="HF224" s="1">
        <v>0</v>
      </c>
      <c r="HG224" s="1">
        <v>0</v>
      </c>
      <c r="HH224" s="1">
        <v>0</v>
      </c>
      <c r="HI224" s="1">
        <v>0</v>
      </c>
      <c r="HJ224" s="1">
        <v>0</v>
      </c>
      <c r="HK224" s="1">
        <v>0</v>
      </c>
      <c r="HL224" s="1">
        <v>0</v>
      </c>
      <c r="HM224" s="1">
        <v>0</v>
      </c>
      <c r="HN224" s="1">
        <v>0</v>
      </c>
      <c r="HO224" s="1">
        <v>0</v>
      </c>
      <c r="HP224" s="1">
        <v>0</v>
      </c>
      <c r="HQ224" s="1">
        <v>0</v>
      </c>
      <c r="HR224" s="1">
        <v>0</v>
      </c>
      <c r="HS224" s="1">
        <v>0</v>
      </c>
      <c r="HT224" s="1">
        <v>0</v>
      </c>
      <c r="HU224" s="1">
        <v>0</v>
      </c>
      <c r="HV224" s="1">
        <v>0</v>
      </c>
      <c r="HW224" s="1">
        <v>0</v>
      </c>
      <c r="HX224" s="1">
        <v>0</v>
      </c>
      <c r="HY224" s="1">
        <v>0</v>
      </c>
      <c r="HZ224" s="1">
        <v>0</v>
      </c>
      <c r="IA224" s="1">
        <v>0</v>
      </c>
      <c r="IB224" s="1">
        <v>0</v>
      </c>
      <c r="IC224" s="1">
        <v>0</v>
      </c>
      <c r="ID224" s="1">
        <v>0</v>
      </c>
      <c r="IE224" s="1">
        <v>0</v>
      </c>
      <c r="IF224" s="1">
        <v>0</v>
      </c>
      <c r="IG224" s="1">
        <v>0</v>
      </c>
      <c r="IH224" s="1">
        <v>0</v>
      </c>
      <c r="II224" s="1">
        <v>0</v>
      </c>
      <c r="IJ224" s="1">
        <v>0</v>
      </c>
      <c r="IK224" s="1">
        <v>0</v>
      </c>
      <c r="IL224" s="1">
        <v>0</v>
      </c>
      <c r="IM224" s="1">
        <v>0</v>
      </c>
      <c r="IN224" s="1">
        <v>0</v>
      </c>
      <c r="IO224" s="1">
        <v>0</v>
      </c>
      <c r="IP224" s="1">
        <v>0</v>
      </c>
      <c r="IQ224" s="1">
        <v>0</v>
      </c>
      <c r="IR224" s="1">
        <v>0</v>
      </c>
      <c r="IS224" s="1">
        <v>0</v>
      </c>
      <c r="IT224" s="1">
        <v>0</v>
      </c>
      <c r="IU224" s="1">
        <v>0</v>
      </c>
      <c r="IV224" s="1">
        <v>0</v>
      </c>
      <c r="IW224" s="1">
        <v>0</v>
      </c>
      <c r="IX224" s="1">
        <v>0</v>
      </c>
      <c r="IY224" s="1">
        <v>0</v>
      </c>
      <c r="IZ224" s="1">
        <v>0</v>
      </c>
      <c r="JA224" s="1">
        <v>0</v>
      </c>
      <c r="JB224" s="1">
        <v>0</v>
      </c>
      <c r="JC224" s="1">
        <v>0</v>
      </c>
      <c r="JD224" s="1">
        <v>0</v>
      </c>
      <c r="JE224" s="1">
        <v>0</v>
      </c>
      <c r="JF224" s="1">
        <v>0</v>
      </c>
      <c r="JG224" s="1">
        <v>0</v>
      </c>
      <c r="JH224" s="1">
        <v>0</v>
      </c>
      <c r="JI224" s="1">
        <v>0</v>
      </c>
      <c r="JJ224" s="1">
        <v>0</v>
      </c>
      <c r="JK224" s="1">
        <v>0</v>
      </c>
      <c r="JL224" s="1">
        <v>0</v>
      </c>
      <c r="JM224" s="1">
        <v>0</v>
      </c>
      <c r="JN224" s="1">
        <v>0</v>
      </c>
      <c r="JO224" s="1">
        <v>0</v>
      </c>
      <c r="JP224" s="1">
        <v>0</v>
      </c>
      <c r="JQ224" s="9"/>
      <c r="JR224" s="1">
        <f t="shared" si="48"/>
        <v>3973.2443999999996</v>
      </c>
      <c r="JS224" s="1">
        <f t="shared" si="48"/>
        <v>3679.7597999999998</v>
      </c>
      <c r="JT224" s="1">
        <f t="shared" si="48"/>
        <v>3098.312100000001</v>
      </c>
      <c r="JU224" s="1">
        <f t="shared" si="48"/>
        <v>2335.6431000000007</v>
      </c>
      <c r="JV224" s="1">
        <f t="shared" si="49"/>
        <v>735.78599999999994</v>
      </c>
      <c r="JW224" s="1">
        <f t="shared" si="49"/>
        <v>681.4369999999999</v>
      </c>
      <c r="JX224" s="1">
        <f t="shared" si="49"/>
        <v>573.76150000000018</v>
      </c>
      <c r="JY224" s="1">
        <f t="shared" si="49"/>
        <v>432.52650000000017</v>
      </c>
    </row>
    <row r="225" spans="1:285" x14ac:dyDescent="0.35">
      <c r="A225" s="2" t="s">
        <v>232</v>
      </c>
      <c r="B225" s="1">
        <v>147919</v>
      </c>
      <c r="C225" s="1">
        <v>147919</v>
      </c>
      <c r="D225" s="1">
        <v>148987</v>
      </c>
      <c r="E225" s="1">
        <v>150124</v>
      </c>
      <c r="F225" s="1">
        <v>150758.45199999999</v>
      </c>
      <c r="G225" s="1">
        <v>161967.05799999999</v>
      </c>
      <c r="H225" s="1">
        <v>145580.791</v>
      </c>
      <c r="I225" s="1">
        <v>149001.908</v>
      </c>
      <c r="J225" s="1">
        <f t="shared" si="50"/>
        <v>26910.041999999998</v>
      </c>
      <c r="K225" s="1">
        <f t="shared" si="51"/>
        <v>30867.265999999996</v>
      </c>
      <c r="L225" s="1">
        <f t="shared" si="52"/>
        <v>28645.280999999999</v>
      </c>
      <c r="M225" s="1">
        <f t="shared" si="53"/>
        <v>33655.294000000002</v>
      </c>
      <c r="N225" s="1">
        <f t="shared" si="54"/>
        <v>123848.40999999999</v>
      </c>
      <c r="O225" s="1">
        <f t="shared" si="55"/>
        <v>131099.79199999999</v>
      </c>
      <c r="P225" s="1">
        <f t="shared" si="56"/>
        <v>116935.51</v>
      </c>
      <c r="Q225" s="1">
        <f t="shared" si="57"/>
        <v>115346.614</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1">
        <v>0</v>
      </c>
      <c r="AJ225" s="1">
        <v>0</v>
      </c>
      <c r="AK225" s="1">
        <v>0</v>
      </c>
      <c r="AL225" s="1">
        <v>0</v>
      </c>
      <c r="AM225" s="1">
        <v>0</v>
      </c>
      <c r="AN225" s="1">
        <v>0</v>
      </c>
      <c r="AO225" s="1">
        <v>0</v>
      </c>
      <c r="AP225" s="1">
        <v>5995.24</v>
      </c>
      <c r="AQ225" s="1">
        <v>6576.34</v>
      </c>
      <c r="AR225" s="1">
        <v>5813.7</v>
      </c>
      <c r="AS225" s="1">
        <v>6858</v>
      </c>
      <c r="AT225" s="1">
        <v>0</v>
      </c>
      <c r="AU225" s="1">
        <v>5995.24</v>
      </c>
      <c r="AV225" s="1">
        <v>0</v>
      </c>
      <c r="AW225" s="1">
        <v>0</v>
      </c>
      <c r="AX225" s="1">
        <v>0</v>
      </c>
      <c r="AY225" s="1">
        <v>6576.34</v>
      </c>
      <c r="AZ225" s="1">
        <v>0</v>
      </c>
      <c r="BA225" s="1">
        <v>0</v>
      </c>
      <c r="BB225" s="1">
        <v>0</v>
      </c>
      <c r="BC225" s="1">
        <v>5813.7</v>
      </c>
      <c r="BD225" s="1">
        <v>0</v>
      </c>
      <c r="BE225" s="1">
        <v>0</v>
      </c>
      <c r="BF225" s="1">
        <v>6858</v>
      </c>
      <c r="BG225" s="1">
        <v>0</v>
      </c>
      <c r="BH225" s="1">
        <v>0</v>
      </c>
      <c r="BI225" s="1">
        <v>0</v>
      </c>
      <c r="BJ225" s="1">
        <v>0</v>
      </c>
      <c r="BK225" s="1">
        <v>0</v>
      </c>
      <c r="BL225" s="1">
        <v>0</v>
      </c>
      <c r="BM225" s="1">
        <v>0</v>
      </c>
      <c r="BN225" s="1">
        <v>0</v>
      </c>
      <c r="BO225" s="1">
        <v>0</v>
      </c>
      <c r="BP225" s="1">
        <v>0</v>
      </c>
      <c r="BQ225" s="1">
        <v>0</v>
      </c>
      <c r="BR225" s="1">
        <v>0</v>
      </c>
      <c r="BS225" s="1">
        <v>0</v>
      </c>
      <c r="BT225" s="1">
        <v>0</v>
      </c>
      <c r="BU225" s="1">
        <v>6588.74</v>
      </c>
      <c r="BV225" s="1">
        <v>8030.58</v>
      </c>
      <c r="BW225" s="1">
        <v>8318.58</v>
      </c>
      <c r="BX225" s="1">
        <v>4792.4410000000007</v>
      </c>
      <c r="BY225" s="1">
        <v>6580.84</v>
      </c>
      <c r="BZ225" s="1">
        <v>7993.1799999999994</v>
      </c>
      <c r="CA225" s="1">
        <v>8282.58</v>
      </c>
      <c r="CB225" s="1">
        <v>4786.4410000000007</v>
      </c>
      <c r="CC225" s="1">
        <v>7.9</v>
      </c>
      <c r="CD225" s="1">
        <v>37.4</v>
      </c>
      <c r="CE225" s="1">
        <v>36</v>
      </c>
      <c r="CF225" s="1">
        <v>6</v>
      </c>
      <c r="CG225" s="1">
        <v>0</v>
      </c>
      <c r="CH225" s="1">
        <v>0</v>
      </c>
      <c r="CI225" s="1">
        <v>0</v>
      </c>
      <c r="CJ225" s="1">
        <v>0</v>
      </c>
      <c r="CK225" s="1">
        <v>0</v>
      </c>
      <c r="CL225" s="1">
        <v>0</v>
      </c>
      <c r="CM225" s="1">
        <v>0</v>
      </c>
      <c r="CN225" s="1">
        <v>0</v>
      </c>
      <c r="CO225" s="1">
        <v>0</v>
      </c>
      <c r="CP225" s="1">
        <v>0</v>
      </c>
      <c r="CQ225" s="1">
        <v>0</v>
      </c>
      <c r="CR225" s="1">
        <v>0</v>
      </c>
      <c r="CS225" s="1">
        <v>1344.85</v>
      </c>
      <c r="CT225" s="1">
        <v>1594.08</v>
      </c>
      <c r="CU225" s="1">
        <v>1444.87</v>
      </c>
      <c r="CV225" s="1">
        <v>2320.7190000000001</v>
      </c>
      <c r="CW225" s="1">
        <v>1344.85</v>
      </c>
      <c r="CX225" s="1">
        <v>1594.08</v>
      </c>
      <c r="CY225" s="1">
        <v>1444.87</v>
      </c>
      <c r="CZ225" s="1">
        <v>2320.7190000000001</v>
      </c>
      <c r="DA225" s="1">
        <v>0</v>
      </c>
      <c r="DB225" s="1">
        <v>0</v>
      </c>
      <c r="DC225" s="1">
        <v>0</v>
      </c>
      <c r="DD225" s="1">
        <v>0</v>
      </c>
      <c r="DE225" s="1">
        <v>0</v>
      </c>
      <c r="DF225" s="1">
        <v>0</v>
      </c>
      <c r="DG225" s="1">
        <v>0</v>
      </c>
      <c r="DH225" s="1">
        <v>0</v>
      </c>
      <c r="DI225" s="1">
        <v>0</v>
      </c>
      <c r="DJ225" s="1">
        <v>0</v>
      </c>
      <c r="DK225" s="1">
        <v>0</v>
      </c>
      <c r="DL225" s="1">
        <v>0</v>
      </c>
      <c r="DM225" s="1">
        <v>3660.99</v>
      </c>
      <c r="DN225" s="1">
        <v>3861.37</v>
      </c>
      <c r="DO225" s="1">
        <v>3607.5</v>
      </c>
      <c r="DP225" s="1">
        <v>3138.998</v>
      </c>
      <c r="DQ225" s="1">
        <v>3660.99</v>
      </c>
      <c r="DR225" s="1">
        <v>3861.37</v>
      </c>
      <c r="DS225" s="1">
        <v>3607.5</v>
      </c>
      <c r="DT225" s="1">
        <v>3138.998</v>
      </c>
      <c r="DU225" s="1">
        <v>0</v>
      </c>
      <c r="DV225" s="1">
        <v>0</v>
      </c>
      <c r="DW225" s="1">
        <v>0</v>
      </c>
      <c r="DX225" s="1">
        <v>0</v>
      </c>
      <c r="DY225" s="1">
        <v>0</v>
      </c>
      <c r="DZ225" s="1">
        <v>0</v>
      </c>
      <c r="EA225" s="1">
        <v>0</v>
      </c>
      <c r="EB225" s="1">
        <v>0</v>
      </c>
      <c r="EC225" s="1">
        <v>0</v>
      </c>
      <c r="ED225" s="1">
        <v>0</v>
      </c>
      <c r="EE225" s="1">
        <v>0</v>
      </c>
      <c r="EF225" s="1">
        <v>0</v>
      </c>
      <c r="EG225" s="1">
        <v>0</v>
      </c>
      <c r="EH225" s="1">
        <v>0</v>
      </c>
      <c r="EI225" s="1">
        <v>0</v>
      </c>
      <c r="EJ225" s="1">
        <v>0</v>
      </c>
      <c r="EK225" s="1">
        <v>3302.82</v>
      </c>
      <c r="EL225" s="1">
        <v>3524.28</v>
      </c>
      <c r="EM225" s="1">
        <v>3128.29</v>
      </c>
      <c r="EN225" s="1">
        <v>8545.9259999999995</v>
      </c>
      <c r="EO225" s="1">
        <v>3295.54</v>
      </c>
      <c r="EP225" s="1">
        <v>3514.79</v>
      </c>
      <c r="EQ225" s="1">
        <v>3123.81</v>
      </c>
      <c r="ER225" s="1">
        <v>8540.4459999999999</v>
      </c>
      <c r="ES225" s="1">
        <v>7.2799999999999994</v>
      </c>
      <c r="ET225" s="1">
        <v>9.49</v>
      </c>
      <c r="EU225" s="1">
        <v>4.4800000000000004</v>
      </c>
      <c r="EV225" s="1">
        <v>5.48</v>
      </c>
      <c r="EW225" s="1">
        <v>0</v>
      </c>
      <c r="EX225" s="1">
        <v>0</v>
      </c>
      <c r="EY225" s="1">
        <v>0</v>
      </c>
      <c r="EZ225" s="1">
        <v>0</v>
      </c>
      <c r="FA225" s="1">
        <v>0</v>
      </c>
      <c r="FB225" s="1">
        <v>0</v>
      </c>
      <c r="FC225" s="1">
        <v>0</v>
      </c>
      <c r="FD225" s="1">
        <v>0</v>
      </c>
      <c r="FE225" s="1">
        <v>619.43999999999994</v>
      </c>
      <c r="FF225" s="1">
        <v>275.68</v>
      </c>
      <c r="FG225" s="1">
        <v>177.08</v>
      </c>
      <c r="FH225" s="1">
        <v>56.27</v>
      </c>
      <c r="FI225" s="1">
        <v>619.43999999999994</v>
      </c>
      <c r="FJ225" s="1">
        <v>275.68</v>
      </c>
      <c r="FK225" s="1">
        <v>177.08</v>
      </c>
      <c r="FL225" s="1">
        <v>37.32</v>
      </c>
      <c r="FM225" s="1">
        <v>0</v>
      </c>
      <c r="FN225" s="1">
        <v>0</v>
      </c>
      <c r="FO225" s="1">
        <v>0</v>
      </c>
      <c r="FP225" s="1">
        <v>18.95</v>
      </c>
      <c r="FQ225" s="1">
        <v>0</v>
      </c>
      <c r="FR225" s="1">
        <v>0</v>
      </c>
      <c r="FS225" s="1">
        <v>0</v>
      </c>
      <c r="FT225" s="1">
        <v>0</v>
      </c>
      <c r="FU225" s="1">
        <v>0</v>
      </c>
      <c r="FV225" s="1">
        <v>0</v>
      </c>
      <c r="FW225" s="1">
        <v>0</v>
      </c>
      <c r="FX225" s="1">
        <v>0</v>
      </c>
      <c r="FY225" s="1">
        <v>0</v>
      </c>
      <c r="FZ225" s="1">
        <v>0</v>
      </c>
      <c r="GA225" s="1">
        <v>0</v>
      </c>
      <c r="GB225" s="1">
        <v>0</v>
      </c>
      <c r="GC225" s="1">
        <v>666.24199999999996</v>
      </c>
      <c r="GD225" s="1">
        <v>711.32600000000002</v>
      </c>
      <c r="GE225" s="1">
        <v>701.5809999999999</v>
      </c>
      <c r="GF225" s="1">
        <v>3792.12</v>
      </c>
      <c r="GG225" s="1">
        <v>666.24199999999996</v>
      </c>
      <c r="GH225" s="1">
        <v>711.32600000000002</v>
      </c>
      <c r="GI225" s="1">
        <v>701.5809999999999</v>
      </c>
      <c r="GJ225" s="1">
        <v>3792.12</v>
      </c>
      <c r="GK225" s="1">
        <v>0</v>
      </c>
      <c r="GL225" s="1">
        <v>0</v>
      </c>
      <c r="GM225" s="1">
        <v>0</v>
      </c>
      <c r="GN225" s="1">
        <v>0</v>
      </c>
      <c r="GO225" s="1">
        <v>0</v>
      </c>
      <c r="GP225" s="1">
        <v>0</v>
      </c>
      <c r="GQ225" s="1">
        <v>0</v>
      </c>
      <c r="GR225" s="1">
        <v>0</v>
      </c>
      <c r="GS225" s="1">
        <v>0</v>
      </c>
      <c r="GT225" s="1">
        <v>0</v>
      </c>
      <c r="GU225" s="1">
        <v>0</v>
      </c>
      <c r="GV225" s="1">
        <v>0</v>
      </c>
      <c r="GW225" s="1">
        <v>0</v>
      </c>
      <c r="GX225" s="1">
        <v>0</v>
      </c>
      <c r="GY225" s="1">
        <v>0</v>
      </c>
      <c r="GZ225" s="1">
        <v>0</v>
      </c>
      <c r="HA225" s="1">
        <v>0</v>
      </c>
      <c r="HB225" s="1">
        <v>0</v>
      </c>
      <c r="HC225" s="1">
        <v>0</v>
      </c>
      <c r="HD225" s="1">
        <v>0</v>
      </c>
      <c r="HE225" s="1">
        <v>3994.14</v>
      </c>
      <c r="HF225" s="1">
        <v>5634.5599999999986</v>
      </c>
      <c r="HG225" s="1">
        <v>4798.12</v>
      </c>
      <c r="HH225" s="1">
        <v>3448.31</v>
      </c>
      <c r="HI225" s="1">
        <v>3994.14</v>
      </c>
      <c r="HJ225" s="1">
        <v>5634.5599999999986</v>
      </c>
      <c r="HK225" s="1">
        <v>4798.12</v>
      </c>
      <c r="HL225" s="1">
        <v>3448.31</v>
      </c>
      <c r="HM225" s="1">
        <v>0</v>
      </c>
      <c r="HN225" s="1">
        <v>0</v>
      </c>
      <c r="HO225" s="1">
        <v>0</v>
      </c>
      <c r="HP225" s="1">
        <v>0</v>
      </c>
      <c r="HQ225" s="1">
        <v>0</v>
      </c>
      <c r="HR225" s="1">
        <v>0</v>
      </c>
      <c r="HS225" s="1">
        <v>0</v>
      </c>
      <c r="HT225" s="1">
        <v>0</v>
      </c>
      <c r="HU225" s="1">
        <v>0</v>
      </c>
      <c r="HV225" s="1">
        <v>0</v>
      </c>
      <c r="HW225" s="1">
        <v>0</v>
      </c>
      <c r="HX225" s="1">
        <v>0</v>
      </c>
      <c r="HY225" s="1">
        <v>0</v>
      </c>
      <c r="HZ225" s="1">
        <v>0</v>
      </c>
      <c r="IA225" s="1">
        <v>0</v>
      </c>
      <c r="IB225" s="1">
        <v>0</v>
      </c>
      <c r="IC225" s="1">
        <v>0</v>
      </c>
      <c r="ID225" s="1">
        <v>0</v>
      </c>
      <c r="IE225" s="1">
        <v>0</v>
      </c>
      <c r="IF225" s="1">
        <v>0</v>
      </c>
      <c r="IG225" s="1">
        <v>0</v>
      </c>
      <c r="IH225" s="1">
        <v>0</v>
      </c>
      <c r="II225" s="1">
        <v>0</v>
      </c>
      <c r="IJ225" s="1">
        <v>0</v>
      </c>
      <c r="IK225" s="1">
        <v>0</v>
      </c>
      <c r="IL225" s="1">
        <v>0</v>
      </c>
      <c r="IM225" s="1">
        <v>0</v>
      </c>
      <c r="IN225" s="1">
        <v>0</v>
      </c>
      <c r="IO225" s="1">
        <v>737.58</v>
      </c>
      <c r="IP225" s="1">
        <v>659.05</v>
      </c>
      <c r="IQ225" s="1">
        <v>655.56</v>
      </c>
      <c r="IR225" s="1">
        <v>702.51</v>
      </c>
      <c r="IS225" s="1">
        <v>737.58</v>
      </c>
      <c r="IT225" s="1">
        <v>659.05</v>
      </c>
      <c r="IU225" s="1">
        <v>655.56</v>
      </c>
      <c r="IV225" s="1">
        <v>702.51</v>
      </c>
      <c r="IW225" s="1">
        <v>0</v>
      </c>
      <c r="IX225" s="1">
        <v>0</v>
      </c>
      <c r="IY225" s="1">
        <v>0</v>
      </c>
      <c r="IZ225" s="1">
        <v>0</v>
      </c>
      <c r="JA225" s="1">
        <v>0</v>
      </c>
      <c r="JB225" s="1">
        <v>0</v>
      </c>
      <c r="JC225" s="1">
        <v>0</v>
      </c>
      <c r="JD225" s="1">
        <v>0</v>
      </c>
      <c r="JE225" s="1">
        <v>0</v>
      </c>
      <c r="JF225" s="1">
        <v>0</v>
      </c>
      <c r="JG225" s="1">
        <v>0</v>
      </c>
      <c r="JH225" s="1">
        <v>0</v>
      </c>
      <c r="JI225" s="1">
        <v>0</v>
      </c>
      <c r="JJ225" s="1">
        <v>0</v>
      </c>
      <c r="JK225" s="1">
        <v>0</v>
      </c>
      <c r="JL225" s="1">
        <v>0</v>
      </c>
      <c r="JM225" s="1">
        <v>0</v>
      </c>
      <c r="JN225" s="1">
        <v>0</v>
      </c>
      <c r="JO225" s="1">
        <v>0</v>
      </c>
      <c r="JP225" s="1">
        <v>0</v>
      </c>
      <c r="JQ225" s="9"/>
      <c r="JR225" s="1">
        <f t="shared" si="48"/>
        <v>33439.070699999997</v>
      </c>
      <c r="JS225" s="1">
        <f t="shared" si="48"/>
        <v>35396.94384</v>
      </c>
      <c r="JT225" s="1">
        <f t="shared" si="48"/>
        <v>31572.5877</v>
      </c>
      <c r="JU225" s="1">
        <f t="shared" si="48"/>
        <v>31143.585780000001</v>
      </c>
      <c r="JV225" s="1">
        <f t="shared" si="49"/>
        <v>6192.4205000000002</v>
      </c>
      <c r="JW225" s="1">
        <f t="shared" si="49"/>
        <v>6554.9895999999999</v>
      </c>
      <c r="JX225" s="1">
        <f t="shared" si="49"/>
        <v>5846.7754999999997</v>
      </c>
      <c r="JY225" s="1">
        <f t="shared" si="49"/>
        <v>5767.3307000000004</v>
      </c>
    </row>
    <row r="226" spans="1:285" x14ac:dyDescent="0.35">
      <c r="A226" s="2" t="s">
        <v>233</v>
      </c>
      <c r="B226" s="1">
        <v>248679</v>
      </c>
      <c r="C226" s="1">
        <v>247672</v>
      </c>
      <c r="D226" s="1">
        <v>252178</v>
      </c>
      <c r="E226" s="1">
        <v>257387</v>
      </c>
      <c r="F226" s="1">
        <v>213217.95</v>
      </c>
      <c r="G226" s="1">
        <v>228546.77</v>
      </c>
      <c r="H226" s="1">
        <v>222042.67800000001</v>
      </c>
      <c r="I226" s="1">
        <v>222212.96100000001</v>
      </c>
      <c r="J226" s="1">
        <f t="shared" si="50"/>
        <v>50292.19</v>
      </c>
      <c r="K226" s="1">
        <f t="shared" si="51"/>
        <v>58188.920000000006</v>
      </c>
      <c r="L226" s="1">
        <f t="shared" si="52"/>
        <v>50334.760000000009</v>
      </c>
      <c r="M226" s="1">
        <f t="shared" si="53"/>
        <v>53905.770000000004</v>
      </c>
      <c r="N226" s="1">
        <f t="shared" si="54"/>
        <v>162925.76000000001</v>
      </c>
      <c r="O226" s="1">
        <f t="shared" si="55"/>
        <v>170357.84999999998</v>
      </c>
      <c r="P226" s="1">
        <f t="shared" si="56"/>
        <v>171707.91800000001</v>
      </c>
      <c r="Q226" s="1">
        <f t="shared" si="57"/>
        <v>168307.19099999999</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1">
        <v>0</v>
      </c>
      <c r="AJ226" s="1">
        <v>0</v>
      </c>
      <c r="AK226" s="1">
        <v>0</v>
      </c>
      <c r="AL226" s="1">
        <v>0</v>
      </c>
      <c r="AM226" s="1">
        <v>0</v>
      </c>
      <c r="AN226" s="1">
        <v>0</v>
      </c>
      <c r="AO226" s="1">
        <v>0</v>
      </c>
      <c r="AP226" s="1">
        <v>6568.17</v>
      </c>
      <c r="AQ226" s="1">
        <v>7387.86</v>
      </c>
      <c r="AR226" s="1">
        <v>7012.6500000000005</v>
      </c>
      <c r="AS226" s="1">
        <v>8282.16</v>
      </c>
      <c r="AT226" s="1">
        <v>0</v>
      </c>
      <c r="AU226" s="1">
        <v>6568.17</v>
      </c>
      <c r="AV226" s="1">
        <v>0</v>
      </c>
      <c r="AW226" s="1">
        <v>0</v>
      </c>
      <c r="AX226" s="1">
        <v>0</v>
      </c>
      <c r="AY226" s="1">
        <v>7387.86</v>
      </c>
      <c r="AZ226" s="1">
        <v>0</v>
      </c>
      <c r="BA226" s="1">
        <v>0</v>
      </c>
      <c r="BB226" s="1">
        <v>0</v>
      </c>
      <c r="BC226" s="1">
        <v>7012.6500000000005</v>
      </c>
      <c r="BD226" s="1">
        <v>0</v>
      </c>
      <c r="BE226" s="1">
        <v>0</v>
      </c>
      <c r="BF226" s="1">
        <v>8282.16</v>
      </c>
      <c r="BG226" s="1">
        <v>0</v>
      </c>
      <c r="BH226" s="1">
        <v>0</v>
      </c>
      <c r="BI226" s="1">
        <v>0</v>
      </c>
      <c r="BJ226" s="1">
        <v>0</v>
      </c>
      <c r="BK226" s="1">
        <v>0</v>
      </c>
      <c r="BL226" s="1">
        <v>0</v>
      </c>
      <c r="BM226" s="1">
        <v>0</v>
      </c>
      <c r="BN226" s="1">
        <v>0</v>
      </c>
      <c r="BO226" s="1">
        <v>0</v>
      </c>
      <c r="BP226" s="1">
        <v>0</v>
      </c>
      <c r="BQ226" s="1">
        <v>0</v>
      </c>
      <c r="BR226" s="1">
        <v>0</v>
      </c>
      <c r="BS226" s="1">
        <v>0</v>
      </c>
      <c r="BT226" s="1">
        <v>0</v>
      </c>
      <c r="BU226" s="1">
        <v>18307.599999999999</v>
      </c>
      <c r="BV226" s="1">
        <v>22309.4</v>
      </c>
      <c r="BW226" s="1">
        <v>17575.7</v>
      </c>
      <c r="BX226" s="1">
        <v>16195.31</v>
      </c>
      <c r="BY226" s="1">
        <v>18301.080000000002</v>
      </c>
      <c r="BZ226" s="1">
        <v>22309.4</v>
      </c>
      <c r="CA226" s="1">
        <v>17575.7</v>
      </c>
      <c r="CB226" s="1">
        <v>16192.26</v>
      </c>
      <c r="CC226" s="1">
        <v>6.52</v>
      </c>
      <c r="CD226" s="1">
        <v>0</v>
      </c>
      <c r="CE226" s="1">
        <v>0</v>
      </c>
      <c r="CF226" s="1">
        <v>0</v>
      </c>
      <c r="CG226" s="1">
        <v>0</v>
      </c>
      <c r="CH226" s="1">
        <v>0</v>
      </c>
      <c r="CI226" s="1">
        <v>0</v>
      </c>
      <c r="CJ226" s="1">
        <v>0</v>
      </c>
      <c r="CK226" s="1">
        <v>0</v>
      </c>
      <c r="CL226" s="1">
        <v>0</v>
      </c>
      <c r="CM226" s="1">
        <v>0</v>
      </c>
      <c r="CN226" s="1">
        <v>0</v>
      </c>
      <c r="CO226" s="1">
        <v>0</v>
      </c>
      <c r="CP226" s="1">
        <v>0</v>
      </c>
      <c r="CQ226" s="1">
        <v>0</v>
      </c>
      <c r="CR226" s="1">
        <v>3.05</v>
      </c>
      <c r="CS226" s="1">
        <v>2201.37</v>
      </c>
      <c r="CT226" s="1">
        <v>2225.65</v>
      </c>
      <c r="CU226" s="1">
        <v>2054</v>
      </c>
      <c r="CV226" s="1">
        <v>2021.56</v>
      </c>
      <c r="CW226" s="1">
        <v>2158.79</v>
      </c>
      <c r="CX226" s="1">
        <v>2199.5</v>
      </c>
      <c r="CY226" s="1">
        <v>1883.18</v>
      </c>
      <c r="CZ226" s="1">
        <v>1849.3</v>
      </c>
      <c r="DA226" s="1">
        <v>16.39</v>
      </c>
      <c r="DB226" s="1">
        <v>23.37</v>
      </c>
      <c r="DC226" s="1">
        <v>26.7</v>
      </c>
      <c r="DD226" s="1">
        <v>21.79</v>
      </c>
      <c r="DE226" s="1">
        <v>0</v>
      </c>
      <c r="DF226" s="1">
        <v>0</v>
      </c>
      <c r="DG226" s="1">
        <v>0</v>
      </c>
      <c r="DH226" s="1">
        <v>0</v>
      </c>
      <c r="DI226" s="1">
        <v>26.19</v>
      </c>
      <c r="DJ226" s="1">
        <v>2.78</v>
      </c>
      <c r="DK226" s="1">
        <v>144.12</v>
      </c>
      <c r="DL226" s="1">
        <v>150.47</v>
      </c>
      <c r="DM226" s="1">
        <v>9747.36</v>
      </c>
      <c r="DN226" s="1">
        <v>10839.27</v>
      </c>
      <c r="DO226" s="1">
        <v>6930.49</v>
      </c>
      <c r="DP226" s="1">
        <v>9460.1</v>
      </c>
      <c r="DQ226" s="1">
        <v>9738.86</v>
      </c>
      <c r="DR226" s="1">
        <v>10832</v>
      </c>
      <c r="DS226" s="1">
        <v>6930.49</v>
      </c>
      <c r="DT226" s="1">
        <v>9460.1</v>
      </c>
      <c r="DU226" s="1">
        <v>8.5</v>
      </c>
      <c r="DV226" s="1">
        <v>7.27</v>
      </c>
      <c r="DW226" s="1">
        <v>0</v>
      </c>
      <c r="DX226" s="1">
        <v>0</v>
      </c>
      <c r="DY226" s="1">
        <v>0</v>
      </c>
      <c r="DZ226" s="1">
        <v>0</v>
      </c>
      <c r="EA226" s="1">
        <v>0</v>
      </c>
      <c r="EB226" s="1">
        <v>0</v>
      </c>
      <c r="EC226" s="1">
        <v>0</v>
      </c>
      <c r="ED226" s="1">
        <v>0</v>
      </c>
      <c r="EE226" s="1">
        <v>0</v>
      </c>
      <c r="EF226" s="1">
        <v>0</v>
      </c>
      <c r="EG226" s="1">
        <v>0</v>
      </c>
      <c r="EH226" s="1">
        <v>0</v>
      </c>
      <c r="EI226" s="1">
        <v>0</v>
      </c>
      <c r="EJ226" s="1">
        <v>0</v>
      </c>
      <c r="EK226" s="1">
        <v>4706.17</v>
      </c>
      <c r="EL226" s="1">
        <v>4779.01</v>
      </c>
      <c r="EM226" s="1">
        <v>4681.8700000000008</v>
      </c>
      <c r="EN226" s="1">
        <v>4122.13</v>
      </c>
      <c r="EO226" s="1">
        <v>4632.79</v>
      </c>
      <c r="EP226" s="1">
        <v>4710.0599999999986</v>
      </c>
      <c r="EQ226" s="1">
        <v>4589.59</v>
      </c>
      <c r="ER226" s="1">
        <v>4071.03</v>
      </c>
      <c r="ES226" s="1">
        <v>10.7</v>
      </c>
      <c r="ET226" s="1">
        <v>16.55</v>
      </c>
      <c r="EU226" s="1">
        <v>28.59</v>
      </c>
      <c r="EV226" s="1">
        <v>13.39</v>
      </c>
      <c r="EW226" s="1">
        <v>0</v>
      </c>
      <c r="EX226" s="1">
        <v>0</v>
      </c>
      <c r="EY226" s="1">
        <v>0</v>
      </c>
      <c r="EZ226" s="1">
        <v>0</v>
      </c>
      <c r="FA226" s="1">
        <v>62.68</v>
      </c>
      <c r="FB226" s="1">
        <v>52.4</v>
      </c>
      <c r="FC226" s="1">
        <v>63.69</v>
      </c>
      <c r="FD226" s="1">
        <v>37.71</v>
      </c>
      <c r="FE226" s="1">
        <v>240.34</v>
      </c>
      <c r="FF226" s="1">
        <v>223.97</v>
      </c>
      <c r="FG226" s="1">
        <v>270.62</v>
      </c>
      <c r="FH226" s="1">
        <v>412.12</v>
      </c>
      <c r="FI226" s="1">
        <v>46.63</v>
      </c>
      <c r="FJ226" s="1">
        <v>65.759999999999991</v>
      </c>
      <c r="FK226" s="1">
        <v>73.61999999999999</v>
      </c>
      <c r="FL226" s="1">
        <v>78.050000000000011</v>
      </c>
      <c r="FM226" s="1">
        <v>193.71</v>
      </c>
      <c r="FN226" s="1">
        <v>158.21</v>
      </c>
      <c r="FO226" s="1">
        <v>197</v>
      </c>
      <c r="FP226" s="1">
        <v>334.07</v>
      </c>
      <c r="FQ226" s="1">
        <v>0</v>
      </c>
      <c r="FR226" s="1">
        <v>0</v>
      </c>
      <c r="FS226" s="1">
        <v>0</v>
      </c>
      <c r="FT226" s="1">
        <v>0</v>
      </c>
      <c r="FU226" s="1">
        <v>0</v>
      </c>
      <c r="FV226" s="1">
        <v>0</v>
      </c>
      <c r="FW226" s="1">
        <v>0</v>
      </c>
      <c r="FX226" s="1">
        <v>0</v>
      </c>
      <c r="FY226" s="1">
        <v>0</v>
      </c>
      <c r="FZ226" s="1">
        <v>0</v>
      </c>
      <c r="GA226" s="1">
        <v>0</v>
      </c>
      <c r="GB226" s="1">
        <v>0</v>
      </c>
      <c r="GC226" s="1">
        <v>2007.12</v>
      </c>
      <c r="GD226" s="1">
        <v>2187.92</v>
      </c>
      <c r="GE226" s="1">
        <v>696.57999999999993</v>
      </c>
      <c r="GF226" s="1">
        <v>807.15000000000009</v>
      </c>
      <c r="GG226" s="1">
        <v>1374.5</v>
      </c>
      <c r="GH226" s="1">
        <v>1675.82</v>
      </c>
      <c r="GI226" s="1">
        <v>585.52</v>
      </c>
      <c r="GJ226" s="1">
        <v>696.6400000000001</v>
      </c>
      <c r="GK226" s="1">
        <v>632.62</v>
      </c>
      <c r="GL226" s="1">
        <v>512.1</v>
      </c>
      <c r="GM226" s="1">
        <v>111.06</v>
      </c>
      <c r="GN226" s="1">
        <v>110.51</v>
      </c>
      <c r="GO226" s="1">
        <v>0</v>
      </c>
      <c r="GP226" s="1">
        <v>0</v>
      </c>
      <c r="GQ226" s="1">
        <v>0</v>
      </c>
      <c r="GR226" s="1">
        <v>0</v>
      </c>
      <c r="GS226" s="1">
        <v>0</v>
      </c>
      <c r="GT226" s="1">
        <v>0</v>
      </c>
      <c r="GU226" s="1">
        <v>0</v>
      </c>
      <c r="GV226" s="1">
        <v>0</v>
      </c>
      <c r="GW226" s="1">
        <v>0</v>
      </c>
      <c r="GX226" s="1">
        <v>0</v>
      </c>
      <c r="GY226" s="1">
        <v>0</v>
      </c>
      <c r="GZ226" s="1">
        <v>0</v>
      </c>
      <c r="HA226" s="1">
        <v>0</v>
      </c>
      <c r="HB226" s="1">
        <v>0</v>
      </c>
      <c r="HC226" s="1">
        <v>0</v>
      </c>
      <c r="HD226" s="1">
        <v>0</v>
      </c>
      <c r="HE226" s="1">
        <v>4914.09</v>
      </c>
      <c r="HF226" s="1">
        <v>6914.02</v>
      </c>
      <c r="HG226" s="1">
        <v>9561.65</v>
      </c>
      <c r="HH226" s="1">
        <v>10255.9</v>
      </c>
      <c r="HI226" s="1">
        <v>3267.98</v>
      </c>
      <c r="HJ226" s="1">
        <v>4512.5300000000007</v>
      </c>
      <c r="HK226" s="1">
        <v>7155.369999999999</v>
      </c>
      <c r="HL226" s="1">
        <v>7803.2999999999993</v>
      </c>
      <c r="HM226" s="1">
        <v>0</v>
      </c>
      <c r="HN226" s="1">
        <v>0</v>
      </c>
      <c r="HO226" s="1">
        <v>0</v>
      </c>
      <c r="HP226" s="1">
        <v>0</v>
      </c>
      <c r="HQ226" s="1">
        <v>0</v>
      </c>
      <c r="HR226" s="1">
        <v>0</v>
      </c>
      <c r="HS226" s="1">
        <v>0</v>
      </c>
      <c r="HT226" s="1">
        <v>0</v>
      </c>
      <c r="HU226" s="1">
        <v>0</v>
      </c>
      <c r="HV226" s="1">
        <v>0</v>
      </c>
      <c r="HW226" s="1">
        <v>0</v>
      </c>
      <c r="HX226" s="1">
        <v>0</v>
      </c>
      <c r="HY226" s="1">
        <v>0</v>
      </c>
      <c r="HZ226" s="1">
        <v>0</v>
      </c>
      <c r="IA226" s="1">
        <v>0</v>
      </c>
      <c r="IB226" s="1">
        <v>0</v>
      </c>
      <c r="IC226" s="1">
        <v>1644.29</v>
      </c>
      <c r="ID226" s="1">
        <v>2388.8200000000002</v>
      </c>
      <c r="IE226" s="1">
        <v>2406.2800000000002</v>
      </c>
      <c r="IF226" s="1">
        <v>2452.6</v>
      </c>
      <c r="IG226" s="1">
        <v>0</v>
      </c>
      <c r="IH226" s="1">
        <v>0</v>
      </c>
      <c r="II226" s="1">
        <v>0</v>
      </c>
      <c r="IJ226" s="1">
        <v>0</v>
      </c>
      <c r="IK226" s="1">
        <v>1.82</v>
      </c>
      <c r="IL226" s="1">
        <v>12.67</v>
      </c>
      <c r="IM226" s="1">
        <v>0</v>
      </c>
      <c r="IN226" s="1">
        <v>0</v>
      </c>
      <c r="IO226" s="1">
        <v>1599.97</v>
      </c>
      <c r="IP226" s="1">
        <v>1321.82</v>
      </c>
      <c r="IQ226" s="1">
        <v>1551.2</v>
      </c>
      <c r="IR226" s="1">
        <v>2349.34</v>
      </c>
      <c r="IS226" s="1">
        <v>1283.6600000000001</v>
      </c>
      <c r="IT226" s="1">
        <v>1065.77</v>
      </c>
      <c r="IU226" s="1">
        <v>1251.8699999999999</v>
      </c>
      <c r="IV226" s="1">
        <v>2100.46</v>
      </c>
      <c r="IW226" s="1">
        <v>316.31</v>
      </c>
      <c r="IX226" s="1">
        <v>256.05</v>
      </c>
      <c r="IY226" s="1">
        <v>299.33</v>
      </c>
      <c r="IZ226" s="1">
        <v>248.88</v>
      </c>
      <c r="JA226" s="1">
        <v>0</v>
      </c>
      <c r="JB226" s="1">
        <v>0</v>
      </c>
      <c r="JC226" s="1">
        <v>0</v>
      </c>
      <c r="JD226" s="1">
        <v>0</v>
      </c>
      <c r="JE226" s="1">
        <v>0</v>
      </c>
      <c r="JF226" s="1">
        <v>0</v>
      </c>
      <c r="JG226" s="1">
        <v>0</v>
      </c>
      <c r="JH226" s="1">
        <v>0</v>
      </c>
      <c r="JI226" s="1">
        <v>0</v>
      </c>
      <c r="JJ226" s="1">
        <v>0</v>
      </c>
      <c r="JK226" s="1">
        <v>0</v>
      </c>
      <c r="JL226" s="1">
        <v>0</v>
      </c>
      <c r="JM226" s="1">
        <v>0</v>
      </c>
      <c r="JN226" s="1">
        <v>0</v>
      </c>
      <c r="JO226" s="1">
        <v>0</v>
      </c>
      <c r="JP226" s="1">
        <v>0</v>
      </c>
      <c r="JQ226" s="9"/>
      <c r="JR226" s="1">
        <f t="shared" si="48"/>
        <v>43989.955200000004</v>
      </c>
      <c r="JS226" s="1">
        <f t="shared" si="48"/>
        <v>45996.619499999993</v>
      </c>
      <c r="JT226" s="1">
        <f t="shared" si="48"/>
        <v>46361.137860000003</v>
      </c>
      <c r="JU226" s="1">
        <f t="shared" si="48"/>
        <v>45442.941570000003</v>
      </c>
      <c r="JV226" s="1">
        <f t="shared" si="49"/>
        <v>8146.2880000000005</v>
      </c>
      <c r="JW226" s="1">
        <f t="shared" si="49"/>
        <v>8517.8924999999999</v>
      </c>
      <c r="JX226" s="1">
        <f t="shared" si="49"/>
        <v>8585.3959000000013</v>
      </c>
      <c r="JY226" s="1">
        <f t="shared" si="49"/>
        <v>8415.3595499999992</v>
      </c>
    </row>
    <row r="227" spans="1:285" x14ac:dyDescent="0.35">
      <c r="A227" s="2" t="s">
        <v>234</v>
      </c>
      <c r="B227" s="1">
        <v>181276</v>
      </c>
      <c r="C227" s="1">
        <v>180655</v>
      </c>
      <c r="D227" s="1">
        <v>180810</v>
      </c>
      <c r="E227" s="1">
        <v>182771</v>
      </c>
      <c r="F227" s="1">
        <v>121806.16</v>
      </c>
      <c r="G227" s="1">
        <v>102774.82799999999</v>
      </c>
      <c r="H227" s="1">
        <v>96243.945999999996</v>
      </c>
      <c r="I227" s="1">
        <v>137740.08199999999</v>
      </c>
      <c r="J227" s="1">
        <f t="shared" si="50"/>
        <v>33549.453999999998</v>
      </c>
      <c r="K227" s="1">
        <f t="shared" si="51"/>
        <v>36984.584999999999</v>
      </c>
      <c r="L227" s="1">
        <f t="shared" si="52"/>
        <v>32352.051999999996</v>
      </c>
      <c r="M227" s="1">
        <f t="shared" si="53"/>
        <v>36848.938000000002</v>
      </c>
      <c r="N227" s="1">
        <f t="shared" si="54"/>
        <v>88256.706000000006</v>
      </c>
      <c r="O227" s="1">
        <f t="shared" si="55"/>
        <v>65790.242999999988</v>
      </c>
      <c r="P227" s="1">
        <f t="shared" si="56"/>
        <v>63891.894</v>
      </c>
      <c r="Q227" s="1">
        <f t="shared" si="57"/>
        <v>100891.144</v>
      </c>
      <c r="R227" s="1">
        <v>2891.88</v>
      </c>
      <c r="S227" s="1">
        <v>4325.24</v>
      </c>
      <c r="T227" s="1">
        <v>3320.47</v>
      </c>
      <c r="U227" s="1">
        <v>3043.9800000000005</v>
      </c>
      <c r="V227" s="1">
        <v>0</v>
      </c>
      <c r="W227" s="1">
        <v>0</v>
      </c>
      <c r="X227" s="1">
        <v>2891.88</v>
      </c>
      <c r="Y227" s="1">
        <v>0</v>
      </c>
      <c r="Z227" s="1">
        <v>0</v>
      </c>
      <c r="AA227" s="1">
        <v>4325.24</v>
      </c>
      <c r="AB227" s="1">
        <v>0</v>
      </c>
      <c r="AC227" s="1">
        <v>0</v>
      </c>
      <c r="AD227" s="1">
        <v>3320.47</v>
      </c>
      <c r="AE227" s="1">
        <v>0</v>
      </c>
      <c r="AF227" s="1">
        <v>0</v>
      </c>
      <c r="AG227" s="1">
        <v>3043.9800000000005</v>
      </c>
      <c r="AH227" s="1">
        <v>0</v>
      </c>
      <c r="AI227" s="1">
        <v>0</v>
      </c>
      <c r="AJ227" s="1">
        <v>0</v>
      </c>
      <c r="AK227" s="1">
        <v>0</v>
      </c>
      <c r="AL227" s="1">
        <v>0</v>
      </c>
      <c r="AM227" s="1">
        <v>0</v>
      </c>
      <c r="AN227" s="1">
        <v>0</v>
      </c>
      <c r="AO227" s="1">
        <v>0</v>
      </c>
      <c r="AP227" s="1">
        <v>9595</v>
      </c>
      <c r="AQ227" s="1">
        <v>10373.9</v>
      </c>
      <c r="AR227" s="1">
        <v>8689.4599999999991</v>
      </c>
      <c r="AS227" s="1">
        <v>9414.6</v>
      </c>
      <c r="AT227" s="1">
        <v>0</v>
      </c>
      <c r="AU227" s="1">
        <v>9595</v>
      </c>
      <c r="AV227" s="1">
        <v>0</v>
      </c>
      <c r="AW227" s="1">
        <v>0</v>
      </c>
      <c r="AX227" s="1">
        <v>0</v>
      </c>
      <c r="AY227" s="1">
        <v>10373.9</v>
      </c>
      <c r="AZ227" s="1">
        <v>0</v>
      </c>
      <c r="BA227" s="1">
        <v>0</v>
      </c>
      <c r="BB227" s="1">
        <v>0</v>
      </c>
      <c r="BC227" s="1">
        <v>8689.4599999999991</v>
      </c>
      <c r="BD227" s="1">
        <v>0</v>
      </c>
      <c r="BE227" s="1">
        <v>0</v>
      </c>
      <c r="BF227" s="1">
        <v>9414.6</v>
      </c>
      <c r="BG227" s="1">
        <v>0</v>
      </c>
      <c r="BH227" s="1">
        <v>0</v>
      </c>
      <c r="BI227" s="1">
        <v>0</v>
      </c>
      <c r="BJ227" s="1">
        <v>0</v>
      </c>
      <c r="BK227" s="1">
        <v>0</v>
      </c>
      <c r="BL227" s="1">
        <v>0</v>
      </c>
      <c r="BM227" s="1">
        <v>0</v>
      </c>
      <c r="BN227" s="1">
        <v>0</v>
      </c>
      <c r="BO227" s="1">
        <v>0</v>
      </c>
      <c r="BP227" s="1">
        <v>0</v>
      </c>
      <c r="BQ227" s="1">
        <v>0</v>
      </c>
      <c r="BR227" s="1">
        <v>0</v>
      </c>
      <c r="BS227" s="1">
        <v>0</v>
      </c>
      <c r="BT227" s="1">
        <v>0</v>
      </c>
      <c r="BU227" s="1">
        <v>8604.99</v>
      </c>
      <c r="BV227" s="1">
        <v>11186.06</v>
      </c>
      <c r="BW227" s="1">
        <v>8672.77</v>
      </c>
      <c r="BX227" s="1">
        <v>8614.1090000000004</v>
      </c>
      <c r="BY227" s="1">
        <v>8604.99</v>
      </c>
      <c r="BZ227" s="1">
        <v>11186.06</v>
      </c>
      <c r="CA227" s="1">
        <v>8672.77</v>
      </c>
      <c r="CB227" s="1">
        <v>8582.1890000000003</v>
      </c>
      <c r="CC227" s="1">
        <v>0</v>
      </c>
      <c r="CD227" s="1">
        <v>0</v>
      </c>
      <c r="CE227" s="1">
        <v>0</v>
      </c>
      <c r="CF227" s="1">
        <v>31.92</v>
      </c>
      <c r="CG227" s="1">
        <v>0</v>
      </c>
      <c r="CH227" s="1">
        <v>0</v>
      </c>
      <c r="CI227" s="1">
        <v>0</v>
      </c>
      <c r="CJ227" s="1">
        <v>0</v>
      </c>
      <c r="CK227" s="1">
        <v>0</v>
      </c>
      <c r="CL227" s="1">
        <v>0</v>
      </c>
      <c r="CM227" s="1">
        <v>0</v>
      </c>
      <c r="CN227" s="1">
        <v>0</v>
      </c>
      <c r="CO227" s="1">
        <v>0</v>
      </c>
      <c r="CP227" s="1">
        <v>0</v>
      </c>
      <c r="CQ227" s="1">
        <v>0</v>
      </c>
      <c r="CR227" s="1">
        <v>0</v>
      </c>
      <c r="CS227" s="1">
        <v>1793.9770000000001</v>
      </c>
      <c r="CT227" s="1">
        <v>1528.23</v>
      </c>
      <c r="CU227" s="1">
        <v>2503.2800000000002</v>
      </c>
      <c r="CV227" s="1">
        <v>6240.7079999999996</v>
      </c>
      <c r="CW227" s="1">
        <v>1793.9770000000001</v>
      </c>
      <c r="CX227" s="1">
        <v>1528.23</v>
      </c>
      <c r="CY227" s="1">
        <v>2503.2800000000002</v>
      </c>
      <c r="CZ227" s="1">
        <v>6240.7079999999996</v>
      </c>
      <c r="DA227" s="1">
        <v>0</v>
      </c>
      <c r="DB227" s="1">
        <v>0</v>
      </c>
      <c r="DC227" s="1">
        <v>0</v>
      </c>
      <c r="DD227" s="1">
        <v>0</v>
      </c>
      <c r="DE227" s="1">
        <v>0</v>
      </c>
      <c r="DF227" s="1">
        <v>0</v>
      </c>
      <c r="DG227" s="1">
        <v>0</v>
      </c>
      <c r="DH227" s="1">
        <v>0</v>
      </c>
      <c r="DI227" s="1">
        <v>0</v>
      </c>
      <c r="DJ227" s="1">
        <v>0</v>
      </c>
      <c r="DK227" s="1">
        <v>0</v>
      </c>
      <c r="DL227" s="1">
        <v>0</v>
      </c>
      <c r="DM227" s="1">
        <v>3917.0520000000001</v>
      </c>
      <c r="DN227" s="1">
        <v>2113.96</v>
      </c>
      <c r="DO227" s="1">
        <v>2149.0100000000002</v>
      </c>
      <c r="DP227" s="1">
        <v>2041.0260000000001</v>
      </c>
      <c r="DQ227" s="1">
        <v>3917.0520000000001</v>
      </c>
      <c r="DR227" s="1">
        <v>2113.96</v>
      </c>
      <c r="DS227" s="1">
        <v>2149.0100000000002</v>
      </c>
      <c r="DT227" s="1">
        <v>2041.0260000000001</v>
      </c>
      <c r="DU227" s="1">
        <v>0</v>
      </c>
      <c r="DV227" s="1">
        <v>0</v>
      </c>
      <c r="DW227" s="1">
        <v>0</v>
      </c>
      <c r="DX227" s="1">
        <v>0</v>
      </c>
      <c r="DY227" s="1">
        <v>0</v>
      </c>
      <c r="DZ227" s="1">
        <v>0</v>
      </c>
      <c r="EA227" s="1">
        <v>0</v>
      </c>
      <c r="EB227" s="1">
        <v>0</v>
      </c>
      <c r="EC227" s="1">
        <v>0</v>
      </c>
      <c r="ED227" s="1">
        <v>0</v>
      </c>
      <c r="EE227" s="1">
        <v>0</v>
      </c>
      <c r="EF227" s="1">
        <v>0</v>
      </c>
      <c r="EG227" s="1">
        <v>0</v>
      </c>
      <c r="EH227" s="1">
        <v>0</v>
      </c>
      <c r="EI227" s="1">
        <v>0</v>
      </c>
      <c r="EJ227" s="1">
        <v>0</v>
      </c>
      <c r="EK227" s="1">
        <v>1977.5509999999999</v>
      </c>
      <c r="EL227" s="1">
        <v>1843.7729999999999</v>
      </c>
      <c r="EM227" s="1">
        <v>1845.45</v>
      </c>
      <c r="EN227" s="1">
        <v>2493.0120000000002</v>
      </c>
      <c r="EO227" s="1">
        <v>1977.5509999999999</v>
      </c>
      <c r="EP227" s="1">
        <v>1843.7729999999999</v>
      </c>
      <c r="EQ227" s="1">
        <v>1845.45</v>
      </c>
      <c r="ER227" s="1">
        <v>2397.127</v>
      </c>
      <c r="ES227" s="1">
        <v>0</v>
      </c>
      <c r="ET227" s="1">
        <v>0</v>
      </c>
      <c r="EU227" s="1">
        <v>0</v>
      </c>
      <c r="EV227" s="1">
        <v>95.884999999999991</v>
      </c>
      <c r="EW227" s="1">
        <v>0</v>
      </c>
      <c r="EX227" s="1">
        <v>0</v>
      </c>
      <c r="EY227" s="1">
        <v>0</v>
      </c>
      <c r="EZ227" s="1">
        <v>0</v>
      </c>
      <c r="FA227" s="1">
        <v>0</v>
      </c>
      <c r="FB227" s="1">
        <v>0</v>
      </c>
      <c r="FC227" s="1">
        <v>0</v>
      </c>
      <c r="FD227" s="1">
        <v>0</v>
      </c>
      <c r="FE227" s="1">
        <v>328.87</v>
      </c>
      <c r="FF227" s="1">
        <v>231.54</v>
      </c>
      <c r="FG227" s="1">
        <v>143.22999999999999</v>
      </c>
      <c r="FH227" s="1">
        <v>166.34</v>
      </c>
      <c r="FI227" s="1">
        <v>328.87</v>
      </c>
      <c r="FJ227" s="1">
        <v>231.54</v>
      </c>
      <c r="FK227" s="1">
        <v>143.22999999999999</v>
      </c>
      <c r="FL227" s="1">
        <v>166.34</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v>0</v>
      </c>
      <c r="GC227" s="1">
        <v>865.32</v>
      </c>
      <c r="GD227" s="1">
        <v>856.4799999999999</v>
      </c>
      <c r="GE227" s="1">
        <v>893.73</v>
      </c>
      <c r="GF227" s="1">
        <v>886.41099999999994</v>
      </c>
      <c r="GG227" s="1">
        <v>865.32</v>
      </c>
      <c r="GH227" s="1">
        <v>856.4799999999999</v>
      </c>
      <c r="GI227" s="1">
        <v>893.73</v>
      </c>
      <c r="GJ227" s="1">
        <v>790.38599999999997</v>
      </c>
      <c r="GK227" s="1">
        <v>0</v>
      </c>
      <c r="GL227" s="1">
        <v>0</v>
      </c>
      <c r="GM227" s="1">
        <v>0</v>
      </c>
      <c r="GN227" s="1">
        <v>96.025000000000006</v>
      </c>
      <c r="GO227" s="1">
        <v>0</v>
      </c>
      <c r="GP227" s="1">
        <v>0</v>
      </c>
      <c r="GQ227" s="1">
        <v>0</v>
      </c>
      <c r="GR227" s="1">
        <v>0</v>
      </c>
      <c r="GS227" s="1">
        <v>0</v>
      </c>
      <c r="GT227" s="1">
        <v>0</v>
      </c>
      <c r="GU227" s="1">
        <v>0</v>
      </c>
      <c r="GV227" s="1">
        <v>0</v>
      </c>
      <c r="GW227" s="1">
        <v>0</v>
      </c>
      <c r="GX227" s="1">
        <v>0</v>
      </c>
      <c r="GY227" s="1">
        <v>0</v>
      </c>
      <c r="GZ227" s="1">
        <v>0</v>
      </c>
      <c r="HA227" s="1">
        <v>0</v>
      </c>
      <c r="HB227" s="1">
        <v>0</v>
      </c>
      <c r="HC227" s="1">
        <v>0</v>
      </c>
      <c r="HD227" s="1">
        <v>0</v>
      </c>
      <c r="HE227" s="1">
        <v>2827.84</v>
      </c>
      <c r="HF227" s="1">
        <v>4029.62</v>
      </c>
      <c r="HG227" s="1">
        <v>3476.71</v>
      </c>
      <c r="HH227" s="1">
        <v>2904.2</v>
      </c>
      <c r="HI227" s="1">
        <v>2827.84</v>
      </c>
      <c r="HJ227" s="1">
        <v>3815.900000000001</v>
      </c>
      <c r="HK227" s="1">
        <v>3320.76</v>
      </c>
      <c r="HL227" s="1">
        <v>2739.05</v>
      </c>
      <c r="HM227" s="1">
        <v>0</v>
      </c>
      <c r="HN227" s="1">
        <v>0</v>
      </c>
      <c r="HO227" s="1">
        <v>0</v>
      </c>
      <c r="HP227" s="1">
        <v>0</v>
      </c>
      <c r="HQ227" s="1">
        <v>0</v>
      </c>
      <c r="HR227" s="1">
        <v>0</v>
      </c>
      <c r="HS227" s="1">
        <v>0</v>
      </c>
      <c r="HT227" s="1">
        <v>0</v>
      </c>
      <c r="HU227" s="1">
        <v>0</v>
      </c>
      <c r="HV227" s="1">
        <v>0</v>
      </c>
      <c r="HW227" s="1">
        <v>0</v>
      </c>
      <c r="HX227" s="1">
        <v>0</v>
      </c>
      <c r="HY227" s="1">
        <v>0</v>
      </c>
      <c r="HZ227" s="1">
        <v>0</v>
      </c>
      <c r="IA227" s="1">
        <v>0</v>
      </c>
      <c r="IB227" s="1">
        <v>0</v>
      </c>
      <c r="IC227" s="1">
        <v>0</v>
      </c>
      <c r="ID227" s="1">
        <v>213.72</v>
      </c>
      <c r="IE227" s="1">
        <v>155.94999999999999</v>
      </c>
      <c r="IF227" s="1">
        <v>165.15</v>
      </c>
      <c r="IG227" s="1">
        <v>0</v>
      </c>
      <c r="IH227" s="1">
        <v>0</v>
      </c>
      <c r="II227" s="1">
        <v>0</v>
      </c>
      <c r="IJ227" s="1">
        <v>0</v>
      </c>
      <c r="IK227" s="1">
        <v>0</v>
      </c>
      <c r="IL227" s="1">
        <v>0</v>
      </c>
      <c r="IM227" s="1">
        <v>0</v>
      </c>
      <c r="IN227" s="1">
        <v>0</v>
      </c>
      <c r="IO227" s="1">
        <v>746.97399999999993</v>
      </c>
      <c r="IP227" s="1">
        <v>495.78199999999998</v>
      </c>
      <c r="IQ227" s="1">
        <v>657.94200000000001</v>
      </c>
      <c r="IR227" s="1">
        <v>1044.5519999999999</v>
      </c>
      <c r="IS227" s="1">
        <v>746.97399999999993</v>
      </c>
      <c r="IT227" s="1">
        <v>495.78199999999998</v>
      </c>
      <c r="IU227" s="1">
        <v>657.94200000000001</v>
      </c>
      <c r="IV227" s="1">
        <v>827.76200000000006</v>
      </c>
      <c r="IW227" s="1">
        <v>0</v>
      </c>
      <c r="IX227" s="1">
        <v>0</v>
      </c>
      <c r="IY227" s="1">
        <v>0</v>
      </c>
      <c r="IZ227" s="1">
        <v>160.91</v>
      </c>
      <c r="JA227" s="1">
        <v>0</v>
      </c>
      <c r="JB227" s="1">
        <v>0</v>
      </c>
      <c r="JC227" s="1">
        <v>0</v>
      </c>
      <c r="JD227" s="1">
        <v>42.28</v>
      </c>
      <c r="JE227" s="1">
        <v>0</v>
      </c>
      <c r="JF227" s="1">
        <v>0</v>
      </c>
      <c r="JG227" s="1">
        <v>0</v>
      </c>
      <c r="JH227" s="1">
        <v>0</v>
      </c>
      <c r="JI227" s="1">
        <v>0</v>
      </c>
      <c r="JJ227" s="1">
        <v>0</v>
      </c>
      <c r="JK227" s="1">
        <v>0</v>
      </c>
      <c r="JL227" s="1">
        <v>13.6</v>
      </c>
      <c r="JM227" s="1">
        <v>0</v>
      </c>
      <c r="JN227" s="1">
        <v>0</v>
      </c>
      <c r="JO227" s="1">
        <v>0</v>
      </c>
      <c r="JP227" s="1">
        <v>0</v>
      </c>
      <c r="JQ227" s="9"/>
      <c r="JR227" s="1">
        <f t="shared" si="48"/>
        <v>23829.310620000004</v>
      </c>
      <c r="JS227" s="1">
        <f t="shared" si="48"/>
        <v>17763.365609999997</v>
      </c>
      <c r="JT227" s="1">
        <f t="shared" si="48"/>
        <v>17250.811380000003</v>
      </c>
      <c r="JU227" s="1">
        <f t="shared" si="48"/>
        <v>27240.608880000003</v>
      </c>
      <c r="JV227" s="1">
        <f t="shared" si="49"/>
        <v>4412.8353000000006</v>
      </c>
      <c r="JW227" s="1">
        <f t="shared" si="49"/>
        <v>3289.5121499999996</v>
      </c>
      <c r="JX227" s="1">
        <f t="shared" si="49"/>
        <v>3194.5947000000001</v>
      </c>
      <c r="JY227" s="1">
        <f t="shared" si="49"/>
        <v>5044.5572000000002</v>
      </c>
    </row>
    <row r="228" spans="1:285" x14ac:dyDescent="0.35">
      <c r="A228" s="2" t="s">
        <v>235</v>
      </c>
      <c r="B228" s="1">
        <v>312055</v>
      </c>
      <c r="C228" s="1">
        <v>306762</v>
      </c>
      <c r="D228" s="1">
        <v>309327</v>
      </c>
      <c r="E228" s="1">
        <v>313485</v>
      </c>
      <c r="F228" s="1">
        <v>296078.32500000001</v>
      </c>
      <c r="G228" s="1">
        <v>310592.14299999998</v>
      </c>
      <c r="H228" s="1">
        <v>300288.75099999999</v>
      </c>
      <c r="I228" s="1">
        <v>294294.245</v>
      </c>
      <c r="J228" s="1">
        <f t="shared" si="50"/>
        <v>36860.619999999995</v>
      </c>
      <c r="K228" s="1">
        <f t="shared" si="51"/>
        <v>42216.635999999991</v>
      </c>
      <c r="L228" s="1">
        <f t="shared" si="52"/>
        <v>36374.132000000005</v>
      </c>
      <c r="M228" s="1">
        <f t="shared" si="53"/>
        <v>37277.940999999999</v>
      </c>
      <c r="N228" s="1">
        <f t="shared" si="54"/>
        <v>259217.70500000002</v>
      </c>
      <c r="O228" s="1">
        <f t="shared" si="55"/>
        <v>268375.50699999998</v>
      </c>
      <c r="P228" s="1">
        <f t="shared" si="56"/>
        <v>263914.61900000001</v>
      </c>
      <c r="Q228" s="1">
        <f t="shared" si="57"/>
        <v>257016.304</v>
      </c>
      <c r="R228" s="1">
        <v>69.930000000000007</v>
      </c>
      <c r="S228" s="1">
        <v>118.08</v>
      </c>
      <c r="T228" s="1">
        <v>123.12</v>
      </c>
      <c r="U228" s="1">
        <v>235.87</v>
      </c>
      <c r="V228" s="1">
        <v>0</v>
      </c>
      <c r="W228" s="1">
        <v>0</v>
      </c>
      <c r="X228" s="1">
        <v>69.930000000000007</v>
      </c>
      <c r="Y228" s="1">
        <v>0</v>
      </c>
      <c r="Z228" s="1">
        <v>0</v>
      </c>
      <c r="AA228" s="1">
        <v>118.08</v>
      </c>
      <c r="AB228" s="1">
        <v>0</v>
      </c>
      <c r="AC228" s="1">
        <v>0</v>
      </c>
      <c r="AD228" s="1">
        <v>123.12</v>
      </c>
      <c r="AE228" s="1">
        <v>0</v>
      </c>
      <c r="AF228" s="1">
        <v>0</v>
      </c>
      <c r="AG228" s="1">
        <v>235.87</v>
      </c>
      <c r="AH228" s="1">
        <v>0</v>
      </c>
      <c r="AI228" s="1">
        <v>0</v>
      </c>
      <c r="AJ228" s="1">
        <v>0</v>
      </c>
      <c r="AK228" s="1">
        <v>0</v>
      </c>
      <c r="AL228" s="1">
        <v>0</v>
      </c>
      <c r="AM228" s="1">
        <v>0</v>
      </c>
      <c r="AN228" s="1">
        <v>0</v>
      </c>
      <c r="AO228" s="1">
        <v>0</v>
      </c>
      <c r="AP228" s="1">
        <v>8186.9989999999998</v>
      </c>
      <c r="AQ228" s="1">
        <v>7995.4680000000008</v>
      </c>
      <c r="AR228" s="1">
        <v>7410.6720000000005</v>
      </c>
      <c r="AS228" s="1">
        <v>7646.4410000000007</v>
      </c>
      <c r="AT228" s="1">
        <v>7647.0470000000005</v>
      </c>
      <c r="AU228" s="1">
        <v>539.95199999999932</v>
      </c>
      <c r="AV228" s="1">
        <v>0</v>
      </c>
      <c r="AW228" s="1">
        <v>0</v>
      </c>
      <c r="AX228" s="1">
        <v>6643.6360000000013</v>
      </c>
      <c r="AY228" s="1">
        <v>1351.8319999999994</v>
      </c>
      <c r="AZ228" s="1">
        <v>0</v>
      </c>
      <c r="BA228" s="1">
        <v>0</v>
      </c>
      <c r="BB228" s="1">
        <v>6088.0280000000002</v>
      </c>
      <c r="BC228" s="1">
        <v>1322.644</v>
      </c>
      <c r="BD228" s="1">
        <v>0</v>
      </c>
      <c r="BE228" s="1">
        <v>5896.7420000000002</v>
      </c>
      <c r="BF228" s="1">
        <v>1749.6990000000001</v>
      </c>
      <c r="BG228" s="1">
        <v>0</v>
      </c>
      <c r="BH228" s="1">
        <v>0</v>
      </c>
      <c r="BI228" s="1">
        <v>0</v>
      </c>
      <c r="BJ228" s="1">
        <v>0</v>
      </c>
      <c r="BK228" s="1">
        <v>0</v>
      </c>
      <c r="BL228" s="1">
        <v>0</v>
      </c>
      <c r="BM228" s="1">
        <v>0</v>
      </c>
      <c r="BN228" s="1">
        <v>0</v>
      </c>
      <c r="BO228" s="1">
        <v>0</v>
      </c>
      <c r="BP228" s="1">
        <v>0</v>
      </c>
      <c r="BQ228" s="1">
        <v>0</v>
      </c>
      <c r="BR228" s="1">
        <v>0</v>
      </c>
      <c r="BS228" s="1">
        <v>0</v>
      </c>
      <c r="BT228" s="1">
        <v>0</v>
      </c>
      <c r="BU228" s="1">
        <v>14554.26</v>
      </c>
      <c r="BV228" s="1">
        <v>18583.136999999999</v>
      </c>
      <c r="BW228" s="1">
        <v>16439.418000000001</v>
      </c>
      <c r="BX228" s="1">
        <v>16078.925999999999</v>
      </c>
      <c r="BY228" s="1">
        <v>14513.7</v>
      </c>
      <c r="BZ228" s="1">
        <v>18551.677</v>
      </c>
      <c r="CA228" s="1">
        <v>16406.338</v>
      </c>
      <c r="CB228" s="1">
        <v>16041.866</v>
      </c>
      <c r="CC228" s="1">
        <v>40.56</v>
      </c>
      <c r="CD228" s="1">
        <v>31.46</v>
      </c>
      <c r="CE228" s="1">
        <v>33.08</v>
      </c>
      <c r="CF228" s="1">
        <v>37.06</v>
      </c>
      <c r="CG228" s="1">
        <v>0</v>
      </c>
      <c r="CH228" s="1">
        <v>0</v>
      </c>
      <c r="CI228" s="1">
        <v>0</v>
      </c>
      <c r="CJ228" s="1">
        <v>0</v>
      </c>
      <c r="CK228" s="1">
        <v>0</v>
      </c>
      <c r="CL228" s="1">
        <v>0</v>
      </c>
      <c r="CM228" s="1">
        <v>0</v>
      </c>
      <c r="CN228" s="1">
        <v>0</v>
      </c>
      <c r="CO228" s="1">
        <v>0</v>
      </c>
      <c r="CP228" s="1">
        <v>0</v>
      </c>
      <c r="CQ228" s="1">
        <v>0</v>
      </c>
      <c r="CR228" s="1">
        <v>0</v>
      </c>
      <c r="CS228" s="1">
        <v>2114.569</v>
      </c>
      <c r="CT228" s="1">
        <v>2506.759</v>
      </c>
      <c r="CU228" s="1">
        <v>2383.9830000000002</v>
      </c>
      <c r="CV228" s="1">
        <v>1947.1469999999999</v>
      </c>
      <c r="CW228" s="1">
        <v>2114.569</v>
      </c>
      <c r="CX228" s="1">
        <v>2506.759</v>
      </c>
      <c r="CY228" s="1">
        <v>2383.9830000000002</v>
      </c>
      <c r="CZ228" s="1">
        <v>1947.1469999999999</v>
      </c>
      <c r="DA228" s="1">
        <v>0</v>
      </c>
      <c r="DB228" s="1">
        <v>0</v>
      </c>
      <c r="DC228" s="1">
        <v>0</v>
      </c>
      <c r="DD228" s="1">
        <v>0</v>
      </c>
      <c r="DE228" s="1">
        <v>0</v>
      </c>
      <c r="DF228" s="1">
        <v>0</v>
      </c>
      <c r="DG228" s="1">
        <v>0</v>
      </c>
      <c r="DH228" s="1">
        <v>0</v>
      </c>
      <c r="DI228" s="1">
        <v>0</v>
      </c>
      <c r="DJ228" s="1">
        <v>0</v>
      </c>
      <c r="DK228" s="1">
        <v>0</v>
      </c>
      <c r="DL228" s="1">
        <v>0</v>
      </c>
      <c r="DM228" s="1">
        <v>5131.6049999999996</v>
      </c>
      <c r="DN228" s="1">
        <v>5018.1229999999996</v>
      </c>
      <c r="DO228" s="1">
        <v>4079.7020000000002</v>
      </c>
      <c r="DP228" s="1">
        <v>3732.9389999999999</v>
      </c>
      <c r="DQ228" s="1">
        <v>5131.6049999999996</v>
      </c>
      <c r="DR228" s="1">
        <v>5018.1229999999996</v>
      </c>
      <c r="DS228" s="1">
        <v>4079.7020000000002</v>
      </c>
      <c r="DT228" s="1">
        <v>3732.9389999999999</v>
      </c>
      <c r="DU228" s="1">
        <v>0</v>
      </c>
      <c r="DV228" s="1">
        <v>0</v>
      </c>
      <c r="DW228" s="1">
        <v>0</v>
      </c>
      <c r="DX228" s="1">
        <v>0</v>
      </c>
      <c r="DY228" s="1">
        <v>0</v>
      </c>
      <c r="DZ228" s="1">
        <v>0</v>
      </c>
      <c r="EA228" s="1">
        <v>0</v>
      </c>
      <c r="EB228" s="1">
        <v>0</v>
      </c>
      <c r="EC228" s="1">
        <v>0</v>
      </c>
      <c r="ED228" s="1">
        <v>0</v>
      </c>
      <c r="EE228" s="1">
        <v>0</v>
      </c>
      <c r="EF228" s="1">
        <v>0</v>
      </c>
      <c r="EG228" s="1">
        <v>0</v>
      </c>
      <c r="EH228" s="1">
        <v>0</v>
      </c>
      <c r="EI228" s="1">
        <v>0</v>
      </c>
      <c r="EJ228" s="1">
        <v>0</v>
      </c>
      <c r="EK228" s="1">
        <v>2453.9560000000001</v>
      </c>
      <c r="EL228" s="1">
        <v>3035.68</v>
      </c>
      <c r="EM228" s="1">
        <v>2226.922</v>
      </c>
      <c r="EN228" s="1">
        <v>3094.0520000000001</v>
      </c>
      <c r="EO228" s="1">
        <v>2448.4960000000001</v>
      </c>
      <c r="EP228" s="1">
        <v>3024.56</v>
      </c>
      <c r="EQ228" s="1">
        <v>2219.7420000000002</v>
      </c>
      <c r="ER228" s="1">
        <v>3075.1219999999998</v>
      </c>
      <c r="ES228" s="1">
        <v>5.4600000000000009</v>
      </c>
      <c r="ET228" s="1">
        <v>11.12</v>
      </c>
      <c r="EU228" s="1">
        <v>7.18</v>
      </c>
      <c r="EV228" s="1">
        <v>18.93</v>
      </c>
      <c r="EW228" s="1">
        <v>0</v>
      </c>
      <c r="EX228" s="1">
        <v>0</v>
      </c>
      <c r="EY228" s="1">
        <v>0</v>
      </c>
      <c r="EZ228" s="1">
        <v>0</v>
      </c>
      <c r="FA228" s="1">
        <v>0</v>
      </c>
      <c r="FB228" s="1">
        <v>0</v>
      </c>
      <c r="FC228" s="1">
        <v>0</v>
      </c>
      <c r="FD228" s="1">
        <v>0</v>
      </c>
      <c r="FE228" s="1">
        <v>286.76799999999997</v>
      </c>
      <c r="FF228" s="1">
        <v>310.17</v>
      </c>
      <c r="FG228" s="1">
        <v>233.43199999999999</v>
      </c>
      <c r="FH228" s="1">
        <v>322.65100000000001</v>
      </c>
      <c r="FI228" s="1">
        <v>0</v>
      </c>
      <c r="FJ228" s="1">
        <v>0</v>
      </c>
      <c r="FK228" s="1">
        <v>0</v>
      </c>
      <c r="FL228" s="1">
        <v>0</v>
      </c>
      <c r="FM228" s="1">
        <v>286.76799999999997</v>
      </c>
      <c r="FN228" s="1">
        <v>310.17</v>
      </c>
      <c r="FO228" s="1">
        <v>233.43199999999999</v>
      </c>
      <c r="FP228" s="1">
        <v>322.65100000000001</v>
      </c>
      <c r="FQ228" s="1">
        <v>0</v>
      </c>
      <c r="FR228" s="1">
        <v>0</v>
      </c>
      <c r="FS228" s="1">
        <v>0</v>
      </c>
      <c r="FT228" s="1">
        <v>0</v>
      </c>
      <c r="FU228" s="1">
        <v>0</v>
      </c>
      <c r="FV228" s="1">
        <v>0</v>
      </c>
      <c r="FW228" s="1">
        <v>0</v>
      </c>
      <c r="FX228" s="1">
        <v>0</v>
      </c>
      <c r="FY228" s="1">
        <v>0</v>
      </c>
      <c r="FZ228" s="1">
        <v>0</v>
      </c>
      <c r="GA228" s="1">
        <v>0</v>
      </c>
      <c r="GB228" s="1">
        <v>0</v>
      </c>
      <c r="GC228" s="1">
        <v>582.93200000000002</v>
      </c>
      <c r="GD228" s="1">
        <v>548.82600000000002</v>
      </c>
      <c r="GE228" s="1">
        <v>511.99299999999999</v>
      </c>
      <c r="GF228" s="1">
        <v>451.87</v>
      </c>
      <c r="GG228" s="1">
        <v>582.93200000000002</v>
      </c>
      <c r="GH228" s="1">
        <v>548.82600000000002</v>
      </c>
      <c r="GI228" s="1">
        <v>511.99299999999999</v>
      </c>
      <c r="GJ228" s="1">
        <v>451.87</v>
      </c>
      <c r="GK228" s="1">
        <v>0</v>
      </c>
      <c r="GL228" s="1">
        <v>0</v>
      </c>
      <c r="GM228" s="1">
        <v>0</v>
      </c>
      <c r="GN228" s="1">
        <v>0</v>
      </c>
      <c r="GO228" s="1">
        <v>0</v>
      </c>
      <c r="GP228" s="1">
        <v>0</v>
      </c>
      <c r="GQ228" s="1">
        <v>0</v>
      </c>
      <c r="GR228" s="1">
        <v>0</v>
      </c>
      <c r="GS228" s="1">
        <v>0</v>
      </c>
      <c r="GT228" s="1">
        <v>0</v>
      </c>
      <c r="GU228" s="1">
        <v>0</v>
      </c>
      <c r="GV228" s="1">
        <v>0</v>
      </c>
      <c r="GW228" s="1">
        <v>0</v>
      </c>
      <c r="GX228" s="1">
        <v>0</v>
      </c>
      <c r="GY228" s="1">
        <v>0</v>
      </c>
      <c r="GZ228" s="1">
        <v>0</v>
      </c>
      <c r="HA228" s="1">
        <v>0</v>
      </c>
      <c r="HB228" s="1">
        <v>0</v>
      </c>
      <c r="HC228" s="1">
        <v>0</v>
      </c>
      <c r="HD228" s="1">
        <v>0</v>
      </c>
      <c r="HE228" s="1">
        <v>3470.8409999999999</v>
      </c>
      <c r="HF228" s="1">
        <v>4086.1930000000002</v>
      </c>
      <c r="HG228" s="1">
        <v>2961.19</v>
      </c>
      <c r="HH228" s="1">
        <v>3766.0050000000001</v>
      </c>
      <c r="HI228" s="1">
        <v>3470.8409999999999</v>
      </c>
      <c r="HJ228" s="1">
        <v>3288.4</v>
      </c>
      <c r="HK228" s="1">
        <v>2959.67</v>
      </c>
      <c r="HL228" s="1">
        <v>3766.0050000000001</v>
      </c>
      <c r="HM228" s="1">
        <v>0</v>
      </c>
      <c r="HN228" s="1">
        <v>0</v>
      </c>
      <c r="HO228" s="1">
        <v>0</v>
      </c>
      <c r="HP228" s="1">
        <v>0</v>
      </c>
      <c r="HQ228" s="1">
        <v>0</v>
      </c>
      <c r="HR228" s="1">
        <v>0</v>
      </c>
      <c r="HS228" s="1">
        <v>0</v>
      </c>
      <c r="HT228" s="1">
        <v>0</v>
      </c>
      <c r="HU228" s="1">
        <v>0</v>
      </c>
      <c r="HV228" s="1">
        <v>797.79300000000001</v>
      </c>
      <c r="HW228" s="1">
        <v>1.52</v>
      </c>
      <c r="HX228" s="1">
        <v>0</v>
      </c>
      <c r="HY228" s="1">
        <v>0</v>
      </c>
      <c r="HZ228" s="1">
        <v>0</v>
      </c>
      <c r="IA228" s="1">
        <v>0</v>
      </c>
      <c r="IB228" s="1">
        <v>0</v>
      </c>
      <c r="IC228" s="1">
        <v>0</v>
      </c>
      <c r="ID228" s="1">
        <v>0</v>
      </c>
      <c r="IE228" s="1">
        <v>0</v>
      </c>
      <c r="IF228" s="1">
        <v>0</v>
      </c>
      <c r="IG228" s="1">
        <v>0</v>
      </c>
      <c r="IH228" s="1">
        <v>0</v>
      </c>
      <c r="II228" s="1">
        <v>0</v>
      </c>
      <c r="IJ228" s="1">
        <v>0</v>
      </c>
      <c r="IK228" s="1">
        <v>0</v>
      </c>
      <c r="IL228" s="1">
        <v>0</v>
      </c>
      <c r="IM228" s="1">
        <v>0</v>
      </c>
      <c r="IN228" s="1">
        <v>0</v>
      </c>
      <c r="IO228" s="1">
        <v>8.76</v>
      </c>
      <c r="IP228" s="1">
        <v>14.2</v>
      </c>
      <c r="IQ228" s="1">
        <v>3.7</v>
      </c>
      <c r="IR228" s="1">
        <v>2.04</v>
      </c>
      <c r="IS228" s="1">
        <v>0</v>
      </c>
      <c r="IT228" s="1">
        <v>0</v>
      </c>
      <c r="IU228" s="1">
        <v>0</v>
      </c>
      <c r="IV228" s="1">
        <v>0</v>
      </c>
      <c r="IW228" s="1">
        <v>8.76</v>
      </c>
      <c r="IX228" s="1">
        <v>14.2</v>
      </c>
      <c r="IY228" s="1">
        <v>3.7</v>
      </c>
      <c r="IZ228" s="1">
        <v>2.04</v>
      </c>
      <c r="JA228" s="1">
        <v>0</v>
      </c>
      <c r="JB228" s="1">
        <v>0</v>
      </c>
      <c r="JC228" s="1">
        <v>0</v>
      </c>
      <c r="JD228" s="1">
        <v>0</v>
      </c>
      <c r="JE228" s="1">
        <v>0</v>
      </c>
      <c r="JF228" s="1">
        <v>0</v>
      </c>
      <c r="JG228" s="1">
        <v>0</v>
      </c>
      <c r="JH228" s="1">
        <v>0</v>
      </c>
      <c r="JI228" s="1">
        <v>0</v>
      </c>
      <c r="JJ228" s="1">
        <v>0</v>
      </c>
      <c r="JK228" s="1">
        <v>0</v>
      </c>
      <c r="JL228" s="1">
        <v>0</v>
      </c>
      <c r="JM228" s="1">
        <v>0</v>
      </c>
      <c r="JN228" s="1">
        <v>0</v>
      </c>
      <c r="JO228" s="1">
        <v>0</v>
      </c>
      <c r="JP228" s="1">
        <v>0</v>
      </c>
      <c r="JQ228" s="9"/>
      <c r="JR228" s="1">
        <f t="shared" si="48"/>
        <v>69988.780350000015</v>
      </c>
      <c r="JS228" s="1">
        <f t="shared" si="48"/>
        <v>72461.386889999994</v>
      </c>
      <c r="JT228" s="1">
        <f t="shared" si="48"/>
        <v>71256.94713</v>
      </c>
      <c r="JU228" s="1">
        <f t="shared" si="48"/>
        <v>69394.40208</v>
      </c>
      <c r="JV228" s="1">
        <f t="shared" si="49"/>
        <v>12960.885250000001</v>
      </c>
      <c r="JW228" s="1">
        <f t="shared" si="49"/>
        <v>13418.77535</v>
      </c>
      <c r="JX228" s="1">
        <f t="shared" si="49"/>
        <v>13195.730950000001</v>
      </c>
      <c r="JY228" s="1">
        <f t="shared" si="49"/>
        <v>12850.815200000001</v>
      </c>
    </row>
    <row r="229" spans="1:285" x14ac:dyDescent="0.35">
      <c r="A229" s="2" t="s">
        <v>236</v>
      </c>
      <c r="B229" s="1">
        <v>102304</v>
      </c>
      <c r="C229" s="1">
        <v>103036</v>
      </c>
      <c r="D229" s="1">
        <v>103760</v>
      </c>
      <c r="E229" s="1">
        <v>104875</v>
      </c>
      <c r="F229" s="1">
        <v>33491.427000000003</v>
      </c>
      <c r="G229" s="1">
        <v>30757.937999999998</v>
      </c>
      <c r="H229" s="1">
        <v>28312.18</v>
      </c>
      <c r="I229" s="1">
        <v>28165.11</v>
      </c>
      <c r="J229" s="1">
        <f t="shared" si="50"/>
        <v>21005.547000000002</v>
      </c>
      <c r="K229" s="1">
        <f t="shared" si="51"/>
        <v>18555.208000000002</v>
      </c>
      <c r="L229" s="1">
        <f t="shared" si="52"/>
        <v>16608.159999999996</v>
      </c>
      <c r="M229" s="1">
        <f t="shared" si="53"/>
        <v>16818.489999999998</v>
      </c>
      <c r="N229" s="1">
        <f t="shared" si="54"/>
        <v>12485.880000000001</v>
      </c>
      <c r="O229" s="1">
        <f t="shared" si="55"/>
        <v>12202.729999999996</v>
      </c>
      <c r="P229" s="1">
        <f t="shared" si="56"/>
        <v>11704.020000000004</v>
      </c>
      <c r="Q229" s="1">
        <f t="shared" si="57"/>
        <v>11346.620000000003</v>
      </c>
      <c r="R229" s="1">
        <v>2787.78</v>
      </c>
      <c r="S229" s="1">
        <v>2766</v>
      </c>
      <c r="T229" s="1">
        <v>2540.04</v>
      </c>
      <c r="U229" s="1">
        <v>2738.74</v>
      </c>
      <c r="V229" s="1">
        <v>0</v>
      </c>
      <c r="W229" s="1">
        <v>0</v>
      </c>
      <c r="X229" s="1">
        <v>2787.78</v>
      </c>
      <c r="Y229" s="1">
        <v>0</v>
      </c>
      <c r="Z229" s="1">
        <v>0</v>
      </c>
      <c r="AA229" s="1">
        <v>2766</v>
      </c>
      <c r="AB229" s="1">
        <v>0</v>
      </c>
      <c r="AC229" s="1">
        <v>0</v>
      </c>
      <c r="AD229" s="1">
        <v>2540.04</v>
      </c>
      <c r="AE229" s="1">
        <v>0</v>
      </c>
      <c r="AF229" s="1">
        <v>0</v>
      </c>
      <c r="AG229" s="1">
        <v>2738.74</v>
      </c>
      <c r="AH229" s="1">
        <v>0</v>
      </c>
      <c r="AI229" s="1">
        <v>0</v>
      </c>
      <c r="AJ229" s="1">
        <v>0</v>
      </c>
      <c r="AK229" s="1">
        <v>0</v>
      </c>
      <c r="AL229" s="1">
        <v>0</v>
      </c>
      <c r="AM229" s="1">
        <v>0</v>
      </c>
      <c r="AN229" s="1">
        <v>0</v>
      </c>
      <c r="AO229" s="1">
        <v>0</v>
      </c>
      <c r="AP229" s="1">
        <v>4929.8370000000004</v>
      </c>
      <c r="AQ229" s="1">
        <v>4341.2280000000001</v>
      </c>
      <c r="AR229" s="1">
        <v>3918.8799999999997</v>
      </c>
      <c r="AS229" s="1">
        <v>4088.49</v>
      </c>
      <c r="AT229" s="1">
        <v>790.51700000000073</v>
      </c>
      <c r="AU229" s="1">
        <v>4139.32</v>
      </c>
      <c r="AV229" s="1">
        <v>0</v>
      </c>
      <c r="AW229" s="1">
        <v>0</v>
      </c>
      <c r="AX229" s="1">
        <v>246.22800000000007</v>
      </c>
      <c r="AY229" s="1">
        <v>4095</v>
      </c>
      <c r="AZ229" s="1">
        <v>0</v>
      </c>
      <c r="BA229" s="1">
        <v>0</v>
      </c>
      <c r="BB229" s="1">
        <v>1387.3799999999997</v>
      </c>
      <c r="BC229" s="1">
        <v>2531.5</v>
      </c>
      <c r="BD229" s="1">
        <v>0</v>
      </c>
      <c r="BE229" s="1">
        <v>1655.6499999999996</v>
      </c>
      <c r="BF229" s="1">
        <v>2432.84</v>
      </c>
      <c r="BG229" s="1">
        <v>0</v>
      </c>
      <c r="BH229" s="1">
        <v>0</v>
      </c>
      <c r="BI229" s="1">
        <v>0</v>
      </c>
      <c r="BJ229" s="1">
        <v>0</v>
      </c>
      <c r="BK229" s="1">
        <v>0</v>
      </c>
      <c r="BL229" s="1">
        <v>0</v>
      </c>
      <c r="BM229" s="1">
        <v>0</v>
      </c>
      <c r="BN229" s="1">
        <v>0</v>
      </c>
      <c r="BO229" s="1">
        <v>0</v>
      </c>
      <c r="BP229" s="1">
        <v>0</v>
      </c>
      <c r="BQ229" s="1">
        <v>0</v>
      </c>
      <c r="BR229" s="1">
        <v>0</v>
      </c>
      <c r="BS229" s="1">
        <v>0</v>
      </c>
      <c r="BT229" s="1">
        <v>0</v>
      </c>
      <c r="BU229" s="1">
        <v>6717.5300000000007</v>
      </c>
      <c r="BV229" s="1">
        <v>5117.8599999999997</v>
      </c>
      <c r="BW229" s="1">
        <v>4339.42</v>
      </c>
      <c r="BX229" s="1">
        <v>4625.13</v>
      </c>
      <c r="BY229" s="1">
        <v>6717.13</v>
      </c>
      <c r="BZ229" s="1">
        <v>5112.6499999999996</v>
      </c>
      <c r="CA229" s="1">
        <v>4323.7</v>
      </c>
      <c r="CB229" s="1">
        <v>4609.33</v>
      </c>
      <c r="CC229" s="1">
        <v>0.4</v>
      </c>
      <c r="CD229" s="1">
        <v>5.21</v>
      </c>
      <c r="CE229" s="1">
        <v>15.72</v>
      </c>
      <c r="CF229" s="1">
        <v>15.8</v>
      </c>
      <c r="CG229" s="1">
        <v>0</v>
      </c>
      <c r="CH229" s="1">
        <v>0</v>
      </c>
      <c r="CI229" s="1">
        <v>0</v>
      </c>
      <c r="CJ229" s="1">
        <v>0</v>
      </c>
      <c r="CK229" s="1">
        <v>0</v>
      </c>
      <c r="CL229" s="1">
        <v>0</v>
      </c>
      <c r="CM229" s="1">
        <v>0</v>
      </c>
      <c r="CN229" s="1">
        <v>0</v>
      </c>
      <c r="CO229" s="1">
        <v>0</v>
      </c>
      <c r="CP229" s="1">
        <v>0</v>
      </c>
      <c r="CQ229" s="1">
        <v>0</v>
      </c>
      <c r="CR229" s="1">
        <v>0</v>
      </c>
      <c r="CS229" s="1">
        <v>2785.72</v>
      </c>
      <c r="CT229" s="1">
        <v>2670.95</v>
      </c>
      <c r="CU229" s="1">
        <v>2516.96</v>
      </c>
      <c r="CV229" s="1">
        <v>2642.2</v>
      </c>
      <c r="CW229" s="1">
        <v>2785.72</v>
      </c>
      <c r="CX229" s="1">
        <v>2670.95</v>
      </c>
      <c r="CY229" s="1">
        <v>2516.96</v>
      </c>
      <c r="CZ229" s="1">
        <v>2642.2</v>
      </c>
      <c r="DA229" s="1">
        <v>0</v>
      </c>
      <c r="DB229" s="1">
        <v>0</v>
      </c>
      <c r="DC229" s="1">
        <v>0</v>
      </c>
      <c r="DD229" s="1">
        <v>0</v>
      </c>
      <c r="DE229" s="1">
        <v>0</v>
      </c>
      <c r="DF229" s="1">
        <v>0</v>
      </c>
      <c r="DG229" s="1">
        <v>0</v>
      </c>
      <c r="DH229" s="1">
        <v>0</v>
      </c>
      <c r="DI229" s="1">
        <v>0</v>
      </c>
      <c r="DJ229" s="1">
        <v>0</v>
      </c>
      <c r="DK229" s="1">
        <v>0</v>
      </c>
      <c r="DL229" s="1">
        <v>0</v>
      </c>
      <c r="DM229" s="1">
        <v>2288.62</v>
      </c>
      <c r="DN229" s="1">
        <v>1981.95</v>
      </c>
      <c r="DO229" s="1">
        <v>1865.72</v>
      </c>
      <c r="DP229" s="1">
        <v>1504.17</v>
      </c>
      <c r="DQ229" s="1">
        <v>2288.62</v>
      </c>
      <c r="DR229" s="1">
        <v>1981.95</v>
      </c>
      <c r="DS229" s="1">
        <v>1865.72</v>
      </c>
      <c r="DT229" s="1">
        <v>1504.17</v>
      </c>
      <c r="DU229" s="1">
        <v>0</v>
      </c>
      <c r="DV229" s="1">
        <v>0</v>
      </c>
      <c r="DW229" s="1">
        <v>0</v>
      </c>
      <c r="DX229" s="1">
        <v>0</v>
      </c>
      <c r="DY229" s="1">
        <v>0</v>
      </c>
      <c r="DZ229" s="1">
        <v>0</v>
      </c>
      <c r="EA229" s="1">
        <v>0</v>
      </c>
      <c r="EB229" s="1">
        <v>0</v>
      </c>
      <c r="EC229" s="1">
        <v>0</v>
      </c>
      <c r="ED229" s="1">
        <v>0</v>
      </c>
      <c r="EE229" s="1">
        <v>0</v>
      </c>
      <c r="EF229" s="1">
        <v>0</v>
      </c>
      <c r="EG229" s="1">
        <v>0</v>
      </c>
      <c r="EH229" s="1">
        <v>0</v>
      </c>
      <c r="EI229" s="1">
        <v>0</v>
      </c>
      <c r="EJ229" s="1">
        <v>0</v>
      </c>
      <c r="EK229" s="1">
        <v>746.93999999999994</v>
      </c>
      <c r="EL229" s="1">
        <v>819.38</v>
      </c>
      <c r="EM229" s="1">
        <v>606.29999999999995</v>
      </c>
      <c r="EN229" s="1">
        <v>497.06</v>
      </c>
      <c r="EO229" s="1">
        <v>746.93999999999994</v>
      </c>
      <c r="EP229" s="1">
        <v>819.38</v>
      </c>
      <c r="EQ229" s="1">
        <v>606.29999999999995</v>
      </c>
      <c r="ER229" s="1">
        <v>497.06</v>
      </c>
      <c r="ES229" s="1">
        <v>0</v>
      </c>
      <c r="ET229" s="1">
        <v>0</v>
      </c>
      <c r="EU229" s="1">
        <v>0</v>
      </c>
      <c r="EV229" s="1">
        <v>0</v>
      </c>
      <c r="EW229" s="1">
        <v>0</v>
      </c>
      <c r="EX229" s="1">
        <v>0</v>
      </c>
      <c r="EY229" s="1">
        <v>0</v>
      </c>
      <c r="EZ229" s="1">
        <v>0</v>
      </c>
      <c r="FA229" s="1">
        <v>0</v>
      </c>
      <c r="FB229" s="1">
        <v>0</v>
      </c>
      <c r="FC229" s="1">
        <v>0</v>
      </c>
      <c r="FD229" s="1">
        <v>0</v>
      </c>
      <c r="FE229" s="1">
        <v>187.18</v>
      </c>
      <c r="FF229" s="1">
        <v>162.46</v>
      </c>
      <c r="FG229" s="1">
        <v>139.82</v>
      </c>
      <c r="FH229" s="1">
        <v>117.07</v>
      </c>
      <c r="FI229" s="1">
        <v>67.81</v>
      </c>
      <c r="FJ229" s="1">
        <v>58.77</v>
      </c>
      <c r="FK229" s="1">
        <v>50.569999999999993</v>
      </c>
      <c r="FL229" s="1">
        <v>42.17</v>
      </c>
      <c r="FM229" s="1">
        <v>119.37</v>
      </c>
      <c r="FN229" s="1">
        <v>103.69</v>
      </c>
      <c r="FO229" s="1">
        <v>89.25</v>
      </c>
      <c r="FP229" s="1">
        <v>74.900000000000006</v>
      </c>
      <c r="FQ229" s="1">
        <v>0</v>
      </c>
      <c r="FR229" s="1">
        <v>0</v>
      </c>
      <c r="FS229" s="1">
        <v>0</v>
      </c>
      <c r="FT229" s="1">
        <v>0</v>
      </c>
      <c r="FU229" s="1">
        <v>0</v>
      </c>
      <c r="FV229" s="1">
        <v>0</v>
      </c>
      <c r="FW229" s="1">
        <v>0</v>
      </c>
      <c r="FX229" s="1">
        <v>0</v>
      </c>
      <c r="FY229" s="1">
        <v>0</v>
      </c>
      <c r="FZ229" s="1">
        <v>0</v>
      </c>
      <c r="GA229" s="1">
        <v>0</v>
      </c>
      <c r="GB229" s="1">
        <v>0</v>
      </c>
      <c r="GC229" s="1">
        <v>38.24</v>
      </c>
      <c r="GD229" s="1">
        <v>36.18</v>
      </c>
      <c r="GE229" s="1">
        <v>16.32</v>
      </c>
      <c r="GF229" s="1">
        <v>15.63</v>
      </c>
      <c r="GG229" s="1">
        <v>38.24</v>
      </c>
      <c r="GH229" s="1">
        <v>36.18</v>
      </c>
      <c r="GI229" s="1">
        <v>16.32</v>
      </c>
      <c r="GJ229" s="1">
        <v>15.63</v>
      </c>
      <c r="GK229" s="1">
        <v>0</v>
      </c>
      <c r="GL229" s="1">
        <v>0</v>
      </c>
      <c r="GM229" s="1">
        <v>0</v>
      </c>
      <c r="GN229" s="1">
        <v>0</v>
      </c>
      <c r="GO229" s="1">
        <v>0</v>
      </c>
      <c r="GP229" s="1">
        <v>0</v>
      </c>
      <c r="GQ229" s="1">
        <v>0</v>
      </c>
      <c r="GR229" s="1">
        <v>0</v>
      </c>
      <c r="GS229" s="1">
        <v>0</v>
      </c>
      <c r="GT229" s="1">
        <v>0</v>
      </c>
      <c r="GU229" s="1">
        <v>0</v>
      </c>
      <c r="GV229" s="1">
        <v>0</v>
      </c>
      <c r="GW229" s="1">
        <v>0</v>
      </c>
      <c r="GX229" s="1">
        <v>0</v>
      </c>
      <c r="GY229" s="1">
        <v>0</v>
      </c>
      <c r="GZ229" s="1">
        <v>0</v>
      </c>
      <c r="HA229" s="1">
        <v>0</v>
      </c>
      <c r="HB229" s="1">
        <v>0</v>
      </c>
      <c r="HC229" s="1">
        <v>0</v>
      </c>
      <c r="HD229" s="1">
        <v>0</v>
      </c>
      <c r="HE229" s="1">
        <v>0</v>
      </c>
      <c r="HF229" s="1">
        <v>0</v>
      </c>
      <c r="HG229" s="1">
        <v>0</v>
      </c>
      <c r="HH229" s="1">
        <v>0</v>
      </c>
      <c r="HI229" s="1">
        <v>0</v>
      </c>
      <c r="HJ229" s="1">
        <v>0</v>
      </c>
      <c r="HK229" s="1">
        <v>0</v>
      </c>
      <c r="HL229" s="1">
        <v>0</v>
      </c>
      <c r="HM229" s="1">
        <v>0</v>
      </c>
      <c r="HN229" s="1">
        <v>0</v>
      </c>
      <c r="HO229" s="1">
        <v>0</v>
      </c>
      <c r="HP229" s="1">
        <v>0</v>
      </c>
      <c r="HQ229" s="1">
        <v>0</v>
      </c>
      <c r="HR229" s="1">
        <v>0</v>
      </c>
      <c r="HS229" s="1">
        <v>0</v>
      </c>
      <c r="HT229" s="1">
        <v>0</v>
      </c>
      <c r="HU229" s="1">
        <v>0</v>
      </c>
      <c r="HV229" s="1">
        <v>0</v>
      </c>
      <c r="HW229" s="1">
        <v>0</v>
      </c>
      <c r="HX229" s="1">
        <v>0</v>
      </c>
      <c r="HY229" s="1">
        <v>0</v>
      </c>
      <c r="HZ229" s="1">
        <v>0</v>
      </c>
      <c r="IA229" s="1">
        <v>0</v>
      </c>
      <c r="IB229" s="1">
        <v>0</v>
      </c>
      <c r="IC229" s="1">
        <v>0</v>
      </c>
      <c r="ID229" s="1">
        <v>0</v>
      </c>
      <c r="IE229" s="1">
        <v>0</v>
      </c>
      <c r="IF229" s="1">
        <v>0</v>
      </c>
      <c r="IG229" s="1">
        <v>0</v>
      </c>
      <c r="IH229" s="1">
        <v>0</v>
      </c>
      <c r="II229" s="1">
        <v>0</v>
      </c>
      <c r="IJ229" s="1">
        <v>0</v>
      </c>
      <c r="IK229" s="1">
        <v>0</v>
      </c>
      <c r="IL229" s="1">
        <v>0</v>
      </c>
      <c r="IM229" s="1">
        <v>0</v>
      </c>
      <c r="IN229" s="1">
        <v>0</v>
      </c>
      <c r="IO229" s="1">
        <v>523.70000000000005</v>
      </c>
      <c r="IP229" s="1">
        <v>659.2</v>
      </c>
      <c r="IQ229" s="1">
        <v>664.7</v>
      </c>
      <c r="IR229" s="1">
        <v>590</v>
      </c>
      <c r="IS229" s="1">
        <v>523.70000000000005</v>
      </c>
      <c r="IT229" s="1">
        <v>659.2</v>
      </c>
      <c r="IU229" s="1">
        <v>664.7</v>
      </c>
      <c r="IV229" s="1">
        <v>590</v>
      </c>
      <c r="IW229" s="1">
        <v>0</v>
      </c>
      <c r="IX229" s="1">
        <v>0</v>
      </c>
      <c r="IY229" s="1">
        <v>0</v>
      </c>
      <c r="IZ229" s="1">
        <v>0</v>
      </c>
      <c r="JA229" s="1">
        <v>0</v>
      </c>
      <c r="JB229" s="1">
        <v>0</v>
      </c>
      <c r="JC229" s="1">
        <v>0</v>
      </c>
      <c r="JD229" s="1">
        <v>0</v>
      </c>
      <c r="JE229" s="1">
        <v>0</v>
      </c>
      <c r="JF229" s="1">
        <v>0</v>
      </c>
      <c r="JG229" s="1">
        <v>0</v>
      </c>
      <c r="JH229" s="1">
        <v>0</v>
      </c>
      <c r="JI229" s="1">
        <v>0</v>
      </c>
      <c r="JJ229" s="1">
        <v>0</v>
      </c>
      <c r="JK229" s="1">
        <v>0</v>
      </c>
      <c r="JL229" s="1">
        <v>0</v>
      </c>
      <c r="JM229" s="1">
        <v>0</v>
      </c>
      <c r="JN229" s="1">
        <v>0</v>
      </c>
      <c r="JO229" s="1">
        <v>0</v>
      </c>
      <c r="JP229" s="1">
        <v>0</v>
      </c>
      <c r="JQ229" s="9"/>
      <c r="JR229" s="1">
        <f t="shared" si="48"/>
        <v>3371.1876000000007</v>
      </c>
      <c r="JS229" s="1">
        <f t="shared" si="48"/>
        <v>3294.7370999999989</v>
      </c>
      <c r="JT229" s="1">
        <f t="shared" si="48"/>
        <v>3160.0854000000013</v>
      </c>
      <c r="JU229" s="1">
        <f t="shared" si="48"/>
        <v>3063.5874000000008</v>
      </c>
      <c r="JV229" s="1">
        <f t="shared" si="49"/>
        <v>624.2940000000001</v>
      </c>
      <c r="JW229" s="1">
        <f t="shared" si="49"/>
        <v>610.13649999999984</v>
      </c>
      <c r="JX229" s="1">
        <f t="shared" si="49"/>
        <v>585.20100000000025</v>
      </c>
      <c r="JY229" s="1">
        <f t="shared" si="49"/>
        <v>567.33100000000013</v>
      </c>
    </row>
    <row r="230" spans="1:285" x14ac:dyDescent="0.35">
      <c r="A230" s="2" t="s">
        <v>237</v>
      </c>
      <c r="B230" s="1">
        <v>148555</v>
      </c>
      <c r="C230" s="1">
        <v>148624</v>
      </c>
      <c r="D230" s="1">
        <v>148698</v>
      </c>
      <c r="E230" s="1">
        <v>149729</v>
      </c>
      <c r="F230" s="1">
        <v>70988.971999999994</v>
      </c>
      <c r="G230" s="1">
        <v>69502.23</v>
      </c>
      <c r="H230" s="1">
        <v>69545.17</v>
      </c>
      <c r="I230" s="1">
        <v>57370.283000000003</v>
      </c>
      <c r="J230" s="1">
        <f t="shared" si="50"/>
        <v>59292.831999999995</v>
      </c>
      <c r="K230" s="1">
        <f t="shared" si="51"/>
        <v>59048.430000000008</v>
      </c>
      <c r="L230" s="1">
        <f t="shared" si="52"/>
        <v>60102.960000000006</v>
      </c>
      <c r="M230" s="1">
        <f t="shared" si="53"/>
        <v>47842.312999999995</v>
      </c>
      <c r="N230" s="1">
        <f t="shared" si="54"/>
        <v>11696.14</v>
      </c>
      <c r="O230" s="1">
        <f t="shared" si="55"/>
        <v>10453.799999999988</v>
      </c>
      <c r="P230" s="1">
        <f t="shared" si="56"/>
        <v>9442.2099999999919</v>
      </c>
      <c r="Q230" s="1">
        <f t="shared" si="57"/>
        <v>9527.9700000000084</v>
      </c>
      <c r="R230" s="1">
        <v>5878.88</v>
      </c>
      <c r="S230" s="1">
        <v>5932.52</v>
      </c>
      <c r="T230" s="1">
        <v>5344.54</v>
      </c>
      <c r="U230" s="1">
        <v>5272.05</v>
      </c>
      <c r="V230" s="1">
        <v>0</v>
      </c>
      <c r="W230" s="1">
        <v>0</v>
      </c>
      <c r="X230" s="1">
        <v>5878.88</v>
      </c>
      <c r="Y230" s="1">
        <v>0</v>
      </c>
      <c r="Z230" s="1">
        <v>0</v>
      </c>
      <c r="AA230" s="1">
        <v>5932.52</v>
      </c>
      <c r="AB230" s="1">
        <v>0</v>
      </c>
      <c r="AC230" s="1">
        <v>0</v>
      </c>
      <c r="AD230" s="1">
        <v>5344.54</v>
      </c>
      <c r="AE230" s="1">
        <v>0</v>
      </c>
      <c r="AF230" s="1">
        <v>0</v>
      </c>
      <c r="AG230" s="1">
        <v>5272.05</v>
      </c>
      <c r="AH230" s="1">
        <v>0</v>
      </c>
      <c r="AI230" s="1">
        <v>0</v>
      </c>
      <c r="AJ230" s="1">
        <v>0</v>
      </c>
      <c r="AK230" s="1">
        <v>0</v>
      </c>
      <c r="AL230" s="1">
        <v>0</v>
      </c>
      <c r="AM230" s="1">
        <v>0</v>
      </c>
      <c r="AN230" s="1">
        <v>0</v>
      </c>
      <c r="AO230" s="1">
        <v>0</v>
      </c>
      <c r="AP230" s="1">
        <v>13336.47</v>
      </c>
      <c r="AQ230" s="1">
        <v>12168.92</v>
      </c>
      <c r="AR230" s="1">
        <v>9832.2200000000012</v>
      </c>
      <c r="AS230" s="1">
        <v>10946.99</v>
      </c>
      <c r="AT230" s="1">
        <v>13336.47</v>
      </c>
      <c r="AU230" s="1">
        <v>0</v>
      </c>
      <c r="AV230" s="1">
        <v>0</v>
      </c>
      <c r="AW230" s="1">
        <v>0</v>
      </c>
      <c r="AX230" s="1">
        <v>12168.92</v>
      </c>
      <c r="AY230" s="1">
        <v>0</v>
      </c>
      <c r="AZ230" s="1">
        <v>0</v>
      </c>
      <c r="BA230" s="1">
        <v>0</v>
      </c>
      <c r="BB230" s="1">
        <v>9832.2200000000012</v>
      </c>
      <c r="BC230" s="1">
        <v>0</v>
      </c>
      <c r="BD230" s="1">
        <v>0</v>
      </c>
      <c r="BE230" s="1">
        <v>10946.99</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28659.18</v>
      </c>
      <c r="BV230" s="1">
        <v>30097.05</v>
      </c>
      <c r="BW230" s="1">
        <v>34843.699999999997</v>
      </c>
      <c r="BX230" s="1">
        <v>22095.86</v>
      </c>
      <c r="BY230" s="1">
        <v>28659.18</v>
      </c>
      <c r="BZ230" s="1">
        <v>30097.05</v>
      </c>
      <c r="CA230" s="1">
        <v>34843.699999999997</v>
      </c>
      <c r="CB230" s="1">
        <v>22095.86</v>
      </c>
      <c r="CC230" s="1">
        <v>0</v>
      </c>
      <c r="CD230" s="1">
        <v>0</v>
      </c>
      <c r="CE230" s="1">
        <v>0</v>
      </c>
      <c r="CF230" s="1">
        <v>0</v>
      </c>
      <c r="CG230" s="1">
        <v>0</v>
      </c>
      <c r="CH230" s="1">
        <v>0</v>
      </c>
      <c r="CI230" s="1">
        <v>0</v>
      </c>
      <c r="CJ230" s="1">
        <v>0</v>
      </c>
      <c r="CK230" s="1">
        <v>0</v>
      </c>
      <c r="CL230" s="1">
        <v>0</v>
      </c>
      <c r="CM230" s="1">
        <v>0</v>
      </c>
      <c r="CN230" s="1">
        <v>0</v>
      </c>
      <c r="CO230" s="1">
        <v>0</v>
      </c>
      <c r="CP230" s="1">
        <v>0</v>
      </c>
      <c r="CQ230" s="1">
        <v>0</v>
      </c>
      <c r="CR230" s="1">
        <v>0</v>
      </c>
      <c r="CS230" s="1">
        <v>4171.7619999999997</v>
      </c>
      <c r="CT230" s="1">
        <v>3600.2</v>
      </c>
      <c r="CU230" s="1">
        <v>3248.09</v>
      </c>
      <c r="CV230" s="1">
        <v>2618.89</v>
      </c>
      <c r="CW230" s="1">
        <v>4171.7619999999997</v>
      </c>
      <c r="CX230" s="1">
        <v>3600.2</v>
      </c>
      <c r="CY230" s="1">
        <v>3248.09</v>
      </c>
      <c r="CZ230" s="1">
        <v>2618.89</v>
      </c>
      <c r="DA230" s="1">
        <v>0</v>
      </c>
      <c r="DB230" s="1">
        <v>0</v>
      </c>
      <c r="DC230" s="1">
        <v>0</v>
      </c>
      <c r="DD230" s="1">
        <v>0</v>
      </c>
      <c r="DE230" s="1">
        <v>0</v>
      </c>
      <c r="DF230" s="1">
        <v>0</v>
      </c>
      <c r="DG230" s="1">
        <v>0</v>
      </c>
      <c r="DH230" s="1">
        <v>0</v>
      </c>
      <c r="DI230" s="1">
        <v>0</v>
      </c>
      <c r="DJ230" s="1">
        <v>0</v>
      </c>
      <c r="DK230" s="1">
        <v>0</v>
      </c>
      <c r="DL230" s="1">
        <v>0</v>
      </c>
      <c r="DM230" s="1">
        <v>5301.45</v>
      </c>
      <c r="DN230" s="1">
        <v>5573.65</v>
      </c>
      <c r="DO230" s="1">
        <v>5034.54</v>
      </c>
      <c r="DP230" s="1">
        <v>5114.83</v>
      </c>
      <c r="DQ230" s="1">
        <v>5301.45</v>
      </c>
      <c r="DR230" s="1">
        <v>5573.65</v>
      </c>
      <c r="DS230" s="1">
        <v>5034.54</v>
      </c>
      <c r="DT230" s="1">
        <v>5114.83</v>
      </c>
      <c r="DU230" s="1">
        <v>0</v>
      </c>
      <c r="DV230" s="1">
        <v>0</v>
      </c>
      <c r="DW230" s="1">
        <v>0</v>
      </c>
      <c r="DX230" s="1">
        <v>0</v>
      </c>
      <c r="DY230" s="1">
        <v>0</v>
      </c>
      <c r="DZ230" s="1">
        <v>0</v>
      </c>
      <c r="EA230" s="1">
        <v>0</v>
      </c>
      <c r="EB230" s="1">
        <v>0</v>
      </c>
      <c r="EC230" s="1">
        <v>0</v>
      </c>
      <c r="ED230" s="1">
        <v>0</v>
      </c>
      <c r="EE230" s="1">
        <v>0</v>
      </c>
      <c r="EF230" s="1">
        <v>0</v>
      </c>
      <c r="EG230" s="1">
        <v>0</v>
      </c>
      <c r="EH230" s="1">
        <v>0</v>
      </c>
      <c r="EI230" s="1">
        <v>0</v>
      </c>
      <c r="EJ230" s="1">
        <v>0</v>
      </c>
      <c r="EK230" s="1">
        <v>1499.21</v>
      </c>
      <c r="EL230" s="1">
        <v>1244.32</v>
      </c>
      <c r="EM230" s="1">
        <v>972.46</v>
      </c>
      <c r="EN230" s="1">
        <v>882.24</v>
      </c>
      <c r="EO230" s="1">
        <v>1499.21</v>
      </c>
      <c r="EP230" s="1">
        <v>1244.32</v>
      </c>
      <c r="EQ230" s="1">
        <v>972.46</v>
      </c>
      <c r="ER230" s="1">
        <v>882.24</v>
      </c>
      <c r="ES230" s="1">
        <v>0</v>
      </c>
      <c r="ET230" s="1">
        <v>0</v>
      </c>
      <c r="EU230" s="1">
        <v>0</v>
      </c>
      <c r="EV230" s="1">
        <v>0</v>
      </c>
      <c r="EW230" s="1">
        <v>0</v>
      </c>
      <c r="EX230" s="1">
        <v>0</v>
      </c>
      <c r="EY230" s="1">
        <v>0</v>
      </c>
      <c r="EZ230" s="1">
        <v>0</v>
      </c>
      <c r="FA230" s="1">
        <v>0</v>
      </c>
      <c r="FB230" s="1">
        <v>0</v>
      </c>
      <c r="FC230" s="1">
        <v>0</v>
      </c>
      <c r="FD230" s="1">
        <v>0</v>
      </c>
      <c r="FE230" s="1">
        <v>66.849999999999994</v>
      </c>
      <c r="FF230" s="1">
        <v>57.650000000000013</v>
      </c>
      <c r="FG230" s="1">
        <v>61.62</v>
      </c>
      <c r="FH230" s="1">
        <v>44.052999999999997</v>
      </c>
      <c r="FI230" s="1">
        <v>42.34</v>
      </c>
      <c r="FJ230" s="1">
        <v>36.83</v>
      </c>
      <c r="FK230" s="1">
        <v>36.67</v>
      </c>
      <c r="FL230" s="1">
        <v>14.63</v>
      </c>
      <c r="FM230" s="1">
        <v>24.51</v>
      </c>
      <c r="FN230" s="1">
        <v>20.82</v>
      </c>
      <c r="FO230" s="1">
        <v>24.95</v>
      </c>
      <c r="FP230" s="1">
        <v>29.422999999999998</v>
      </c>
      <c r="FQ230" s="1">
        <v>0</v>
      </c>
      <c r="FR230" s="1">
        <v>0</v>
      </c>
      <c r="FS230" s="1">
        <v>0</v>
      </c>
      <c r="FT230" s="1">
        <v>0</v>
      </c>
      <c r="FU230" s="1">
        <v>0</v>
      </c>
      <c r="FV230" s="1">
        <v>0</v>
      </c>
      <c r="FW230" s="1">
        <v>0</v>
      </c>
      <c r="FX230" s="1">
        <v>0</v>
      </c>
      <c r="FY230" s="1">
        <v>0</v>
      </c>
      <c r="FZ230" s="1">
        <v>0</v>
      </c>
      <c r="GA230" s="1">
        <v>0</v>
      </c>
      <c r="GB230" s="1">
        <v>0</v>
      </c>
      <c r="GC230" s="1">
        <v>379.03</v>
      </c>
      <c r="GD230" s="1">
        <v>194.8</v>
      </c>
      <c r="GE230" s="1">
        <v>167.17</v>
      </c>
      <c r="GF230" s="1">
        <v>201.52</v>
      </c>
      <c r="GG230" s="1">
        <v>379.03</v>
      </c>
      <c r="GH230" s="1">
        <v>194.8</v>
      </c>
      <c r="GI230" s="1">
        <v>167.17</v>
      </c>
      <c r="GJ230" s="1">
        <v>201.52</v>
      </c>
      <c r="GK230" s="1">
        <v>0</v>
      </c>
      <c r="GL230" s="1">
        <v>0</v>
      </c>
      <c r="GM230" s="1">
        <v>0</v>
      </c>
      <c r="GN230" s="1">
        <v>0</v>
      </c>
      <c r="GO230" s="1">
        <v>0</v>
      </c>
      <c r="GP230" s="1">
        <v>0</v>
      </c>
      <c r="GQ230" s="1">
        <v>0</v>
      </c>
      <c r="GR230" s="1">
        <v>0</v>
      </c>
      <c r="GS230" s="1">
        <v>0</v>
      </c>
      <c r="GT230" s="1">
        <v>0</v>
      </c>
      <c r="GU230" s="1">
        <v>0</v>
      </c>
      <c r="GV230" s="1">
        <v>0</v>
      </c>
      <c r="GW230" s="1">
        <v>0</v>
      </c>
      <c r="GX230" s="1">
        <v>0</v>
      </c>
      <c r="GY230" s="1">
        <v>0</v>
      </c>
      <c r="GZ230" s="1">
        <v>0</v>
      </c>
      <c r="HA230" s="1">
        <v>0</v>
      </c>
      <c r="HB230" s="1">
        <v>0</v>
      </c>
      <c r="HC230" s="1">
        <v>0</v>
      </c>
      <c r="HD230" s="1">
        <v>0</v>
      </c>
      <c r="HE230" s="1">
        <v>0</v>
      </c>
      <c r="HF230" s="1">
        <v>0</v>
      </c>
      <c r="HG230" s="1">
        <v>0</v>
      </c>
      <c r="HH230" s="1">
        <v>0</v>
      </c>
      <c r="HI230" s="1">
        <v>0</v>
      </c>
      <c r="HJ230" s="1">
        <v>0</v>
      </c>
      <c r="HK230" s="1">
        <v>0</v>
      </c>
      <c r="HL230" s="1">
        <v>0</v>
      </c>
      <c r="HM230" s="1">
        <v>0</v>
      </c>
      <c r="HN230" s="1">
        <v>0</v>
      </c>
      <c r="HO230" s="1">
        <v>0</v>
      </c>
      <c r="HP230" s="1">
        <v>0</v>
      </c>
      <c r="HQ230" s="1">
        <v>0</v>
      </c>
      <c r="HR230" s="1">
        <v>0</v>
      </c>
      <c r="HS230" s="1">
        <v>0</v>
      </c>
      <c r="HT230" s="1">
        <v>0</v>
      </c>
      <c r="HU230" s="1">
        <v>0</v>
      </c>
      <c r="HV230" s="1">
        <v>0</v>
      </c>
      <c r="HW230" s="1">
        <v>0</v>
      </c>
      <c r="HX230" s="1">
        <v>0</v>
      </c>
      <c r="HY230" s="1">
        <v>0</v>
      </c>
      <c r="HZ230" s="1">
        <v>0</v>
      </c>
      <c r="IA230" s="1">
        <v>0</v>
      </c>
      <c r="IB230" s="1">
        <v>0</v>
      </c>
      <c r="IC230" s="1">
        <v>0</v>
      </c>
      <c r="ID230" s="1">
        <v>0</v>
      </c>
      <c r="IE230" s="1">
        <v>0</v>
      </c>
      <c r="IF230" s="1">
        <v>0</v>
      </c>
      <c r="IG230" s="1">
        <v>0</v>
      </c>
      <c r="IH230" s="1">
        <v>0</v>
      </c>
      <c r="II230" s="1">
        <v>0</v>
      </c>
      <c r="IJ230" s="1">
        <v>0</v>
      </c>
      <c r="IK230" s="1">
        <v>0</v>
      </c>
      <c r="IL230" s="1">
        <v>0</v>
      </c>
      <c r="IM230" s="1">
        <v>0</v>
      </c>
      <c r="IN230" s="1">
        <v>0</v>
      </c>
      <c r="IO230" s="1">
        <v>0</v>
      </c>
      <c r="IP230" s="1">
        <v>179.32</v>
      </c>
      <c r="IQ230" s="1">
        <v>598.62</v>
      </c>
      <c r="IR230" s="1">
        <v>665.88</v>
      </c>
      <c r="IS230" s="1">
        <v>0</v>
      </c>
      <c r="IT230" s="1">
        <v>179.32</v>
      </c>
      <c r="IU230" s="1">
        <v>598.62</v>
      </c>
      <c r="IV230" s="1">
        <v>665.88</v>
      </c>
      <c r="IW230" s="1">
        <v>0</v>
      </c>
      <c r="IX230" s="1">
        <v>0</v>
      </c>
      <c r="IY230" s="1">
        <v>0</v>
      </c>
      <c r="IZ230" s="1">
        <v>0</v>
      </c>
      <c r="JA230" s="1">
        <v>0</v>
      </c>
      <c r="JB230" s="1">
        <v>0</v>
      </c>
      <c r="JC230" s="1">
        <v>0</v>
      </c>
      <c r="JD230" s="1">
        <v>0</v>
      </c>
      <c r="JE230" s="1">
        <v>0</v>
      </c>
      <c r="JF230" s="1">
        <v>0</v>
      </c>
      <c r="JG230" s="1">
        <v>0</v>
      </c>
      <c r="JH230" s="1">
        <v>0</v>
      </c>
      <c r="JI230" s="1">
        <v>0</v>
      </c>
      <c r="JJ230" s="1">
        <v>0</v>
      </c>
      <c r="JK230" s="1">
        <v>0</v>
      </c>
      <c r="JL230" s="1">
        <v>0</v>
      </c>
      <c r="JM230" s="1">
        <v>0</v>
      </c>
      <c r="JN230" s="1">
        <v>0</v>
      </c>
      <c r="JO230" s="1">
        <v>0</v>
      </c>
      <c r="JP230" s="1">
        <v>0</v>
      </c>
      <c r="JQ230" s="9"/>
      <c r="JR230" s="1">
        <f t="shared" si="48"/>
        <v>3157.9578000000001</v>
      </c>
      <c r="JS230" s="1">
        <f t="shared" si="48"/>
        <v>2822.5259999999971</v>
      </c>
      <c r="JT230" s="1">
        <f t="shared" si="48"/>
        <v>2549.396699999998</v>
      </c>
      <c r="JU230" s="1">
        <f t="shared" si="48"/>
        <v>2572.5519000000027</v>
      </c>
      <c r="JV230" s="1">
        <f t="shared" si="49"/>
        <v>584.80700000000002</v>
      </c>
      <c r="JW230" s="1">
        <f t="shared" si="49"/>
        <v>522.68999999999949</v>
      </c>
      <c r="JX230" s="1">
        <f t="shared" si="49"/>
        <v>472.1104999999996</v>
      </c>
      <c r="JY230" s="1">
        <f t="shared" si="49"/>
        <v>476.39850000000047</v>
      </c>
    </row>
    <row r="231" spans="1:285" x14ac:dyDescent="0.35">
      <c r="A231" s="2" t="s">
        <v>238</v>
      </c>
      <c r="B231" s="1">
        <v>182102</v>
      </c>
      <c r="C231" s="1">
        <v>183394</v>
      </c>
      <c r="D231" s="1">
        <v>185001</v>
      </c>
      <c r="E231" s="1">
        <v>186929</v>
      </c>
      <c r="F231" s="1">
        <v>68799.149000000005</v>
      </c>
      <c r="G231" s="1">
        <v>75643.047000000006</v>
      </c>
      <c r="H231" s="1">
        <v>43508.678</v>
      </c>
      <c r="I231" s="1">
        <v>28331.296999999999</v>
      </c>
      <c r="J231" s="1">
        <f t="shared" si="50"/>
        <v>63444.618999999999</v>
      </c>
      <c r="K231" s="1">
        <f t="shared" si="51"/>
        <v>68075.777000000002</v>
      </c>
      <c r="L231" s="1">
        <f t="shared" si="52"/>
        <v>38635.958000000006</v>
      </c>
      <c r="M231" s="1">
        <f t="shared" si="53"/>
        <v>23943.277000000002</v>
      </c>
      <c r="N231" s="1">
        <f t="shared" si="54"/>
        <v>5354.5300000000061</v>
      </c>
      <c r="O231" s="1">
        <f t="shared" si="55"/>
        <v>7567.2700000000041</v>
      </c>
      <c r="P231" s="1">
        <f t="shared" si="56"/>
        <v>4872.7199999999939</v>
      </c>
      <c r="Q231" s="1">
        <f t="shared" si="57"/>
        <v>4388.0199999999968</v>
      </c>
      <c r="R231" s="1">
        <v>3180.84</v>
      </c>
      <c r="S231" s="1">
        <v>3661.66</v>
      </c>
      <c r="T231" s="1">
        <v>3204.26</v>
      </c>
      <c r="U231" s="1">
        <v>2979.1800000000003</v>
      </c>
      <c r="V231" s="1">
        <v>0</v>
      </c>
      <c r="W231" s="1">
        <v>0</v>
      </c>
      <c r="X231" s="1">
        <v>3180.84</v>
      </c>
      <c r="Y231" s="1">
        <v>0</v>
      </c>
      <c r="Z231" s="1">
        <v>0</v>
      </c>
      <c r="AA231" s="1">
        <v>3661.66</v>
      </c>
      <c r="AB231" s="1">
        <v>0</v>
      </c>
      <c r="AC231" s="1">
        <v>0</v>
      </c>
      <c r="AD231" s="1">
        <v>3204.26</v>
      </c>
      <c r="AE231" s="1">
        <v>0</v>
      </c>
      <c r="AF231" s="1">
        <v>0</v>
      </c>
      <c r="AG231" s="1">
        <v>2979.1800000000003</v>
      </c>
      <c r="AH231" s="1">
        <v>0</v>
      </c>
      <c r="AI231" s="1">
        <v>0</v>
      </c>
      <c r="AJ231" s="1">
        <v>0</v>
      </c>
      <c r="AK231" s="1">
        <v>0</v>
      </c>
      <c r="AL231" s="1">
        <v>0</v>
      </c>
      <c r="AM231" s="1">
        <v>0</v>
      </c>
      <c r="AN231" s="1">
        <v>0</v>
      </c>
      <c r="AO231" s="1">
        <v>0</v>
      </c>
      <c r="AP231" s="1">
        <v>6401.07</v>
      </c>
      <c r="AQ231" s="1">
        <v>7655.5499999999993</v>
      </c>
      <c r="AR231" s="1">
        <v>6857.7400000000007</v>
      </c>
      <c r="AS231" s="1">
        <v>7062.44</v>
      </c>
      <c r="AT231" s="1">
        <v>0</v>
      </c>
      <c r="AU231" s="1">
        <v>6401.07</v>
      </c>
      <c r="AV231" s="1">
        <v>0</v>
      </c>
      <c r="AW231" s="1">
        <v>0</v>
      </c>
      <c r="AX231" s="1">
        <v>0</v>
      </c>
      <c r="AY231" s="1">
        <v>7655.5499999999993</v>
      </c>
      <c r="AZ231" s="1">
        <v>0</v>
      </c>
      <c r="BA231" s="1">
        <v>0</v>
      </c>
      <c r="BB231" s="1">
        <v>0</v>
      </c>
      <c r="BC231" s="1">
        <v>6857.7400000000007</v>
      </c>
      <c r="BD231" s="1">
        <v>0</v>
      </c>
      <c r="BE231" s="1">
        <v>0</v>
      </c>
      <c r="BF231" s="1">
        <v>7062.44</v>
      </c>
      <c r="BG231" s="1">
        <v>0</v>
      </c>
      <c r="BH231" s="1">
        <v>0</v>
      </c>
      <c r="BI231" s="1">
        <v>0</v>
      </c>
      <c r="BJ231" s="1">
        <v>0</v>
      </c>
      <c r="BK231" s="1">
        <v>0</v>
      </c>
      <c r="BL231" s="1">
        <v>0</v>
      </c>
      <c r="BM231" s="1">
        <v>0</v>
      </c>
      <c r="BN231" s="1">
        <v>0</v>
      </c>
      <c r="BO231" s="1">
        <v>0</v>
      </c>
      <c r="BP231" s="1">
        <v>0</v>
      </c>
      <c r="BQ231" s="1">
        <v>0</v>
      </c>
      <c r="BR231" s="1">
        <v>0</v>
      </c>
      <c r="BS231" s="1">
        <v>0</v>
      </c>
      <c r="BT231" s="1">
        <v>0</v>
      </c>
      <c r="BU231" s="1">
        <v>20731.34</v>
      </c>
      <c r="BV231" s="1">
        <v>22319.41</v>
      </c>
      <c r="BW231" s="1">
        <v>10426.040000000001</v>
      </c>
      <c r="BX231" s="1">
        <v>4515.3500000000004</v>
      </c>
      <c r="BY231" s="1">
        <v>20731.34</v>
      </c>
      <c r="BZ231" s="1">
        <v>22319.41</v>
      </c>
      <c r="CA231" s="1">
        <v>10426.040000000001</v>
      </c>
      <c r="CB231" s="1">
        <v>4515.3500000000004</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10120.280000000001</v>
      </c>
      <c r="CT231" s="1">
        <v>10370.32</v>
      </c>
      <c r="CU231" s="1">
        <v>3847.32</v>
      </c>
      <c r="CV231" s="1">
        <v>1697.41</v>
      </c>
      <c r="CW231" s="1">
        <v>10120.280000000001</v>
      </c>
      <c r="CX231" s="1">
        <v>10370.32</v>
      </c>
      <c r="CY231" s="1">
        <v>3847.32</v>
      </c>
      <c r="CZ231" s="1">
        <v>1697.41</v>
      </c>
      <c r="DA231" s="1">
        <v>0</v>
      </c>
      <c r="DB231" s="1">
        <v>0</v>
      </c>
      <c r="DC231" s="1">
        <v>0</v>
      </c>
      <c r="DD231" s="1">
        <v>0</v>
      </c>
      <c r="DE231" s="1">
        <v>0</v>
      </c>
      <c r="DF231" s="1">
        <v>0</v>
      </c>
      <c r="DG231" s="1">
        <v>0</v>
      </c>
      <c r="DH231" s="1">
        <v>0</v>
      </c>
      <c r="DI231" s="1">
        <v>0</v>
      </c>
      <c r="DJ231" s="1">
        <v>0</v>
      </c>
      <c r="DK231" s="1">
        <v>0</v>
      </c>
      <c r="DL231" s="1">
        <v>0</v>
      </c>
      <c r="DM231" s="1">
        <v>10873.78</v>
      </c>
      <c r="DN231" s="1">
        <v>11817.965</v>
      </c>
      <c r="DO231" s="1">
        <v>6055.7669999999998</v>
      </c>
      <c r="DP231" s="1">
        <v>4008.1770000000001</v>
      </c>
      <c r="DQ231" s="1">
        <v>10873.78</v>
      </c>
      <c r="DR231" s="1">
        <v>11817.965</v>
      </c>
      <c r="DS231" s="1">
        <v>6055.7669999999998</v>
      </c>
      <c r="DT231" s="1">
        <v>4008.1770000000001</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10132.459999999999</v>
      </c>
      <c r="EL231" s="1">
        <v>10338.82</v>
      </c>
      <c r="EM231" s="1">
        <v>6368.73</v>
      </c>
      <c r="EN231" s="1">
        <v>1435.83</v>
      </c>
      <c r="EO231" s="1">
        <v>10132.459999999999</v>
      </c>
      <c r="EP231" s="1">
        <v>10338.82</v>
      </c>
      <c r="EQ231" s="1">
        <v>6368.73</v>
      </c>
      <c r="ER231" s="1">
        <v>1435.83</v>
      </c>
      <c r="ES231" s="1">
        <v>0</v>
      </c>
      <c r="ET231" s="1">
        <v>0</v>
      </c>
      <c r="EU231" s="1">
        <v>0</v>
      </c>
      <c r="EV231" s="1">
        <v>0</v>
      </c>
      <c r="EW231" s="1">
        <v>0</v>
      </c>
      <c r="EX231" s="1">
        <v>0</v>
      </c>
      <c r="EY231" s="1">
        <v>0</v>
      </c>
      <c r="EZ231" s="1">
        <v>0</v>
      </c>
      <c r="FA231" s="1">
        <v>0</v>
      </c>
      <c r="FB231" s="1">
        <v>0</v>
      </c>
      <c r="FC231" s="1">
        <v>0</v>
      </c>
      <c r="FD231" s="1">
        <v>0</v>
      </c>
      <c r="FE231" s="1">
        <v>22.489000000000001</v>
      </c>
      <c r="FF231" s="1">
        <v>29.292000000000002</v>
      </c>
      <c r="FG231" s="1">
        <v>21.481000000000002</v>
      </c>
      <c r="FH231" s="1">
        <v>33.92</v>
      </c>
      <c r="FI231" s="1">
        <v>22.489000000000001</v>
      </c>
      <c r="FJ231" s="1">
        <v>29.292000000000002</v>
      </c>
      <c r="FK231" s="1">
        <v>21.481000000000002</v>
      </c>
      <c r="FL231" s="1">
        <v>33.92</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v>0</v>
      </c>
      <c r="GC231" s="1">
        <v>53.1</v>
      </c>
      <c r="GD231" s="1">
        <v>77.58</v>
      </c>
      <c r="GE231" s="1">
        <v>70.33</v>
      </c>
      <c r="GF231" s="1">
        <v>78.83</v>
      </c>
      <c r="GG231" s="1">
        <v>53.1</v>
      </c>
      <c r="GH231" s="1">
        <v>77.58</v>
      </c>
      <c r="GI231" s="1">
        <v>70.33</v>
      </c>
      <c r="GJ231" s="1">
        <v>78.83</v>
      </c>
      <c r="GK231" s="1">
        <v>0</v>
      </c>
      <c r="GL231" s="1">
        <v>0</v>
      </c>
      <c r="GM231" s="1">
        <v>0</v>
      </c>
      <c r="GN231" s="1">
        <v>0</v>
      </c>
      <c r="GO231" s="1">
        <v>0</v>
      </c>
      <c r="GP231" s="1">
        <v>0</v>
      </c>
      <c r="GQ231" s="1">
        <v>0</v>
      </c>
      <c r="GR231" s="1">
        <v>0</v>
      </c>
      <c r="GS231" s="1">
        <v>0</v>
      </c>
      <c r="GT231" s="1">
        <v>0</v>
      </c>
      <c r="GU231" s="1">
        <v>0</v>
      </c>
      <c r="GV231" s="1">
        <v>0</v>
      </c>
      <c r="GW231" s="1">
        <v>0</v>
      </c>
      <c r="GX231" s="1">
        <v>0</v>
      </c>
      <c r="GY231" s="1">
        <v>0</v>
      </c>
      <c r="GZ231" s="1">
        <v>0</v>
      </c>
      <c r="HA231" s="1">
        <v>0</v>
      </c>
      <c r="HB231" s="1">
        <v>0</v>
      </c>
      <c r="HC231" s="1">
        <v>0</v>
      </c>
      <c r="HD231" s="1">
        <v>0</v>
      </c>
      <c r="HE231" s="1">
        <v>0</v>
      </c>
      <c r="HF231" s="1">
        <v>0</v>
      </c>
      <c r="HG231" s="1">
        <v>0</v>
      </c>
      <c r="HH231" s="1">
        <v>0</v>
      </c>
      <c r="HI231" s="1">
        <v>0</v>
      </c>
      <c r="HJ231" s="1">
        <v>0</v>
      </c>
      <c r="HK231" s="1">
        <v>0</v>
      </c>
      <c r="HL231" s="1">
        <v>0</v>
      </c>
      <c r="HM231" s="1">
        <v>0</v>
      </c>
      <c r="HN231" s="1">
        <v>0</v>
      </c>
      <c r="HO231" s="1">
        <v>0</v>
      </c>
      <c r="HP231" s="1">
        <v>0</v>
      </c>
      <c r="HQ231" s="1">
        <v>0</v>
      </c>
      <c r="HR231" s="1">
        <v>0</v>
      </c>
      <c r="HS231" s="1">
        <v>0</v>
      </c>
      <c r="HT231" s="1">
        <v>0</v>
      </c>
      <c r="HU231" s="1">
        <v>0</v>
      </c>
      <c r="HV231" s="1">
        <v>0</v>
      </c>
      <c r="HW231" s="1">
        <v>0</v>
      </c>
      <c r="HX231" s="1">
        <v>0</v>
      </c>
      <c r="HY231" s="1">
        <v>0</v>
      </c>
      <c r="HZ231" s="1">
        <v>0</v>
      </c>
      <c r="IA231" s="1">
        <v>0</v>
      </c>
      <c r="IB231" s="1">
        <v>0</v>
      </c>
      <c r="IC231" s="1">
        <v>0</v>
      </c>
      <c r="ID231" s="1">
        <v>0</v>
      </c>
      <c r="IE231" s="1">
        <v>0</v>
      </c>
      <c r="IF231" s="1">
        <v>0</v>
      </c>
      <c r="IG231" s="1">
        <v>0</v>
      </c>
      <c r="IH231" s="1">
        <v>0</v>
      </c>
      <c r="II231" s="1">
        <v>0</v>
      </c>
      <c r="IJ231" s="1">
        <v>0</v>
      </c>
      <c r="IK231" s="1">
        <v>0</v>
      </c>
      <c r="IL231" s="1">
        <v>0</v>
      </c>
      <c r="IM231" s="1">
        <v>0</v>
      </c>
      <c r="IN231" s="1">
        <v>0</v>
      </c>
      <c r="IO231" s="1">
        <v>1929.26</v>
      </c>
      <c r="IP231" s="1">
        <v>1805.18</v>
      </c>
      <c r="IQ231" s="1">
        <v>1784.29</v>
      </c>
      <c r="IR231" s="1">
        <v>2132.14</v>
      </c>
      <c r="IS231" s="1">
        <v>1929.26</v>
      </c>
      <c r="IT231" s="1">
        <v>1805.18</v>
      </c>
      <c r="IU231" s="1">
        <v>1784.29</v>
      </c>
      <c r="IV231" s="1">
        <v>2132.14</v>
      </c>
      <c r="IW231" s="1">
        <v>0</v>
      </c>
      <c r="IX231" s="1">
        <v>0</v>
      </c>
      <c r="IY231" s="1">
        <v>0</v>
      </c>
      <c r="IZ231" s="1">
        <v>0</v>
      </c>
      <c r="JA231" s="1">
        <v>0</v>
      </c>
      <c r="JB231" s="1">
        <v>0</v>
      </c>
      <c r="JC231" s="1">
        <v>0</v>
      </c>
      <c r="JD231" s="1">
        <v>0</v>
      </c>
      <c r="JE231" s="1">
        <v>0</v>
      </c>
      <c r="JF231" s="1">
        <v>0</v>
      </c>
      <c r="JG231" s="1">
        <v>0</v>
      </c>
      <c r="JH231" s="1">
        <v>0</v>
      </c>
      <c r="JI231" s="1">
        <v>0</v>
      </c>
      <c r="JJ231" s="1">
        <v>0</v>
      </c>
      <c r="JK231" s="1">
        <v>0</v>
      </c>
      <c r="JL231" s="1">
        <v>0</v>
      </c>
      <c r="JM231" s="1">
        <v>0</v>
      </c>
      <c r="JN231" s="1">
        <v>0</v>
      </c>
      <c r="JO231" s="1">
        <v>0</v>
      </c>
      <c r="JP231" s="1">
        <v>0</v>
      </c>
      <c r="JQ231" s="9"/>
      <c r="JR231" s="1">
        <f t="shared" si="48"/>
        <v>1445.7231000000018</v>
      </c>
      <c r="JS231" s="1">
        <f t="shared" si="48"/>
        <v>2043.1629000000012</v>
      </c>
      <c r="JT231" s="1">
        <f t="shared" si="48"/>
        <v>1315.6343999999985</v>
      </c>
      <c r="JU231" s="1">
        <f t="shared" si="48"/>
        <v>1184.7653999999993</v>
      </c>
      <c r="JV231" s="1">
        <f t="shared" si="49"/>
        <v>267.72650000000033</v>
      </c>
      <c r="JW231" s="1">
        <f t="shared" si="49"/>
        <v>378.36350000000022</v>
      </c>
      <c r="JX231" s="1">
        <f t="shared" si="49"/>
        <v>243.63599999999971</v>
      </c>
      <c r="JY231" s="1">
        <f t="shared" si="49"/>
        <v>219.40099999999984</v>
      </c>
    </row>
    <row r="232" spans="1:285" x14ac:dyDescent="0.35">
      <c r="A232" s="2" t="s">
        <v>239</v>
      </c>
      <c r="B232" s="1">
        <v>135685</v>
      </c>
      <c r="C232" s="1">
        <v>137201</v>
      </c>
      <c r="D232" s="1">
        <v>138596</v>
      </c>
      <c r="E232" s="1">
        <v>140227</v>
      </c>
      <c r="F232" s="1">
        <v>45018.46</v>
      </c>
      <c r="G232" s="1">
        <v>44023.23</v>
      </c>
      <c r="H232" s="1">
        <v>39985.870000000003</v>
      </c>
      <c r="I232" s="1">
        <v>38456.46</v>
      </c>
      <c r="J232" s="1">
        <f t="shared" si="50"/>
        <v>30138.799999999999</v>
      </c>
      <c r="K232" s="1">
        <f t="shared" si="51"/>
        <v>29398.57</v>
      </c>
      <c r="L232" s="1">
        <f t="shared" si="52"/>
        <v>26413.49</v>
      </c>
      <c r="M232" s="1">
        <f t="shared" si="53"/>
        <v>25145.3</v>
      </c>
      <c r="N232" s="1">
        <f t="shared" si="54"/>
        <v>14879.66</v>
      </c>
      <c r="O232" s="1">
        <f t="shared" si="55"/>
        <v>14624.660000000003</v>
      </c>
      <c r="P232" s="1">
        <f t="shared" si="56"/>
        <v>13572.380000000001</v>
      </c>
      <c r="Q232" s="1">
        <f t="shared" si="57"/>
        <v>13311.16</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1">
        <v>0</v>
      </c>
      <c r="AL232" s="1">
        <v>0</v>
      </c>
      <c r="AM232" s="1">
        <v>0</v>
      </c>
      <c r="AN232" s="1">
        <v>0</v>
      </c>
      <c r="AO232" s="1">
        <v>0</v>
      </c>
      <c r="AP232" s="1">
        <v>14266.980000000001</v>
      </c>
      <c r="AQ232" s="1">
        <v>11954.77</v>
      </c>
      <c r="AR232" s="1">
        <v>10808.95</v>
      </c>
      <c r="AS232" s="1">
        <v>12211.9</v>
      </c>
      <c r="AT232" s="1">
        <v>0</v>
      </c>
      <c r="AU232" s="1">
        <v>14266.980000000001</v>
      </c>
      <c r="AV232" s="1">
        <v>0</v>
      </c>
      <c r="AW232" s="1">
        <v>0</v>
      </c>
      <c r="AX232" s="1">
        <v>0</v>
      </c>
      <c r="AY232" s="1">
        <v>11954.77</v>
      </c>
      <c r="AZ232" s="1">
        <v>0</v>
      </c>
      <c r="BA232" s="1">
        <v>0</v>
      </c>
      <c r="BB232" s="1">
        <v>0</v>
      </c>
      <c r="BC232" s="1">
        <v>10808.95</v>
      </c>
      <c r="BD232" s="1">
        <v>0</v>
      </c>
      <c r="BE232" s="1">
        <v>0</v>
      </c>
      <c r="BF232" s="1">
        <v>12211.9</v>
      </c>
      <c r="BG232" s="1">
        <v>0</v>
      </c>
      <c r="BH232" s="1">
        <v>0</v>
      </c>
      <c r="BI232" s="1">
        <v>0</v>
      </c>
      <c r="BJ232" s="1">
        <v>0</v>
      </c>
      <c r="BK232" s="1">
        <v>0</v>
      </c>
      <c r="BL232" s="1">
        <v>0</v>
      </c>
      <c r="BM232" s="1">
        <v>0</v>
      </c>
      <c r="BN232" s="1">
        <v>0</v>
      </c>
      <c r="BO232" s="1">
        <v>0</v>
      </c>
      <c r="BP232" s="1">
        <v>0</v>
      </c>
      <c r="BQ232" s="1">
        <v>0</v>
      </c>
      <c r="BR232" s="1">
        <v>0</v>
      </c>
      <c r="BS232" s="1">
        <v>0</v>
      </c>
      <c r="BT232" s="1">
        <v>0</v>
      </c>
      <c r="BU232" s="1">
        <v>7629.38</v>
      </c>
      <c r="BV232" s="1">
        <v>8745.7599999999984</v>
      </c>
      <c r="BW232" s="1">
        <v>7789.72</v>
      </c>
      <c r="BX232" s="1">
        <v>5677.2800000000007</v>
      </c>
      <c r="BY232" s="1">
        <v>7629.38</v>
      </c>
      <c r="BZ232" s="1">
        <v>8745.7599999999984</v>
      </c>
      <c r="CA232" s="1">
        <v>7789.72</v>
      </c>
      <c r="CB232" s="1">
        <v>5677.2800000000007</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1186.82</v>
      </c>
      <c r="CT232" s="1">
        <v>1228.92</v>
      </c>
      <c r="CU232" s="1">
        <v>1458.77</v>
      </c>
      <c r="CV232" s="1">
        <v>1523.12</v>
      </c>
      <c r="CW232" s="1">
        <v>1186.82</v>
      </c>
      <c r="CX232" s="1">
        <v>1228.92</v>
      </c>
      <c r="CY232" s="1">
        <v>1458.77</v>
      </c>
      <c r="CZ232" s="1">
        <v>1523.12</v>
      </c>
      <c r="DA232" s="1">
        <v>0</v>
      </c>
      <c r="DB232" s="1">
        <v>0</v>
      </c>
      <c r="DC232" s="1">
        <v>0</v>
      </c>
      <c r="DD232" s="1">
        <v>0</v>
      </c>
      <c r="DE232" s="1">
        <v>0</v>
      </c>
      <c r="DF232" s="1">
        <v>0</v>
      </c>
      <c r="DG232" s="1">
        <v>0</v>
      </c>
      <c r="DH232" s="1">
        <v>0</v>
      </c>
      <c r="DI232" s="1">
        <v>0</v>
      </c>
      <c r="DJ232" s="1">
        <v>0</v>
      </c>
      <c r="DK232" s="1">
        <v>0</v>
      </c>
      <c r="DL232" s="1">
        <v>0</v>
      </c>
      <c r="DM232" s="1">
        <v>5886.7999999999993</v>
      </c>
      <c r="DN232" s="1">
        <v>6104</v>
      </c>
      <c r="DO232" s="1">
        <v>5045.87</v>
      </c>
      <c r="DP232" s="1">
        <v>4218.59</v>
      </c>
      <c r="DQ232" s="1">
        <v>5886.7999999999993</v>
      </c>
      <c r="DR232" s="1">
        <v>6104</v>
      </c>
      <c r="DS232" s="1">
        <v>5045.87</v>
      </c>
      <c r="DT232" s="1">
        <v>4218.59</v>
      </c>
      <c r="DU232" s="1">
        <v>0</v>
      </c>
      <c r="DV232" s="1">
        <v>0</v>
      </c>
      <c r="DW232" s="1">
        <v>0</v>
      </c>
      <c r="DX232" s="1">
        <v>0</v>
      </c>
      <c r="DY232" s="1">
        <v>0</v>
      </c>
      <c r="DZ232" s="1">
        <v>0</v>
      </c>
      <c r="EA232" s="1">
        <v>0</v>
      </c>
      <c r="EB232" s="1">
        <v>0</v>
      </c>
      <c r="EC232" s="1">
        <v>0</v>
      </c>
      <c r="ED232" s="1">
        <v>0</v>
      </c>
      <c r="EE232" s="1">
        <v>0</v>
      </c>
      <c r="EF232" s="1">
        <v>0</v>
      </c>
      <c r="EG232" s="1">
        <v>0</v>
      </c>
      <c r="EH232" s="1">
        <v>0</v>
      </c>
      <c r="EI232" s="1">
        <v>0</v>
      </c>
      <c r="EJ232" s="1">
        <v>0</v>
      </c>
      <c r="EK232" s="1">
        <v>797.08999999999992</v>
      </c>
      <c r="EL232" s="1">
        <v>695.8</v>
      </c>
      <c r="EM232" s="1">
        <v>737.04</v>
      </c>
      <c r="EN232" s="1">
        <v>870.16000000000008</v>
      </c>
      <c r="EO232" s="1">
        <v>797.08999999999992</v>
      </c>
      <c r="EP232" s="1">
        <v>695.8</v>
      </c>
      <c r="EQ232" s="1">
        <v>737.04</v>
      </c>
      <c r="ER232" s="1">
        <v>870.16000000000008</v>
      </c>
      <c r="ES232" s="1">
        <v>0</v>
      </c>
      <c r="ET232" s="1">
        <v>0</v>
      </c>
      <c r="EU232" s="1">
        <v>0</v>
      </c>
      <c r="EV232" s="1">
        <v>0</v>
      </c>
      <c r="EW232" s="1">
        <v>0</v>
      </c>
      <c r="EX232" s="1">
        <v>0</v>
      </c>
      <c r="EY232" s="1">
        <v>0</v>
      </c>
      <c r="EZ232" s="1">
        <v>0</v>
      </c>
      <c r="FA232" s="1">
        <v>0</v>
      </c>
      <c r="FB232" s="1">
        <v>0</v>
      </c>
      <c r="FC232" s="1">
        <v>0</v>
      </c>
      <c r="FD232" s="1">
        <v>0</v>
      </c>
      <c r="FE232" s="1">
        <v>6.6399999999999988</v>
      </c>
      <c r="FF232" s="1">
        <v>4.72</v>
      </c>
      <c r="FG232" s="1">
        <v>2.7</v>
      </c>
      <c r="FH232" s="1">
        <v>2.2999999999999998</v>
      </c>
      <c r="FI232" s="1">
        <v>6.6399999999999988</v>
      </c>
      <c r="FJ232" s="1">
        <v>4.72</v>
      </c>
      <c r="FK232" s="1">
        <v>2.7</v>
      </c>
      <c r="FL232" s="1">
        <v>2.2999999999999998</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v>0</v>
      </c>
      <c r="GC232" s="1">
        <v>20.12</v>
      </c>
      <c r="GD232" s="1">
        <v>21.08</v>
      </c>
      <c r="GE232" s="1">
        <v>8.68</v>
      </c>
      <c r="GF232" s="1">
        <v>13.64</v>
      </c>
      <c r="GG232" s="1">
        <v>20.12</v>
      </c>
      <c r="GH232" s="1">
        <v>21.08</v>
      </c>
      <c r="GI232" s="1">
        <v>8.68</v>
      </c>
      <c r="GJ232" s="1">
        <v>13.64</v>
      </c>
      <c r="GK232" s="1">
        <v>0</v>
      </c>
      <c r="GL232" s="1">
        <v>0</v>
      </c>
      <c r="GM232" s="1">
        <v>0</v>
      </c>
      <c r="GN232" s="1">
        <v>0</v>
      </c>
      <c r="GO232" s="1">
        <v>0</v>
      </c>
      <c r="GP232" s="1">
        <v>0</v>
      </c>
      <c r="GQ232" s="1">
        <v>0</v>
      </c>
      <c r="GR232" s="1">
        <v>0</v>
      </c>
      <c r="GS232" s="1">
        <v>0</v>
      </c>
      <c r="GT232" s="1">
        <v>0</v>
      </c>
      <c r="GU232" s="1">
        <v>0</v>
      </c>
      <c r="GV232" s="1">
        <v>0</v>
      </c>
      <c r="GW232" s="1">
        <v>0</v>
      </c>
      <c r="GX232" s="1">
        <v>0</v>
      </c>
      <c r="GY232" s="1">
        <v>0</v>
      </c>
      <c r="GZ232" s="1">
        <v>0</v>
      </c>
      <c r="HA232" s="1">
        <v>0</v>
      </c>
      <c r="HB232" s="1">
        <v>0</v>
      </c>
      <c r="HC232" s="1">
        <v>0</v>
      </c>
      <c r="HD232" s="1">
        <v>0</v>
      </c>
      <c r="HE232" s="1">
        <v>0</v>
      </c>
      <c r="HF232" s="1">
        <v>0</v>
      </c>
      <c r="HG232" s="1">
        <v>0</v>
      </c>
      <c r="HH232" s="1">
        <v>0</v>
      </c>
      <c r="HI232" s="1">
        <v>0</v>
      </c>
      <c r="HJ232" s="1">
        <v>0</v>
      </c>
      <c r="HK232" s="1">
        <v>0</v>
      </c>
      <c r="HL232" s="1">
        <v>0</v>
      </c>
      <c r="HM232" s="1">
        <v>0</v>
      </c>
      <c r="HN232" s="1">
        <v>0</v>
      </c>
      <c r="HO232" s="1">
        <v>0</v>
      </c>
      <c r="HP232" s="1">
        <v>0</v>
      </c>
      <c r="HQ232" s="1">
        <v>0</v>
      </c>
      <c r="HR232" s="1">
        <v>0</v>
      </c>
      <c r="HS232" s="1">
        <v>0</v>
      </c>
      <c r="HT232" s="1">
        <v>0</v>
      </c>
      <c r="HU232" s="1">
        <v>0</v>
      </c>
      <c r="HV232" s="1">
        <v>0</v>
      </c>
      <c r="HW232" s="1">
        <v>0</v>
      </c>
      <c r="HX232" s="1">
        <v>0</v>
      </c>
      <c r="HY232" s="1">
        <v>0</v>
      </c>
      <c r="HZ232" s="1">
        <v>0</v>
      </c>
      <c r="IA232" s="1">
        <v>0</v>
      </c>
      <c r="IB232" s="1">
        <v>0</v>
      </c>
      <c r="IC232" s="1">
        <v>0</v>
      </c>
      <c r="ID232" s="1">
        <v>0</v>
      </c>
      <c r="IE232" s="1">
        <v>0</v>
      </c>
      <c r="IF232" s="1">
        <v>0</v>
      </c>
      <c r="IG232" s="1">
        <v>0</v>
      </c>
      <c r="IH232" s="1">
        <v>0</v>
      </c>
      <c r="II232" s="1">
        <v>0</v>
      </c>
      <c r="IJ232" s="1">
        <v>0</v>
      </c>
      <c r="IK232" s="1">
        <v>0</v>
      </c>
      <c r="IL232" s="1">
        <v>0</v>
      </c>
      <c r="IM232" s="1">
        <v>0</v>
      </c>
      <c r="IN232" s="1">
        <v>0</v>
      </c>
      <c r="IO232" s="1">
        <v>344.97</v>
      </c>
      <c r="IP232" s="1">
        <v>643.5200000000001</v>
      </c>
      <c r="IQ232" s="1">
        <v>561.76</v>
      </c>
      <c r="IR232" s="1">
        <v>628.30999999999995</v>
      </c>
      <c r="IS232" s="1">
        <v>344.97</v>
      </c>
      <c r="IT232" s="1">
        <v>643.5200000000001</v>
      </c>
      <c r="IU232" s="1">
        <v>561.76</v>
      </c>
      <c r="IV232" s="1">
        <v>628.30999999999995</v>
      </c>
      <c r="IW232" s="1">
        <v>0</v>
      </c>
      <c r="IX232" s="1">
        <v>0</v>
      </c>
      <c r="IY232" s="1">
        <v>0</v>
      </c>
      <c r="IZ232" s="1">
        <v>0</v>
      </c>
      <c r="JA232" s="1">
        <v>0</v>
      </c>
      <c r="JB232" s="1">
        <v>0</v>
      </c>
      <c r="JC232" s="1">
        <v>0</v>
      </c>
      <c r="JD232" s="1">
        <v>0</v>
      </c>
      <c r="JE232" s="1">
        <v>0</v>
      </c>
      <c r="JF232" s="1">
        <v>0</v>
      </c>
      <c r="JG232" s="1">
        <v>0</v>
      </c>
      <c r="JH232" s="1">
        <v>0</v>
      </c>
      <c r="JI232" s="1">
        <v>0</v>
      </c>
      <c r="JJ232" s="1">
        <v>0</v>
      </c>
      <c r="JK232" s="1">
        <v>0</v>
      </c>
      <c r="JL232" s="1">
        <v>0</v>
      </c>
      <c r="JM232" s="1">
        <v>0</v>
      </c>
      <c r="JN232" s="1">
        <v>0</v>
      </c>
      <c r="JO232" s="1">
        <v>0</v>
      </c>
      <c r="JP232" s="1">
        <v>0</v>
      </c>
      <c r="JQ232" s="9"/>
      <c r="JR232" s="1">
        <f t="shared" si="48"/>
        <v>4017.5082000000002</v>
      </c>
      <c r="JS232" s="1">
        <f t="shared" si="48"/>
        <v>3948.6582000000012</v>
      </c>
      <c r="JT232" s="1">
        <f t="shared" si="48"/>
        <v>3664.5426000000007</v>
      </c>
      <c r="JU232" s="1">
        <f t="shared" si="48"/>
        <v>3594.0132000000003</v>
      </c>
      <c r="JV232" s="1">
        <f t="shared" si="49"/>
        <v>743.98300000000006</v>
      </c>
      <c r="JW232" s="1">
        <f t="shared" si="49"/>
        <v>731.23300000000017</v>
      </c>
      <c r="JX232" s="1">
        <f t="shared" si="49"/>
        <v>678.61900000000014</v>
      </c>
      <c r="JY232" s="1">
        <f t="shared" si="49"/>
        <v>665.55799999999999</v>
      </c>
    </row>
    <row r="233" spans="1:285" x14ac:dyDescent="0.35">
      <c r="A233" s="2" t="s">
        <v>240</v>
      </c>
      <c r="B233" s="1">
        <v>95955</v>
      </c>
      <c r="C233" s="1">
        <v>95975</v>
      </c>
      <c r="D233" s="1">
        <v>95890</v>
      </c>
      <c r="E233" s="1">
        <v>96095</v>
      </c>
      <c r="F233" s="1">
        <v>44098.16</v>
      </c>
      <c r="G233" s="1">
        <v>41312.449999999997</v>
      </c>
      <c r="H233" s="1">
        <v>38356.559999999998</v>
      </c>
      <c r="I233" s="1">
        <v>36877.61</v>
      </c>
      <c r="J233" s="1">
        <f t="shared" si="50"/>
        <v>28702.080000000002</v>
      </c>
      <c r="K233" s="1">
        <f t="shared" si="51"/>
        <v>26219.26</v>
      </c>
      <c r="L233" s="1">
        <f t="shared" si="52"/>
        <v>23621.870000000003</v>
      </c>
      <c r="M233" s="1">
        <f t="shared" si="53"/>
        <v>23567.379999999994</v>
      </c>
      <c r="N233" s="1">
        <f t="shared" si="54"/>
        <v>15396.080000000002</v>
      </c>
      <c r="O233" s="1">
        <f t="shared" si="55"/>
        <v>15093.189999999999</v>
      </c>
      <c r="P233" s="1">
        <f t="shared" si="56"/>
        <v>14734.689999999995</v>
      </c>
      <c r="Q233" s="1">
        <f t="shared" si="57"/>
        <v>13310.230000000007</v>
      </c>
      <c r="R233" s="1">
        <v>0</v>
      </c>
      <c r="S233" s="1">
        <v>0</v>
      </c>
      <c r="T233" s="1">
        <v>0</v>
      </c>
      <c r="U233" s="1">
        <v>0</v>
      </c>
      <c r="V233" s="1">
        <v>0</v>
      </c>
      <c r="W233" s="1">
        <v>0</v>
      </c>
      <c r="X233" s="1">
        <v>0</v>
      </c>
      <c r="Y233" s="1">
        <v>0</v>
      </c>
      <c r="Z233" s="1">
        <v>0</v>
      </c>
      <c r="AA233" s="1">
        <v>0</v>
      </c>
      <c r="AB233" s="1">
        <v>0</v>
      </c>
      <c r="AC233" s="1">
        <v>0</v>
      </c>
      <c r="AD233" s="1">
        <v>0</v>
      </c>
      <c r="AE233" s="1">
        <v>0</v>
      </c>
      <c r="AF233" s="1">
        <v>0</v>
      </c>
      <c r="AG233" s="1">
        <v>0</v>
      </c>
      <c r="AH233" s="1">
        <v>0</v>
      </c>
      <c r="AI233" s="1">
        <v>0</v>
      </c>
      <c r="AJ233" s="1">
        <v>0</v>
      </c>
      <c r="AK233" s="1">
        <v>0</v>
      </c>
      <c r="AL233" s="1">
        <v>0</v>
      </c>
      <c r="AM233" s="1">
        <v>0</v>
      </c>
      <c r="AN233" s="1">
        <v>0</v>
      </c>
      <c r="AO233" s="1">
        <v>0</v>
      </c>
      <c r="AP233" s="1">
        <v>13420.730000000001</v>
      </c>
      <c r="AQ233" s="1">
        <v>12696.84</v>
      </c>
      <c r="AR233" s="1">
        <v>11511.95</v>
      </c>
      <c r="AS233" s="1">
        <v>11820.649999999998</v>
      </c>
      <c r="AT233" s="1">
        <v>13420.730000000001</v>
      </c>
      <c r="AU233" s="1">
        <v>0</v>
      </c>
      <c r="AV233" s="1">
        <v>0</v>
      </c>
      <c r="AW233" s="1">
        <v>0</v>
      </c>
      <c r="AX233" s="1">
        <v>12696.84</v>
      </c>
      <c r="AY233" s="1">
        <v>0</v>
      </c>
      <c r="AZ233" s="1">
        <v>0</v>
      </c>
      <c r="BA233" s="1">
        <v>0</v>
      </c>
      <c r="BB233" s="1">
        <v>11511.95</v>
      </c>
      <c r="BC233" s="1">
        <v>0</v>
      </c>
      <c r="BD233" s="1">
        <v>0</v>
      </c>
      <c r="BE233" s="1">
        <v>11820.649999999998</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8385.09</v>
      </c>
      <c r="BV233" s="1">
        <v>6907.1100000000006</v>
      </c>
      <c r="BW233" s="1">
        <v>5559.09</v>
      </c>
      <c r="BX233" s="1">
        <v>4669.96</v>
      </c>
      <c r="BY233" s="1">
        <v>8385.09</v>
      </c>
      <c r="BZ233" s="1">
        <v>6907.1100000000006</v>
      </c>
      <c r="CA233" s="1">
        <v>5559.09</v>
      </c>
      <c r="CB233" s="1">
        <v>4669.96</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1900.39</v>
      </c>
      <c r="CT233" s="1">
        <v>1701.33</v>
      </c>
      <c r="CU233" s="1">
        <v>1988.47</v>
      </c>
      <c r="CV233" s="1">
        <v>1680.1</v>
      </c>
      <c r="CW233" s="1">
        <v>1900.39</v>
      </c>
      <c r="CX233" s="1">
        <v>1701.33</v>
      </c>
      <c r="CY233" s="1">
        <v>1988.47</v>
      </c>
      <c r="CZ233" s="1">
        <v>1680.1</v>
      </c>
      <c r="DA233" s="1">
        <v>0</v>
      </c>
      <c r="DB233" s="1">
        <v>0</v>
      </c>
      <c r="DC233" s="1">
        <v>0</v>
      </c>
      <c r="DD233" s="1">
        <v>0</v>
      </c>
      <c r="DE233" s="1">
        <v>0</v>
      </c>
      <c r="DF233" s="1">
        <v>0</v>
      </c>
      <c r="DG233" s="1">
        <v>0</v>
      </c>
      <c r="DH233" s="1">
        <v>0</v>
      </c>
      <c r="DI233" s="1">
        <v>0</v>
      </c>
      <c r="DJ233" s="1">
        <v>0</v>
      </c>
      <c r="DK233" s="1">
        <v>0</v>
      </c>
      <c r="DL233" s="1">
        <v>0</v>
      </c>
      <c r="DM233" s="1">
        <v>2990.13</v>
      </c>
      <c r="DN233" s="1">
        <v>2391.6799999999998</v>
      </c>
      <c r="DO233" s="1">
        <v>2373.9499999999998</v>
      </c>
      <c r="DP233" s="1">
        <v>3134.87</v>
      </c>
      <c r="DQ233" s="1">
        <v>2990.13</v>
      </c>
      <c r="DR233" s="1">
        <v>2391.6799999999998</v>
      </c>
      <c r="DS233" s="1">
        <v>2373.9499999999998</v>
      </c>
      <c r="DT233" s="1">
        <v>3134.87</v>
      </c>
      <c r="DU233" s="1">
        <v>0</v>
      </c>
      <c r="DV233" s="1">
        <v>0</v>
      </c>
      <c r="DW233" s="1">
        <v>0</v>
      </c>
      <c r="DX233" s="1">
        <v>0</v>
      </c>
      <c r="DY233" s="1">
        <v>0</v>
      </c>
      <c r="DZ233" s="1">
        <v>0</v>
      </c>
      <c r="EA233" s="1">
        <v>0</v>
      </c>
      <c r="EB233" s="1">
        <v>0</v>
      </c>
      <c r="EC233" s="1">
        <v>0</v>
      </c>
      <c r="ED233" s="1">
        <v>0</v>
      </c>
      <c r="EE233" s="1">
        <v>0</v>
      </c>
      <c r="EF233" s="1">
        <v>0</v>
      </c>
      <c r="EG233" s="1">
        <v>0</v>
      </c>
      <c r="EH233" s="1">
        <v>0</v>
      </c>
      <c r="EI233" s="1">
        <v>0</v>
      </c>
      <c r="EJ233" s="1">
        <v>0</v>
      </c>
      <c r="EK233" s="1">
        <v>1421</v>
      </c>
      <c r="EL233" s="1">
        <v>2002.06</v>
      </c>
      <c r="EM233" s="1">
        <v>1156.48</v>
      </c>
      <c r="EN233" s="1">
        <v>937.19</v>
      </c>
      <c r="EO233" s="1">
        <v>1421</v>
      </c>
      <c r="EP233" s="1">
        <v>2002.06</v>
      </c>
      <c r="EQ233" s="1">
        <v>1156.48</v>
      </c>
      <c r="ER233" s="1">
        <v>937.19</v>
      </c>
      <c r="ES233" s="1">
        <v>0</v>
      </c>
      <c r="ET233" s="1">
        <v>0</v>
      </c>
      <c r="EU233" s="1">
        <v>0</v>
      </c>
      <c r="EV233" s="1">
        <v>0</v>
      </c>
      <c r="EW233" s="1">
        <v>0</v>
      </c>
      <c r="EX233" s="1">
        <v>0</v>
      </c>
      <c r="EY233" s="1">
        <v>0</v>
      </c>
      <c r="EZ233" s="1">
        <v>0</v>
      </c>
      <c r="FA233" s="1">
        <v>0</v>
      </c>
      <c r="FB233" s="1">
        <v>0</v>
      </c>
      <c r="FC233" s="1">
        <v>0</v>
      </c>
      <c r="FD233" s="1">
        <v>0</v>
      </c>
      <c r="FE233" s="1">
        <v>6.58</v>
      </c>
      <c r="FF233" s="1">
        <v>9.7199999999999989</v>
      </c>
      <c r="FG233" s="1">
        <v>9.5400000000000009</v>
      </c>
      <c r="FH233" s="1">
        <v>3.8</v>
      </c>
      <c r="FI233" s="1">
        <v>1.56</v>
      </c>
      <c r="FJ233" s="1">
        <v>0</v>
      </c>
      <c r="FK233" s="1">
        <v>0</v>
      </c>
      <c r="FL233" s="1">
        <v>0</v>
      </c>
      <c r="FM233" s="1">
        <v>5.0199999999999996</v>
      </c>
      <c r="FN233" s="1">
        <v>9.7199999999999989</v>
      </c>
      <c r="FO233" s="1">
        <v>9.5400000000000009</v>
      </c>
      <c r="FP233" s="1">
        <v>3.8</v>
      </c>
      <c r="FQ233" s="1">
        <v>0</v>
      </c>
      <c r="FR233" s="1">
        <v>0</v>
      </c>
      <c r="FS233" s="1">
        <v>0</v>
      </c>
      <c r="FT233" s="1">
        <v>0</v>
      </c>
      <c r="FU233" s="1">
        <v>0</v>
      </c>
      <c r="FV233" s="1">
        <v>0</v>
      </c>
      <c r="FW233" s="1">
        <v>0</v>
      </c>
      <c r="FX233" s="1">
        <v>0</v>
      </c>
      <c r="FY233" s="1">
        <v>0</v>
      </c>
      <c r="FZ233" s="1">
        <v>0</v>
      </c>
      <c r="GA233" s="1">
        <v>0</v>
      </c>
      <c r="GB233" s="1">
        <v>0</v>
      </c>
      <c r="GC233" s="1">
        <v>52.39</v>
      </c>
      <c r="GD233" s="1">
        <v>23.1</v>
      </c>
      <c r="GE233" s="1">
        <v>44.86</v>
      </c>
      <c r="GF233" s="1">
        <v>53.79</v>
      </c>
      <c r="GG233" s="1">
        <v>4.46</v>
      </c>
      <c r="GH233" s="1">
        <v>2.42</v>
      </c>
      <c r="GI233" s="1">
        <v>18.3</v>
      </c>
      <c r="GJ233" s="1">
        <v>37.36</v>
      </c>
      <c r="GK233" s="1">
        <v>47.930000000000007</v>
      </c>
      <c r="GL233" s="1">
        <v>20.68</v>
      </c>
      <c r="GM233" s="1">
        <v>26.56</v>
      </c>
      <c r="GN233" s="1">
        <v>16.43</v>
      </c>
      <c r="GO233" s="1">
        <v>0</v>
      </c>
      <c r="GP233" s="1">
        <v>0</v>
      </c>
      <c r="GQ233" s="1">
        <v>0</v>
      </c>
      <c r="GR233" s="1">
        <v>0</v>
      </c>
      <c r="GS233" s="1">
        <v>0</v>
      </c>
      <c r="GT233" s="1">
        <v>0</v>
      </c>
      <c r="GU233" s="1">
        <v>0</v>
      </c>
      <c r="GV233" s="1">
        <v>0</v>
      </c>
      <c r="GW233" s="1">
        <v>0</v>
      </c>
      <c r="GX233" s="1">
        <v>0</v>
      </c>
      <c r="GY233" s="1">
        <v>0</v>
      </c>
      <c r="GZ233" s="1">
        <v>0</v>
      </c>
      <c r="HA233" s="1">
        <v>0</v>
      </c>
      <c r="HB233" s="1">
        <v>0</v>
      </c>
      <c r="HC233" s="1">
        <v>0</v>
      </c>
      <c r="HD233" s="1">
        <v>0</v>
      </c>
      <c r="HE233" s="1">
        <v>0</v>
      </c>
      <c r="HF233" s="1">
        <v>0</v>
      </c>
      <c r="HG233" s="1">
        <v>0</v>
      </c>
      <c r="HH233" s="1">
        <v>0</v>
      </c>
      <c r="HI233" s="1">
        <v>0</v>
      </c>
      <c r="HJ233" s="1">
        <v>0</v>
      </c>
      <c r="HK233" s="1">
        <v>0</v>
      </c>
      <c r="HL233" s="1">
        <v>0</v>
      </c>
      <c r="HM233" s="1">
        <v>0</v>
      </c>
      <c r="HN233" s="1">
        <v>0</v>
      </c>
      <c r="HO233" s="1">
        <v>0</v>
      </c>
      <c r="HP233" s="1">
        <v>0</v>
      </c>
      <c r="HQ233" s="1">
        <v>0</v>
      </c>
      <c r="HR233" s="1">
        <v>0</v>
      </c>
      <c r="HS233" s="1">
        <v>0</v>
      </c>
      <c r="HT233" s="1">
        <v>0</v>
      </c>
      <c r="HU233" s="1">
        <v>0</v>
      </c>
      <c r="HV233" s="1">
        <v>0</v>
      </c>
      <c r="HW233" s="1">
        <v>0</v>
      </c>
      <c r="HX233" s="1">
        <v>0</v>
      </c>
      <c r="HY233" s="1">
        <v>0</v>
      </c>
      <c r="HZ233" s="1">
        <v>0</v>
      </c>
      <c r="IA233" s="1">
        <v>0</v>
      </c>
      <c r="IB233" s="1">
        <v>0</v>
      </c>
      <c r="IC233" s="1">
        <v>0</v>
      </c>
      <c r="ID233" s="1">
        <v>0</v>
      </c>
      <c r="IE233" s="1">
        <v>0</v>
      </c>
      <c r="IF233" s="1">
        <v>0</v>
      </c>
      <c r="IG233" s="1">
        <v>0</v>
      </c>
      <c r="IH233" s="1">
        <v>0</v>
      </c>
      <c r="II233" s="1">
        <v>0</v>
      </c>
      <c r="IJ233" s="1">
        <v>0</v>
      </c>
      <c r="IK233" s="1">
        <v>0</v>
      </c>
      <c r="IL233" s="1">
        <v>0</v>
      </c>
      <c r="IM233" s="1">
        <v>0</v>
      </c>
      <c r="IN233" s="1">
        <v>0</v>
      </c>
      <c r="IO233" s="1">
        <v>525.77</v>
      </c>
      <c r="IP233" s="1">
        <v>487.42</v>
      </c>
      <c r="IQ233" s="1">
        <v>977.53</v>
      </c>
      <c r="IR233" s="1">
        <v>1267.02</v>
      </c>
      <c r="IS233" s="1">
        <v>525.77</v>
      </c>
      <c r="IT233" s="1">
        <v>487.42</v>
      </c>
      <c r="IU233" s="1">
        <v>973.81</v>
      </c>
      <c r="IV233" s="1">
        <v>1267.02</v>
      </c>
      <c r="IW233" s="1">
        <v>0</v>
      </c>
      <c r="IX233" s="1">
        <v>0</v>
      </c>
      <c r="IY233" s="1">
        <v>0</v>
      </c>
      <c r="IZ233" s="1">
        <v>0</v>
      </c>
      <c r="JA233" s="1">
        <v>0</v>
      </c>
      <c r="JB233" s="1">
        <v>0</v>
      </c>
      <c r="JC233" s="1">
        <v>0</v>
      </c>
      <c r="JD233" s="1">
        <v>0</v>
      </c>
      <c r="JE233" s="1">
        <v>0</v>
      </c>
      <c r="JF233" s="1">
        <v>0</v>
      </c>
      <c r="JG233" s="1">
        <v>0</v>
      </c>
      <c r="JH233" s="1">
        <v>0</v>
      </c>
      <c r="JI233" s="1">
        <v>0</v>
      </c>
      <c r="JJ233" s="1">
        <v>0</v>
      </c>
      <c r="JK233" s="1">
        <v>0</v>
      </c>
      <c r="JL233" s="1">
        <v>0</v>
      </c>
      <c r="JM233" s="1">
        <v>0</v>
      </c>
      <c r="JN233" s="1">
        <v>0</v>
      </c>
      <c r="JO233" s="1">
        <v>3.72</v>
      </c>
      <c r="JP233" s="1">
        <v>0</v>
      </c>
      <c r="JQ233" s="9"/>
      <c r="JR233" s="1">
        <f t="shared" si="48"/>
        <v>4156.941600000001</v>
      </c>
      <c r="JS233" s="1">
        <f t="shared" si="48"/>
        <v>4075.1612999999998</v>
      </c>
      <c r="JT233" s="1">
        <f t="shared" si="48"/>
        <v>3978.3662999999988</v>
      </c>
      <c r="JU233" s="1">
        <f t="shared" si="48"/>
        <v>3593.7621000000022</v>
      </c>
      <c r="JV233" s="1">
        <f t="shared" si="49"/>
        <v>769.80400000000009</v>
      </c>
      <c r="JW233" s="1">
        <f t="shared" si="49"/>
        <v>754.65949999999998</v>
      </c>
      <c r="JX233" s="1">
        <f t="shared" si="49"/>
        <v>736.7344999999998</v>
      </c>
      <c r="JY233" s="1">
        <f t="shared" si="49"/>
        <v>665.51150000000041</v>
      </c>
    </row>
    <row r="234" spans="1:285" x14ac:dyDescent="0.35">
      <c r="A234" s="2" t="s">
        <v>241</v>
      </c>
      <c r="B234" s="1">
        <v>89755</v>
      </c>
      <c r="C234" s="1">
        <v>89360</v>
      </c>
      <c r="D234" s="1">
        <v>89639</v>
      </c>
      <c r="E234" s="1">
        <v>90567</v>
      </c>
      <c r="F234" s="1">
        <v>20206.850999999999</v>
      </c>
      <c r="G234" s="1">
        <v>16142.472</v>
      </c>
      <c r="H234" s="1">
        <v>13703.593000000001</v>
      </c>
      <c r="I234" s="1">
        <v>14463.342000000001</v>
      </c>
      <c r="J234" s="1">
        <f t="shared" si="50"/>
        <v>17910.870999999996</v>
      </c>
      <c r="K234" s="1">
        <f t="shared" si="51"/>
        <v>14282.696000000002</v>
      </c>
      <c r="L234" s="1">
        <f t="shared" si="52"/>
        <v>11815.559999999998</v>
      </c>
      <c r="M234" s="1">
        <f t="shared" si="53"/>
        <v>12167.882000000001</v>
      </c>
      <c r="N234" s="1">
        <f t="shared" si="54"/>
        <v>2295.9800000000032</v>
      </c>
      <c r="O234" s="1">
        <f t="shared" si="55"/>
        <v>1859.775999999998</v>
      </c>
      <c r="P234" s="1">
        <f t="shared" si="56"/>
        <v>1888.0330000000031</v>
      </c>
      <c r="Q234" s="1">
        <f t="shared" si="57"/>
        <v>2295.4599999999991</v>
      </c>
      <c r="R234" s="1">
        <v>0</v>
      </c>
      <c r="S234" s="1">
        <v>0</v>
      </c>
      <c r="T234" s="1">
        <v>0</v>
      </c>
      <c r="U234" s="1">
        <v>0</v>
      </c>
      <c r="V234" s="1">
        <v>0</v>
      </c>
      <c r="W234" s="1">
        <v>0</v>
      </c>
      <c r="X234" s="1">
        <v>0</v>
      </c>
      <c r="Y234" s="1">
        <v>0</v>
      </c>
      <c r="Z234" s="1">
        <v>0</v>
      </c>
      <c r="AA234" s="1">
        <v>0</v>
      </c>
      <c r="AB234" s="1">
        <v>0</v>
      </c>
      <c r="AC234" s="1">
        <v>0</v>
      </c>
      <c r="AD234" s="1">
        <v>0</v>
      </c>
      <c r="AE234" s="1">
        <v>0</v>
      </c>
      <c r="AF234" s="1">
        <v>0</v>
      </c>
      <c r="AG234" s="1">
        <v>0</v>
      </c>
      <c r="AH234" s="1">
        <v>0</v>
      </c>
      <c r="AI234" s="1">
        <v>0</v>
      </c>
      <c r="AJ234" s="1">
        <v>0</v>
      </c>
      <c r="AK234" s="1">
        <v>0</v>
      </c>
      <c r="AL234" s="1">
        <v>0</v>
      </c>
      <c r="AM234" s="1">
        <v>0</v>
      </c>
      <c r="AN234" s="1">
        <v>0</v>
      </c>
      <c r="AO234" s="1">
        <v>0</v>
      </c>
      <c r="AP234" s="1">
        <v>6751.3600000000006</v>
      </c>
      <c r="AQ234" s="1">
        <v>6653.92</v>
      </c>
      <c r="AR234" s="1">
        <v>5488.4299999999994</v>
      </c>
      <c r="AS234" s="1">
        <v>6173.9100000000008</v>
      </c>
      <c r="AT234" s="1">
        <v>6751.3600000000006</v>
      </c>
      <c r="AU234" s="1">
        <v>0</v>
      </c>
      <c r="AV234" s="1">
        <v>0</v>
      </c>
      <c r="AW234" s="1">
        <v>0</v>
      </c>
      <c r="AX234" s="1">
        <v>6653.92</v>
      </c>
      <c r="AY234" s="1">
        <v>0</v>
      </c>
      <c r="AZ234" s="1">
        <v>0</v>
      </c>
      <c r="BA234" s="1">
        <v>0</v>
      </c>
      <c r="BB234" s="1">
        <v>5488.4299999999994</v>
      </c>
      <c r="BC234" s="1">
        <v>0</v>
      </c>
      <c r="BD234" s="1">
        <v>0</v>
      </c>
      <c r="BE234" s="1">
        <v>6173.9100000000008</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3597.23</v>
      </c>
      <c r="BV234" s="1">
        <v>2820.21</v>
      </c>
      <c r="BW234" s="1">
        <v>2520.2350000000001</v>
      </c>
      <c r="BX234" s="1">
        <v>2354.3110000000001</v>
      </c>
      <c r="BY234" s="1">
        <v>3597.23</v>
      </c>
      <c r="BZ234" s="1">
        <v>2820.21</v>
      </c>
      <c r="CA234" s="1">
        <v>2520.2350000000001</v>
      </c>
      <c r="CB234" s="1">
        <v>2354.3110000000001</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2585.12</v>
      </c>
      <c r="CT234" s="1">
        <v>1301.0940000000001</v>
      </c>
      <c r="CU234" s="1">
        <v>1164.3230000000001</v>
      </c>
      <c r="CV234" s="1">
        <v>1008.146</v>
      </c>
      <c r="CW234" s="1">
        <v>2576.34</v>
      </c>
      <c r="CX234" s="1">
        <v>1301.0940000000001</v>
      </c>
      <c r="CY234" s="1">
        <v>1164.3230000000001</v>
      </c>
      <c r="CZ234" s="1">
        <v>1008.146</v>
      </c>
      <c r="DA234" s="1">
        <v>0</v>
      </c>
      <c r="DB234" s="1">
        <v>0</v>
      </c>
      <c r="DC234" s="1">
        <v>0</v>
      </c>
      <c r="DD234" s="1">
        <v>0</v>
      </c>
      <c r="DE234" s="1">
        <v>0</v>
      </c>
      <c r="DF234" s="1">
        <v>0</v>
      </c>
      <c r="DG234" s="1">
        <v>0</v>
      </c>
      <c r="DH234" s="1">
        <v>0</v>
      </c>
      <c r="DI234" s="1">
        <v>8.7799999999999994</v>
      </c>
      <c r="DJ234" s="1">
        <v>0</v>
      </c>
      <c r="DK234" s="1">
        <v>0</v>
      </c>
      <c r="DL234" s="1">
        <v>0</v>
      </c>
      <c r="DM234" s="1">
        <v>2045.11</v>
      </c>
      <c r="DN234" s="1">
        <v>2068.59</v>
      </c>
      <c r="DO234" s="1">
        <v>1820.8</v>
      </c>
      <c r="DP234" s="1">
        <v>1771.59</v>
      </c>
      <c r="DQ234" s="1">
        <v>2045.11</v>
      </c>
      <c r="DR234" s="1">
        <v>2068.59</v>
      </c>
      <c r="DS234" s="1">
        <v>1820.8</v>
      </c>
      <c r="DT234" s="1">
        <v>1771.59</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2585.12</v>
      </c>
      <c r="EL234" s="1">
        <v>1067.2380000000001</v>
      </c>
      <c r="EM234" s="1">
        <v>509.48200000000003</v>
      </c>
      <c r="EN234" s="1">
        <v>430.55599999999998</v>
      </c>
      <c r="EO234" s="1">
        <v>2576.34</v>
      </c>
      <c r="EP234" s="1">
        <v>1067.2380000000001</v>
      </c>
      <c r="EQ234" s="1">
        <v>509.48200000000003</v>
      </c>
      <c r="ER234" s="1">
        <v>430.55599999999998</v>
      </c>
      <c r="ES234" s="1">
        <v>0</v>
      </c>
      <c r="ET234" s="1">
        <v>0</v>
      </c>
      <c r="EU234" s="1">
        <v>0</v>
      </c>
      <c r="EV234" s="1">
        <v>0</v>
      </c>
      <c r="EW234" s="1">
        <v>0</v>
      </c>
      <c r="EX234" s="1">
        <v>0</v>
      </c>
      <c r="EY234" s="1">
        <v>0</v>
      </c>
      <c r="EZ234" s="1">
        <v>0</v>
      </c>
      <c r="FA234" s="1">
        <v>8.7799999999999994</v>
      </c>
      <c r="FB234" s="1">
        <v>0</v>
      </c>
      <c r="FC234" s="1">
        <v>0</v>
      </c>
      <c r="FD234" s="1">
        <v>0</v>
      </c>
      <c r="FE234" s="1">
        <v>98.385000000000005</v>
      </c>
      <c r="FF234" s="1">
        <v>159.83099999999999</v>
      </c>
      <c r="FG234" s="1">
        <v>157.85499999999999</v>
      </c>
      <c r="FH234" s="1">
        <v>140.96899999999999</v>
      </c>
      <c r="FI234" s="1">
        <v>46.010000000000012</v>
      </c>
      <c r="FJ234" s="1">
        <v>71.021999999999991</v>
      </c>
      <c r="FK234" s="1">
        <v>63.19</v>
      </c>
      <c r="FL234" s="1">
        <v>18.276</v>
      </c>
      <c r="FM234" s="1">
        <v>52.375</v>
      </c>
      <c r="FN234" s="1">
        <v>88.808999999999997</v>
      </c>
      <c r="FO234" s="1">
        <v>94.665000000000006</v>
      </c>
      <c r="FP234" s="1">
        <v>122.693</v>
      </c>
      <c r="FQ234" s="1">
        <v>0</v>
      </c>
      <c r="FR234" s="1">
        <v>0</v>
      </c>
      <c r="FS234" s="1">
        <v>0</v>
      </c>
      <c r="FT234" s="1">
        <v>0</v>
      </c>
      <c r="FU234" s="1">
        <v>0</v>
      </c>
      <c r="FV234" s="1">
        <v>0</v>
      </c>
      <c r="FW234" s="1">
        <v>0</v>
      </c>
      <c r="FX234" s="1">
        <v>0</v>
      </c>
      <c r="FY234" s="1">
        <v>0</v>
      </c>
      <c r="FZ234" s="1">
        <v>0</v>
      </c>
      <c r="GA234" s="1">
        <v>0</v>
      </c>
      <c r="GB234" s="1">
        <v>0</v>
      </c>
      <c r="GC234" s="1">
        <v>42.975999999999999</v>
      </c>
      <c r="GD234" s="1">
        <v>40.162999999999997</v>
      </c>
      <c r="GE234" s="1">
        <v>35.555</v>
      </c>
      <c r="GF234" s="1">
        <v>41.58</v>
      </c>
      <c r="GG234" s="1">
        <v>42.975999999999999</v>
      </c>
      <c r="GH234" s="1">
        <v>40.162999999999997</v>
      </c>
      <c r="GI234" s="1">
        <v>35.555</v>
      </c>
      <c r="GJ234" s="1">
        <v>41.58</v>
      </c>
      <c r="GK234" s="1">
        <v>0</v>
      </c>
      <c r="GL234" s="1">
        <v>0</v>
      </c>
      <c r="GM234" s="1">
        <v>0</v>
      </c>
      <c r="GN234" s="1">
        <v>0</v>
      </c>
      <c r="GO234" s="1">
        <v>0</v>
      </c>
      <c r="GP234" s="1">
        <v>0</v>
      </c>
      <c r="GQ234" s="1">
        <v>0</v>
      </c>
      <c r="GR234" s="1">
        <v>0</v>
      </c>
      <c r="GS234" s="1">
        <v>0</v>
      </c>
      <c r="GT234" s="1">
        <v>0</v>
      </c>
      <c r="GU234" s="1">
        <v>0</v>
      </c>
      <c r="GV234" s="1">
        <v>0</v>
      </c>
      <c r="GW234" s="1">
        <v>0</v>
      </c>
      <c r="GX234" s="1">
        <v>0</v>
      </c>
      <c r="GY234" s="1">
        <v>0</v>
      </c>
      <c r="GZ234" s="1">
        <v>0</v>
      </c>
      <c r="HA234" s="1">
        <v>0</v>
      </c>
      <c r="HB234" s="1">
        <v>0</v>
      </c>
      <c r="HC234" s="1">
        <v>0</v>
      </c>
      <c r="HD234" s="1">
        <v>0</v>
      </c>
      <c r="HE234" s="1">
        <v>0</v>
      </c>
      <c r="HF234" s="1">
        <v>0</v>
      </c>
      <c r="HG234" s="1">
        <v>0</v>
      </c>
      <c r="HH234" s="1">
        <v>0</v>
      </c>
      <c r="HI234" s="1">
        <v>0</v>
      </c>
      <c r="HJ234" s="1">
        <v>0</v>
      </c>
      <c r="HK234" s="1">
        <v>0</v>
      </c>
      <c r="HL234" s="1">
        <v>0</v>
      </c>
      <c r="HM234" s="1">
        <v>0</v>
      </c>
      <c r="HN234" s="1">
        <v>0</v>
      </c>
      <c r="HO234" s="1">
        <v>0</v>
      </c>
      <c r="HP234" s="1">
        <v>0</v>
      </c>
      <c r="HQ234" s="1">
        <v>0</v>
      </c>
      <c r="HR234" s="1">
        <v>0</v>
      </c>
      <c r="HS234" s="1">
        <v>0</v>
      </c>
      <c r="HT234" s="1">
        <v>0</v>
      </c>
      <c r="HU234" s="1">
        <v>0</v>
      </c>
      <c r="HV234" s="1">
        <v>0</v>
      </c>
      <c r="HW234" s="1">
        <v>0</v>
      </c>
      <c r="HX234" s="1">
        <v>0</v>
      </c>
      <c r="HY234" s="1">
        <v>0</v>
      </c>
      <c r="HZ234" s="1">
        <v>0</v>
      </c>
      <c r="IA234" s="1">
        <v>0</v>
      </c>
      <c r="IB234" s="1">
        <v>0</v>
      </c>
      <c r="IC234" s="1">
        <v>0</v>
      </c>
      <c r="ID234" s="1">
        <v>0</v>
      </c>
      <c r="IE234" s="1">
        <v>0</v>
      </c>
      <c r="IF234" s="1">
        <v>0</v>
      </c>
      <c r="IG234" s="1">
        <v>0</v>
      </c>
      <c r="IH234" s="1">
        <v>0</v>
      </c>
      <c r="II234" s="1">
        <v>0</v>
      </c>
      <c r="IJ234" s="1">
        <v>0</v>
      </c>
      <c r="IK234" s="1">
        <v>0</v>
      </c>
      <c r="IL234" s="1">
        <v>0</v>
      </c>
      <c r="IM234" s="1">
        <v>0</v>
      </c>
      <c r="IN234" s="1">
        <v>0</v>
      </c>
      <c r="IO234" s="1">
        <v>205.57</v>
      </c>
      <c r="IP234" s="1">
        <v>171.65</v>
      </c>
      <c r="IQ234" s="1">
        <v>118.88</v>
      </c>
      <c r="IR234" s="1">
        <v>246.82</v>
      </c>
      <c r="IS234" s="1">
        <v>205.57</v>
      </c>
      <c r="IT234" s="1">
        <v>171.65</v>
      </c>
      <c r="IU234" s="1">
        <v>118.88</v>
      </c>
      <c r="IV234" s="1">
        <v>246.82</v>
      </c>
      <c r="IW234" s="1">
        <v>0</v>
      </c>
      <c r="IX234" s="1">
        <v>0</v>
      </c>
      <c r="IY234" s="1">
        <v>0</v>
      </c>
      <c r="IZ234" s="1">
        <v>0</v>
      </c>
      <c r="JA234" s="1">
        <v>0</v>
      </c>
      <c r="JB234" s="1">
        <v>0</v>
      </c>
      <c r="JC234" s="1">
        <v>0</v>
      </c>
      <c r="JD234" s="1">
        <v>0</v>
      </c>
      <c r="JE234" s="1">
        <v>0</v>
      </c>
      <c r="JF234" s="1">
        <v>0</v>
      </c>
      <c r="JG234" s="1">
        <v>0</v>
      </c>
      <c r="JH234" s="1">
        <v>0</v>
      </c>
      <c r="JI234" s="1">
        <v>0</v>
      </c>
      <c r="JJ234" s="1">
        <v>0</v>
      </c>
      <c r="JK234" s="1">
        <v>0</v>
      </c>
      <c r="JL234" s="1">
        <v>0</v>
      </c>
      <c r="JM234" s="1">
        <v>0</v>
      </c>
      <c r="JN234" s="1">
        <v>0</v>
      </c>
      <c r="JO234" s="1">
        <v>0</v>
      </c>
      <c r="JP234" s="1">
        <v>0</v>
      </c>
      <c r="JQ234" s="9"/>
      <c r="JR234" s="1">
        <f t="shared" si="48"/>
        <v>619.91460000000086</v>
      </c>
      <c r="JS234" s="1">
        <f t="shared" si="48"/>
        <v>502.13951999999949</v>
      </c>
      <c r="JT234" s="1">
        <f t="shared" si="48"/>
        <v>509.76891000000086</v>
      </c>
      <c r="JU234" s="1">
        <f t="shared" si="48"/>
        <v>619.77419999999984</v>
      </c>
      <c r="JV234" s="1">
        <f t="shared" si="49"/>
        <v>114.79900000000016</v>
      </c>
      <c r="JW234" s="1">
        <f t="shared" si="49"/>
        <v>92.988799999999912</v>
      </c>
      <c r="JX234" s="1">
        <f t="shared" si="49"/>
        <v>94.40165000000016</v>
      </c>
      <c r="JY234" s="1">
        <f t="shared" si="49"/>
        <v>114.77299999999997</v>
      </c>
    </row>
    <row r="235" spans="1:285" x14ac:dyDescent="0.35">
      <c r="A235" s="2" t="s">
        <v>242</v>
      </c>
      <c r="B235" s="1">
        <v>293851</v>
      </c>
      <c r="C235" s="1">
        <v>295268</v>
      </c>
      <c r="D235" s="1">
        <v>297386</v>
      </c>
      <c r="E235" s="1">
        <v>300326</v>
      </c>
      <c r="F235" s="1">
        <v>159091.9</v>
      </c>
      <c r="G235" s="1">
        <v>161866.58199999999</v>
      </c>
      <c r="H235" s="1">
        <v>167579.18599999999</v>
      </c>
      <c r="I235" s="1">
        <v>168595.28700000001</v>
      </c>
      <c r="J235" s="1">
        <f t="shared" si="50"/>
        <v>112164.53999999998</v>
      </c>
      <c r="K235" s="1">
        <f t="shared" si="51"/>
        <v>100172.435</v>
      </c>
      <c r="L235" s="1">
        <f t="shared" si="52"/>
        <v>101212.60600000001</v>
      </c>
      <c r="M235" s="1">
        <f t="shared" si="53"/>
        <v>112829.363</v>
      </c>
      <c r="N235" s="1">
        <f t="shared" si="54"/>
        <v>46927.360000000015</v>
      </c>
      <c r="O235" s="1">
        <f t="shared" si="55"/>
        <v>61694.146999999997</v>
      </c>
      <c r="P235" s="1">
        <f t="shared" si="56"/>
        <v>66366.579999999973</v>
      </c>
      <c r="Q235" s="1">
        <f t="shared" si="57"/>
        <v>55765.924000000014</v>
      </c>
      <c r="R235" s="1">
        <v>0</v>
      </c>
      <c r="S235" s="1">
        <v>0</v>
      </c>
      <c r="T235" s="1">
        <v>0</v>
      </c>
      <c r="U235" s="1">
        <v>0</v>
      </c>
      <c r="V235" s="1">
        <v>0</v>
      </c>
      <c r="W235" s="1">
        <v>0</v>
      </c>
      <c r="X235" s="1">
        <v>0</v>
      </c>
      <c r="Y235" s="1">
        <v>0</v>
      </c>
      <c r="Z235" s="1">
        <v>0</v>
      </c>
      <c r="AA235" s="1">
        <v>0</v>
      </c>
      <c r="AB235" s="1">
        <v>0</v>
      </c>
      <c r="AC235" s="1">
        <v>0</v>
      </c>
      <c r="AD235" s="1">
        <v>0</v>
      </c>
      <c r="AE235" s="1">
        <v>0</v>
      </c>
      <c r="AF235" s="1">
        <v>0</v>
      </c>
      <c r="AG235" s="1">
        <v>0</v>
      </c>
      <c r="AH235" s="1">
        <v>0</v>
      </c>
      <c r="AI235" s="1">
        <v>0</v>
      </c>
      <c r="AJ235" s="1">
        <v>0</v>
      </c>
      <c r="AK235" s="1">
        <v>0</v>
      </c>
      <c r="AL235" s="1">
        <v>0</v>
      </c>
      <c r="AM235" s="1">
        <v>0</v>
      </c>
      <c r="AN235" s="1">
        <v>0</v>
      </c>
      <c r="AO235" s="1">
        <v>0</v>
      </c>
      <c r="AP235" s="1">
        <v>56884.079999999994</v>
      </c>
      <c r="AQ235" s="1">
        <v>46740.74</v>
      </c>
      <c r="AR235" s="1">
        <v>48994.55</v>
      </c>
      <c r="AS235" s="1">
        <v>68063.92</v>
      </c>
      <c r="AT235" s="1">
        <v>56884.079999999994</v>
      </c>
      <c r="AU235" s="1">
        <v>0</v>
      </c>
      <c r="AV235" s="1">
        <v>0</v>
      </c>
      <c r="AW235" s="1">
        <v>0</v>
      </c>
      <c r="AX235" s="1">
        <v>0</v>
      </c>
      <c r="AY235" s="1">
        <v>46740.74</v>
      </c>
      <c r="AZ235" s="1">
        <v>0</v>
      </c>
      <c r="BA235" s="1">
        <v>0</v>
      </c>
      <c r="BB235" s="1">
        <v>48994.55</v>
      </c>
      <c r="BC235" s="1">
        <v>0</v>
      </c>
      <c r="BD235" s="1">
        <v>0</v>
      </c>
      <c r="BE235" s="1">
        <v>68063.92</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23480.720000000001</v>
      </c>
      <c r="BV235" s="1">
        <v>24451.59</v>
      </c>
      <c r="BW235" s="1">
        <v>23018.9</v>
      </c>
      <c r="BX235" s="1">
        <v>21998.7</v>
      </c>
      <c r="BY235" s="1">
        <v>23480.720000000001</v>
      </c>
      <c r="BZ235" s="1">
        <v>24451.59</v>
      </c>
      <c r="CA235" s="1">
        <v>23018.9</v>
      </c>
      <c r="CB235" s="1">
        <v>21998.7</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2051.64</v>
      </c>
      <c r="CT235" s="1">
        <v>1936.07</v>
      </c>
      <c r="CU235" s="1">
        <v>1806.2</v>
      </c>
      <c r="CV235" s="1">
        <v>1848.952</v>
      </c>
      <c r="CW235" s="1">
        <v>2051.64</v>
      </c>
      <c r="CX235" s="1">
        <v>1936.07</v>
      </c>
      <c r="CY235" s="1">
        <v>1806.2</v>
      </c>
      <c r="CZ235" s="1">
        <v>1848.952</v>
      </c>
      <c r="DA235" s="1">
        <v>0</v>
      </c>
      <c r="DB235" s="1">
        <v>0</v>
      </c>
      <c r="DC235" s="1">
        <v>0</v>
      </c>
      <c r="DD235" s="1">
        <v>0</v>
      </c>
      <c r="DE235" s="1">
        <v>0</v>
      </c>
      <c r="DF235" s="1">
        <v>0</v>
      </c>
      <c r="DG235" s="1">
        <v>0</v>
      </c>
      <c r="DH235" s="1">
        <v>0</v>
      </c>
      <c r="DI235" s="1">
        <v>0</v>
      </c>
      <c r="DJ235" s="1">
        <v>0</v>
      </c>
      <c r="DK235" s="1">
        <v>0</v>
      </c>
      <c r="DL235" s="1">
        <v>0</v>
      </c>
      <c r="DM235" s="1">
        <v>9341.01</v>
      </c>
      <c r="DN235" s="1">
        <v>9350.48</v>
      </c>
      <c r="DO235" s="1">
        <v>8198.02</v>
      </c>
      <c r="DP235" s="1">
        <v>7852.5679999999993</v>
      </c>
      <c r="DQ235" s="1">
        <v>9341.01</v>
      </c>
      <c r="DR235" s="1">
        <v>9350.48</v>
      </c>
      <c r="DS235" s="1">
        <v>8198.02</v>
      </c>
      <c r="DT235" s="1">
        <v>7852.5679999999993</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2310.71</v>
      </c>
      <c r="EL235" s="1">
        <v>2048.73</v>
      </c>
      <c r="EM235" s="1">
        <v>1602.3</v>
      </c>
      <c r="EN235" s="1">
        <v>1927.088</v>
      </c>
      <c r="EO235" s="1">
        <v>2310.71</v>
      </c>
      <c r="EP235" s="1">
        <v>2048.73</v>
      </c>
      <c r="EQ235" s="1">
        <v>1602.3</v>
      </c>
      <c r="ER235" s="1">
        <v>1927.088</v>
      </c>
      <c r="ES235" s="1">
        <v>0</v>
      </c>
      <c r="ET235" s="1">
        <v>0</v>
      </c>
      <c r="EU235" s="1">
        <v>0</v>
      </c>
      <c r="EV235" s="1">
        <v>0</v>
      </c>
      <c r="EW235" s="1">
        <v>0</v>
      </c>
      <c r="EX235" s="1">
        <v>0</v>
      </c>
      <c r="EY235" s="1">
        <v>0</v>
      </c>
      <c r="EZ235" s="1">
        <v>0</v>
      </c>
      <c r="FA235" s="1">
        <v>0</v>
      </c>
      <c r="FB235" s="1">
        <v>0</v>
      </c>
      <c r="FC235" s="1">
        <v>0</v>
      </c>
      <c r="FD235" s="1">
        <v>0</v>
      </c>
      <c r="FE235" s="1">
        <v>97.42</v>
      </c>
      <c r="FF235" s="1">
        <v>114.30500000000001</v>
      </c>
      <c r="FG235" s="1">
        <v>140.916</v>
      </c>
      <c r="FH235" s="1">
        <v>103.375</v>
      </c>
      <c r="FI235" s="1">
        <v>4.24</v>
      </c>
      <c r="FJ235" s="1">
        <v>0</v>
      </c>
      <c r="FK235" s="1">
        <v>0</v>
      </c>
      <c r="FL235" s="1">
        <v>0</v>
      </c>
      <c r="FM235" s="1">
        <v>93.179999999999993</v>
      </c>
      <c r="FN235" s="1">
        <v>114.30500000000001</v>
      </c>
      <c r="FO235" s="1">
        <v>140.916</v>
      </c>
      <c r="FP235" s="1">
        <v>103.375</v>
      </c>
      <c r="FQ235" s="1">
        <v>0</v>
      </c>
      <c r="FR235" s="1">
        <v>0</v>
      </c>
      <c r="FS235" s="1">
        <v>0</v>
      </c>
      <c r="FT235" s="1">
        <v>0</v>
      </c>
      <c r="FU235" s="1">
        <v>0</v>
      </c>
      <c r="FV235" s="1">
        <v>0</v>
      </c>
      <c r="FW235" s="1">
        <v>0</v>
      </c>
      <c r="FX235" s="1">
        <v>0</v>
      </c>
      <c r="FY235" s="1">
        <v>0</v>
      </c>
      <c r="FZ235" s="1">
        <v>0</v>
      </c>
      <c r="GA235" s="1">
        <v>0</v>
      </c>
      <c r="GB235" s="1">
        <v>0</v>
      </c>
      <c r="GC235" s="1">
        <v>17998.96</v>
      </c>
      <c r="GD235" s="1">
        <v>15506.72</v>
      </c>
      <c r="GE235" s="1">
        <v>14569.9</v>
      </c>
      <c r="GF235" s="1">
        <v>11034.76</v>
      </c>
      <c r="GG235" s="1">
        <v>17998.96</v>
      </c>
      <c r="GH235" s="1">
        <v>15506.72</v>
      </c>
      <c r="GI235" s="1">
        <v>14569.9</v>
      </c>
      <c r="GJ235" s="1">
        <v>11034.76</v>
      </c>
      <c r="GK235" s="1">
        <v>0</v>
      </c>
      <c r="GL235" s="1">
        <v>0</v>
      </c>
      <c r="GM235" s="1">
        <v>0</v>
      </c>
      <c r="GN235" s="1">
        <v>0</v>
      </c>
      <c r="GO235" s="1">
        <v>0</v>
      </c>
      <c r="GP235" s="1">
        <v>0</v>
      </c>
      <c r="GQ235" s="1">
        <v>0</v>
      </c>
      <c r="GR235" s="1">
        <v>0</v>
      </c>
      <c r="GS235" s="1">
        <v>0</v>
      </c>
      <c r="GT235" s="1">
        <v>0</v>
      </c>
      <c r="GU235" s="1">
        <v>0</v>
      </c>
      <c r="GV235" s="1">
        <v>0</v>
      </c>
      <c r="GW235" s="1">
        <v>0</v>
      </c>
      <c r="GX235" s="1">
        <v>0</v>
      </c>
      <c r="GY235" s="1">
        <v>0</v>
      </c>
      <c r="GZ235" s="1">
        <v>0</v>
      </c>
      <c r="HA235" s="1">
        <v>0</v>
      </c>
      <c r="HB235" s="1">
        <v>0</v>
      </c>
      <c r="HC235" s="1">
        <v>0</v>
      </c>
      <c r="HD235" s="1">
        <v>0</v>
      </c>
      <c r="HE235" s="1">
        <v>0</v>
      </c>
      <c r="HF235" s="1">
        <v>0</v>
      </c>
      <c r="HG235" s="1">
        <v>0</v>
      </c>
      <c r="HH235" s="1">
        <v>0</v>
      </c>
      <c r="HI235" s="1">
        <v>0</v>
      </c>
      <c r="HJ235" s="1">
        <v>0</v>
      </c>
      <c r="HK235" s="1">
        <v>0</v>
      </c>
      <c r="HL235" s="1">
        <v>0</v>
      </c>
      <c r="HM235" s="1">
        <v>0</v>
      </c>
      <c r="HN235" s="1">
        <v>0</v>
      </c>
      <c r="HO235" s="1">
        <v>0</v>
      </c>
      <c r="HP235" s="1">
        <v>0</v>
      </c>
      <c r="HQ235" s="1">
        <v>0</v>
      </c>
      <c r="HR235" s="1">
        <v>0</v>
      </c>
      <c r="HS235" s="1">
        <v>0</v>
      </c>
      <c r="HT235" s="1">
        <v>0</v>
      </c>
      <c r="HU235" s="1">
        <v>0</v>
      </c>
      <c r="HV235" s="1">
        <v>0</v>
      </c>
      <c r="HW235" s="1">
        <v>0</v>
      </c>
      <c r="HX235" s="1">
        <v>0</v>
      </c>
      <c r="HY235" s="1">
        <v>0</v>
      </c>
      <c r="HZ235" s="1">
        <v>0</v>
      </c>
      <c r="IA235" s="1">
        <v>0</v>
      </c>
      <c r="IB235" s="1">
        <v>0</v>
      </c>
      <c r="IC235" s="1">
        <v>0</v>
      </c>
      <c r="ID235" s="1">
        <v>0</v>
      </c>
      <c r="IE235" s="1">
        <v>0</v>
      </c>
      <c r="IF235" s="1">
        <v>0</v>
      </c>
      <c r="IG235" s="1">
        <v>0</v>
      </c>
      <c r="IH235" s="1">
        <v>0</v>
      </c>
      <c r="II235" s="1">
        <v>0</v>
      </c>
      <c r="IJ235" s="1">
        <v>0</v>
      </c>
      <c r="IK235" s="1">
        <v>0</v>
      </c>
      <c r="IL235" s="1">
        <v>0</v>
      </c>
      <c r="IM235" s="1">
        <v>0</v>
      </c>
      <c r="IN235" s="1">
        <v>0</v>
      </c>
      <c r="IO235" s="1">
        <v>0</v>
      </c>
      <c r="IP235" s="1">
        <v>23.8</v>
      </c>
      <c r="IQ235" s="1">
        <v>2881.82</v>
      </c>
      <c r="IR235" s="1">
        <v>0</v>
      </c>
      <c r="IS235" s="1">
        <v>0</v>
      </c>
      <c r="IT235" s="1">
        <v>23.8</v>
      </c>
      <c r="IU235" s="1">
        <v>2881.82</v>
      </c>
      <c r="IV235" s="1">
        <v>0</v>
      </c>
      <c r="IW235" s="1">
        <v>0</v>
      </c>
      <c r="IX235" s="1">
        <v>0</v>
      </c>
      <c r="IY235" s="1">
        <v>0</v>
      </c>
      <c r="IZ235" s="1">
        <v>0</v>
      </c>
      <c r="JA235" s="1">
        <v>0</v>
      </c>
      <c r="JB235" s="1">
        <v>0</v>
      </c>
      <c r="JC235" s="1">
        <v>0</v>
      </c>
      <c r="JD235" s="1">
        <v>0</v>
      </c>
      <c r="JE235" s="1">
        <v>0</v>
      </c>
      <c r="JF235" s="1">
        <v>0</v>
      </c>
      <c r="JG235" s="1">
        <v>0</v>
      </c>
      <c r="JH235" s="1">
        <v>0</v>
      </c>
      <c r="JI235" s="1">
        <v>0</v>
      </c>
      <c r="JJ235" s="1">
        <v>0</v>
      </c>
      <c r="JK235" s="1">
        <v>0</v>
      </c>
      <c r="JL235" s="1">
        <v>0</v>
      </c>
      <c r="JM235" s="1">
        <v>0</v>
      </c>
      <c r="JN235" s="1">
        <v>0</v>
      </c>
      <c r="JO235" s="1">
        <v>0</v>
      </c>
      <c r="JP235" s="1">
        <v>0</v>
      </c>
      <c r="JQ235" s="9"/>
      <c r="JR235" s="1">
        <f t="shared" si="48"/>
        <v>12670.387200000005</v>
      </c>
      <c r="JS235" s="1">
        <f t="shared" si="48"/>
        <v>16657.419689999999</v>
      </c>
      <c r="JT235" s="1">
        <f t="shared" si="48"/>
        <v>17918.976599999995</v>
      </c>
      <c r="JU235" s="1">
        <f t="shared" si="48"/>
        <v>15056.799480000005</v>
      </c>
      <c r="JV235" s="1">
        <f t="shared" si="49"/>
        <v>2346.3680000000008</v>
      </c>
      <c r="JW235" s="1">
        <f t="shared" si="49"/>
        <v>3084.7073500000001</v>
      </c>
      <c r="JX235" s="1">
        <f t="shared" si="49"/>
        <v>3318.3289999999988</v>
      </c>
      <c r="JY235" s="1">
        <f t="shared" si="49"/>
        <v>2788.2962000000007</v>
      </c>
    </row>
    <row r="236" spans="1:285" x14ac:dyDescent="0.35">
      <c r="A236" s="2" t="s">
        <v>243</v>
      </c>
      <c r="B236" s="1">
        <v>196388</v>
      </c>
      <c r="C236" s="1">
        <v>197032</v>
      </c>
      <c r="D236" s="1">
        <v>200753</v>
      </c>
      <c r="E236" s="1">
        <v>203768</v>
      </c>
      <c r="F236" s="1">
        <v>199103.12</v>
      </c>
      <c r="G236" s="1">
        <v>199095.17</v>
      </c>
      <c r="H236" s="1">
        <v>184453.09</v>
      </c>
      <c r="I236" s="1">
        <v>178545.62</v>
      </c>
      <c r="J236" s="1">
        <f t="shared" si="50"/>
        <v>30393.449999999997</v>
      </c>
      <c r="K236" s="1">
        <f t="shared" si="51"/>
        <v>31887.779999999995</v>
      </c>
      <c r="L236" s="1">
        <f t="shared" si="52"/>
        <v>29989.01</v>
      </c>
      <c r="M236" s="1">
        <f t="shared" si="53"/>
        <v>29494.010000000002</v>
      </c>
      <c r="N236" s="1">
        <f t="shared" si="54"/>
        <v>168709.66999999998</v>
      </c>
      <c r="O236" s="1">
        <f t="shared" si="55"/>
        <v>167207.39000000001</v>
      </c>
      <c r="P236" s="1">
        <f t="shared" si="56"/>
        <v>154464.07999999999</v>
      </c>
      <c r="Q236" s="1">
        <f t="shared" si="57"/>
        <v>149051.60999999999</v>
      </c>
      <c r="R236" s="1">
        <v>0</v>
      </c>
      <c r="S236" s="1">
        <v>0</v>
      </c>
      <c r="T236" s="1">
        <v>0</v>
      </c>
      <c r="U236" s="1">
        <v>0</v>
      </c>
      <c r="V236" s="1">
        <v>0</v>
      </c>
      <c r="W236" s="1">
        <v>0</v>
      </c>
      <c r="X236" s="1">
        <v>0</v>
      </c>
      <c r="Y236" s="1">
        <v>0</v>
      </c>
      <c r="Z236" s="1">
        <v>0</v>
      </c>
      <c r="AA236" s="1">
        <v>0</v>
      </c>
      <c r="AB236" s="1">
        <v>0</v>
      </c>
      <c r="AC236" s="1">
        <v>0</v>
      </c>
      <c r="AD236" s="1">
        <v>0</v>
      </c>
      <c r="AE236" s="1">
        <v>0</v>
      </c>
      <c r="AF236" s="1">
        <v>0</v>
      </c>
      <c r="AG236" s="1">
        <v>0</v>
      </c>
      <c r="AH236" s="1">
        <v>0</v>
      </c>
      <c r="AI236" s="1">
        <v>0</v>
      </c>
      <c r="AJ236" s="1">
        <v>0</v>
      </c>
      <c r="AK236" s="1">
        <v>0</v>
      </c>
      <c r="AL236" s="1">
        <v>0</v>
      </c>
      <c r="AM236" s="1">
        <v>0</v>
      </c>
      <c r="AN236" s="1">
        <v>0</v>
      </c>
      <c r="AO236" s="1">
        <v>0</v>
      </c>
      <c r="AP236" s="1">
        <v>7300.44</v>
      </c>
      <c r="AQ236" s="1">
        <v>7091.56</v>
      </c>
      <c r="AR236" s="1">
        <v>7117.1299999999992</v>
      </c>
      <c r="AS236" s="1">
        <v>7150.82</v>
      </c>
      <c r="AT236" s="1">
        <v>0</v>
      </c>
      <c r="AU236" s="1">
        <v>7300.44</v>
      </c>
      <c r="AV236" s="1">
        <v>0</v>
      </c>
      <c r="AW236" s="1">
        <v>0</v>
      </c>
      <c r="AX236" s="1">
        <v>0</v>
      </c>
      <c r="AY236" s="1">
        <v>7091.56</v>
      </c>
      <c r="AZ236" s="1">
        <v>0</v>
      </c>
      <c r="BA236" s="1">
        <v>0</v>
      </c>
      <c r="BB236" s="1">
        <v>0</v>
      </c>
      <c r="BC236" s="1">
        <v>7117.1299999999992</v>
      </c>
      <c r="BD236" s="1">
        <v>0</v>
      </c>
      <c r="BE236" s="1">
        <v>0</v>
      </c>
      <c r="BF236" s="1">
        <v>7150.82</v>
      </c>
      <c r="BG236" s="1">
        <v>0</v>
      </c>
      <c r="BH236" s="1">
        <v>0</v>
      </c>
      <c r="BI236" s="1">
        <v>0</v>
      </c>
      <c r="BJ236" s="1">
        <v>0</v>
      </c>
      <c r="BK236" s="1">
        <v>0</v>
      </c>
      <c r="BL236" s="1">
        <v>0</v>
      </c>
      <c r="BM236" s="1">
        <v>0</v>
      </c>
      <c r="BN236" s="1">
        <v>0</v>
      </c>
      <c r="BO236" s="1">
        <v>0</v>
      </c>
      <c r="BP236" s="1">
        <v>0</v>
      </c>
      <c r="BQ236" s="1">
        <v>0</v>
      </c>
      <c r="BR236" s="1">
        <v>0</v>
      </c>
      <c r="BS236" s="1">
        <v>0</v>
      </c>
      <c r="BT236" s="1">
        <v>0</v>
      </c>
      <c r="BU236" s="1">
        <v>9877.82</v>
      </c>
      <c r="BV236" s="1">
        <v>9338</v>
      </c>
      <c r="BW236" s="1">
        <v>8275.61</v>
      </c>
      <c r="BX236" s="1">
        <v>7691.07</v>
      </c>
      <c r="BY236" s="1">
        <v>9877.82</v>
      </c>
      <c r="BZ236" s="1">
        <v>9335.7799999999988</v>
      </c>
      <c r="CA236" s="1">
        <v>8265.2199999999993</v>
      </c>
      <c r="CB236" s="1">
        <v>7678.92</v>
      </c>
      <c r="CC236" s="1">
        <v>0</v>
      </c>
      <c r="CD236" s="1">
        <v>2.2200000000000002</v>
      </c>
      <c r="CE236" s="1">
        <v>10.39</v>
      </c>
      <c r="CF236" s="1">
        <v>12.15</v>
      </c>
      <c r="CG236" s="1">
        <v>0</v>
      </c>
      <c r="CH236" s="1">
        <v>0</v>
      </c>
      <c r="CI236" s="1">
        <v>0</v>
      </c>
      <c r="CJ236" s="1">
        <v>0</v>
      </c>
      <c r="CK236" s="1">
        <v>0</v>
      </c>
      <c r="CL236" s="1">
        <v>0</v>
      </c>
      <c r="CM236" s="1">
        <v>0</v>
      </c>
      <c r="CN236" s="1">
        <v>0</v>
      </c>
      <c r="CO236" s="1">
        <v>0</v>
      </c>
      <c r="CP236" s="1">
        <v>0</v>
      </c>
      <c r="CQ236" s="1">
        <v>0</v>
      </c>
      <c r="CR236" s="1">
        <v>0</v>
      </c>
      <c r="CS236" s="1">
        <v>1556.55</v>
      </c>
      <c r="CT236" s="1">
        <v>1740.05</v>
      </c>
      <c r="CU236" s="1">
        <v>1600.76</v>
      </c>
      <c r="CV236" s="1">
        <v>1540.97</v>
      </c>
      <c r="CW236" s="1">
        <v>1556.55</v>
      </c>
      <c r="CX236" s="1">
        <v>1740.05</v>
      </c>
      <c r="CY236" s="1">
        <v>1600.76</v>
      </c>
      <c r="CZ236" s="1">
        <v>1540.97</v>
      </c>
      <c r="DA236" s="1">
        <v>0</v>
      </c>
      <c r="DB236" s="1">
        <v>0</v>
      </c>
      <c r="DC236" s="1">
        <v>0</v>
      </c>
      <c r="DD236" s="1">
        <v>0</v>
      </c>
      <c r="DE236" s="1">
        <v>0</v>
      </c>
      <c r="DF236" s="1">
        <v>0</v>
      </c>
      <c r="DG236" s="1">
        <v>0</v>
      </c>
      <c r="DH236" s="1">
        <v>0</v>
      </c>
      <c r="DI236" s="1">
        <v>0</v>
      </c>
      <c r="DJ236" s="1">
        <v>0</v>
      </c>
      <c r="DK236" s="1">
        <v>0</v>
      </c>
      <c r="DL236" s="1">
        <v>0</v>
      </c>
      <c r="DM236" s="1">
        <v>3637.14</v>
      </c>
      <c r="DN236" s="1">
        <v>3571.11</v>
      </c>
      <c r="DO236" s="1">
        <v>3066.18</v>
      </c>
      <c r="DP236" s="1">
        <v>2905.83</v>
      </c>
      <c r="DQ236" s="1">
        <v>3637.14</v>
      </c>
      <c r="DR236" s="1">
        <v>3571.11</v>
      </c>
      <c r="DS236" s="1">
        <v>3066.18</v>
      </c>
      <c r="DT236" s="1">
        <v>2905.83</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2748.45</v>
      </c>
      <c r="EL236" s="1">
        <v>2841.44</v>
      </c>
      <c r="EM236" s="1">
        <v>2671.65</v>
      </c>
      <c r="EN236" s="1">
        <v>2637.29</v>
      </c>
      <c r="EO236" s="1">
        <v>2748.45</v>
      </c>
      <c r="EP236" s="1">
        <v>2841.44</v>
      </c>
      <c r="EQ236" s="1">
        <v>2671.65</v>
      </c>
      <c r="ER236" s="1">
        <v>2637.29</v>
      </c>
      <c r="ES236" s="1">
        <v>0</v>
      </c>
      <c r="ET236" s="1">
        <v>0</v>
      </c>
      <c r="EU236" s="1">
        <v>0</v>
      </c>
      <c r="EV236" s="1">
        <v>0</v>
      </c>
      <c r="EW236" s="1">
        <v>0</v>
      </c>
      <c r="EX236" s="1">
        <v>0</v>
      </c>
      <c r="EY236" s="1">
        <v>0</v>
      </c>
      <c r="EZ236" s="1">
        <v>0</v>
      </c>
      <c r="FA236" s="1">
        <v>0</v>
      </c>
      <c r="FB236" s="1">
        <v>0</v>
      </c>
      <c r="FC236" s="1">
        <v>0</v>
      </c>
      <c r="FD236" s="1">
        <v>0</v>
      </c>
      <c r="FE236" s="1">
        <v>34.729999999999997</v>
      </c>
      <c r="FF236" s="1">
        <v>63.669999999999987</v>
      </c>
      <c r="FG236" s="1">
        <v>33.17</v>
      </c>
      <c r="FH236" s="1">
        <v>35.950000000000003</v>
      </c>
      <c r="FI236" s="1">
        <v>34.729999999999997</v>
      </c>
      <c r="FJ236" s="1">
        <v>63.669999999999987</v>
      </c>
      <c r="FK236" s="1">
        <v>33.17</v>
      </c>
      <c r="FL236" s="1">
        <v>35.950000000000003</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v>0</v>
      </c>
      <c r="GC236" s="1">
        <v>3082.16</v>
      </c>
      <c r="GD236" s="1">
        <v>3500.64</v>
      </c>
      <c r="GE236" s="1">
        <v>3646.12</v>
      </c>
      <c r="GF236" s="1">
        <v>4239.3999999999996</v>
      </c>
      <c r="GG236" s="1">
        <v>3082.16</v>
      </c>
      <c r="GH236" s="1">
        <v>3500.64</v>
      </c>
      <c r="GI236" s="1">
        <v>3646.12</v>
      </c>
      <c r="GJ236" s="1">
        <v>4239.3999999999996</v>
      </c>
      <c r="GK236" s="1">
        <v>0</v>
      </c>
      <c r="GL236" s="1">
        <v>0</v>
      </c>
      <c r="GM236" s="1">
        <v>0</v>
      </c>
      <c r="GN236" s="1">
        <v>0</v>
      </c>
      <c r="GO236" s="1">
        <v>0</v>
      </c>
      <c r="GP236" s="1">
        <v>0</v>
      </c>
      <c r="GQ236" s="1">
        <v>0</v>
      </c>
      <c r="GR236" s="1">
        <v>0</v>
      </c>
      <c r="GS236" s="1">
        <v>0</v>
      </c>
      <c r="GT236" s="1">
        <v>0</v>
      </c>
      <c r="GU236" s="1">
        <v>0</v>
      </c>
      <c r="GV236" s="1">
        <v>0</v>
      </c>
      <c r="GW236" s="1">
        <v>0</v>
      </c>
      <c r="GX236" s="1">
        <v>0</v>
      </c>
      <c r="GY236" s="1">
        <v>0</v>
      </c>
      <c r="GZ236" s="1">
        <v>0</v>
      </c>
      <c r="HA236" s="1">
        <v>0</v>
      </c>
      <c r="HB236" s="1">
        <v>0</v>
      </c>
      <c r="HC236" s="1">
        <v>0</v>
      </c>
      <c r="HD236" s="1">
        <v>0</v>
      </c>
      <c r="HE236" s="1">
        <v>1904.88</v>
      </c>
      <c r="HF236" s="1">
        <v>2328.83</v>
      </c>
      <c r="HG236" s="1">
        <v>2124.6999999999998</v>
      </c>
      <c r="HH236" s="1">
        <v>2078.41</v>
      </c>
      <c r="HI236" s="1">
        <v>1904.88</v>
      </c>
      <c r="HJ236" s="1">
        <v>2328.83</v>
      </c>
      <c r="HK236" s="1">
        <v>2124.6999999999998</v>
      </c>
      <c r="HL236" s="1">
        <v>2078.41</v>
      </c>
      <c r="HM236" s="1">
        <v>0</v>
      </c>
      <c r="HN236" s="1">
        <v>0</v>
      </c>
      <c r="HO236" s="1">
        <v>0</v>
      </c>
      <c r="HP236" s="1">
        <v>0</v>
      </c>
      <c r="HQ236" s="1">
        <v>0</v>
      </c>
      <c r="HR236" s="1">
        <v>0</v>
      </c>
      <c r="HS236" s="1">
        <v>0</v>
      </c>
      <c r="HT236" s="1">
        <v>0</v>
      </c>
      <c r="HU236" s="1">
        <v>0</v>
      </c>
      <c r="HV236" s="1">
        <v>0</v>
      </c>
      <c r="HW236" s="1">
        <v>0</v>
      </c>
      <c r="HX236" s="1">
        <v>0</v>
      </c>
      <c r="HY236" s="1">
        <v>0</v>
      </c>
      <c r="HZ236" s="1">
        <v>0</v>
      </c>
      <c r="IA236" s="1">
        <v>0</v>
      </c>
      <c r="IB236" s="1">
        <v>0</v>
      </c>
      <c r="IC236" s="1">
        <v>0</v>
      </c>
      <c r="ID236" s="1">
        <v>0</v>
      </c>
      <c r="IE236" s="1">
        <v>0</v>
      </c>
      <c r="IF236" s="1">
        <v>0</v>
      </c>
      <c r="IG236" s="1">
        <v>0</v>
      </c>
      <c r="IH236" s="1">
        <v>0</v>
      </c>
      <c r="II236" s="1">
        <v>0</v>
      </c>
      <c r="IJ236" s="1">
        <v>0</v>
      </c>
      <c r="IK236" s="1">
        <v>0</v>
      </c>
      <c r="IL236" s="1">
        <v>0</v>
      </c>
      <c r="IM236" s="1">
        <v>0</v>
      </c>
      <c r="IN236" s="1">
        <v>0</v>
      </c>
      <c r="IO236" s="1">
        <v>251.28</v>
      </c>
      <c r="IP236" s="1">
        <v>1412.48</v>
      </c>
      <c r="IQ236" s="1">
        <v>1453.69</v>
      </c>
      <c r="IR236" s="1">
        <v>1214.27</v>
      </c>
      <c r="IS236" s="1">
        <v>251.28</v>
      </c>
      <c r="IT236" s="1">
        <v>1412.48</v>
      </c>
      <c r="IU236" s="1">
        <v>1453.69</v>
      </c>
      <c r="IV236" s="1">
        <v>1214.27</v>
      </c>
      <c r="IW236" s="1">
        <v>0</v>
      </c>
      <c r="IX236" s="1">
        <v>0</v>
      </c>
      <c r="IY236" s="1">
        <v>0</v>
      </c>
      <c r="IZ236" s="1">
        <v>0</v>
      </c>
      <c r="JA236" s="1">
        <v>0</v>
      </c>
      <c r="JB236" s="1">
        <v>0</v>
      </c>
      <c r="JC236" s="1">
        <v>0</v>
      </c>
      <c r="JD236" s="1">
        <v>0</v>
      </c>
      <c r="JE236" s="1">
        <v>0</v>
      </c>
      <c r="JF236" s="1">
        <v>0</v>
      </c>
      <c r="JG236" s="1">
        <v>0</v>
      </c>
      <c r="JH236" s="1">
        <v>0</v>
      </c>
      <c r="JI236" s="1">
        <v>0</v>
      </c>
      <c r="JJ236" s="1">
        <v>0</v>
      </c>
      <c r="JK236" s="1">
        <v>0</v>
      </c>
      <c r="JL236" s="1">
        <v>0</v>
      </c>
      <c r="JM236" s="1">
        <v>0</v>
      </c>
      <c r="JN236" s="1">
        <v>0</v>
      </c>
      <c r="JO236" s="1">
        <v>0</v>
      </c>
      <c r="JP236" s="1">
        <v>0</v>
      </c>
      <c r="JQ236" s="9"/>
      <c r="JR236" s="1">
        <f t="shared" si="48"/>
        <v>45551.6109</v>
      </c>
      <c r="JS236" s="1">
        <f t="shared" si="48"/>
        <v>45145.99530000001</v>
      </c>
      <c r="JT236" s="1">
        <f t="shared" si="48"/>
        <v>41705.301599999999</v>
      </c>
      <c r="JU236" s="1">
        <f t="shared" si="48"/>
        <v>40243.934699999998</v>
      </c>
      <c r="JV236" s="1">
        <f t="shared" si="49"/>
        <v>8435.4835000000003</v>
      </c>
      <c r="JW236" s="1">
        <f t="shared" si="49"/>
        <v>8360.3695000000007</v>
      </c>
      <c r="JX236" s="1">
        <f t="shared" si="49"/>
        <v>7723.2039999999997</v>
      </c>
      <c r="JY236" s="1">
        <f t="shared" si="49"/>
        <v>7452.5805</v>
      </c>
    </row>
    <row r="237" spans="1:285" x14ac:dyDescent="0.35">
      <c r="A237" s="2" t="s">
        <v>244</v>
      </c>
      <c r="B237" s="1">
        <v>258866</v>
      </c>
      <c r="C237" s="1">
        <v>258102</v>
      </c>
      <c r="D237" s="1">
        <v>260624</v>
      </c>
      <c r="E237" s="1">
        <v>265822</v>
      </c>
      <c r="F237" s="1">
        <v>226296.446</v>
      </c>
      <c r="G237" s="1">
        <v>235848.71</v>
      </c>
      <c r="H237" s="1">
        <v>223716.37700000001</v>
      </c>
      <c r="I237" s="1">
        <v>299973.23499999999</v>
      </c>
      <c r="J237" s="1">
        <f t="shared" si="50"/>
        <v>49949.135999999999</v>
      </c>
      <c r="K237" s="1">
        <f t="shared" si="51"/>
        <v>50331.399999999987</v>
      </c>
      <c r="L237" s="1">
        <f t="shared" si="52"/>
        <v>45297.252</v>
      </c>
      <c r="M237" s="1">
        <f t="shared" si="53"/>
        <v>116300.75700000001</v>
      </c>
      <c r="N237" s="1">
        <f t="shared" si="54"/>
        <v>176347.31</v>
      </c>
      <c r="O237" s="1">
        <f t="shared" si="55"/>
        <v>185517.31</v>
      </c>
      <c r="P237" s="1">
        <f t="shared" si="56"/>
        <v>178419.125</v>
      </c>
      <c r="Q237" s="1">
        <f t="shared" si="57"/>
        <v>183672.47799999997</v>
      </c>
      <c r="R237" s="1">
        <v>9.67</v>
      </c>
      <c r="S237" s="1">
        <v>8.58</v>
      </c>
      <c r="T237" s="1">
        <v>8.2100000000000009</v>
      </c>
      <c r="U237" s="1">
        <v>9.4699999999999989</v>
      </c>
      <c r="V237" s="1">
        <v>0</v>
      </c>
      <c r="W237" s="1">
        <v>0</v>
      </c>
      <c r="X237" s="1">
        <v>9.67</v>
      </c>
      <c r="Y237" s="1">
        <v>0</v>
      </c>
      <c r="Z237" s="1">
        <v>0</v>
      </c>
      <c r="AA237" s="1">
        <v>8.58</v>
      </c>
      <c r="AB237" s="1">
        <v>0</v>
      </c>
      <c r="AC237" s="1">
        <v>0</v>
      </c>
      <c r="AD237" s="1">
        <v>8.2100000000000009</v>
      </c>
      <c r="AE237" s="1">
        <v>0</v>
      </c>
      <c r="AF237" s="1">
        <v>0</v>
      </c>
      <c r="AG237" s="1">
        <v>9.4699999999999989</v>
      </c>
      <c r="AH237" s="1">
        <v>0</v>
      </c>
      <c r="AI237" s="1">
        <v>0</v>
      </c>
      <c r="AJ237" s="1">
        <v>0</v>
      </c>
      <c r="AK237" s="1">
        <v>0</v>
      </c>
      <c r="AL237" s="1">
        <v>0</v>
      </c>
      <c r="AM237" s="1">
        <v>0</v>
      </c>
      <c r="AN237" s="1">
        <v>0</v>
      </c>
      <c r="AO237" s="1">
        <v>0</v>
      </c>
      <c r="AP237" s="1">
        <v>13389.109999999999</v>
      </c>
      <c r="AQ237" s="1">
        <v>13588.799999999997</v>
      </c>
      <c r="AR237" s="1">
        <v>11962.939999999999</v>
      </c>
      <c r="AS237" s="1">
        <v>12587.999999999998</v>
      </c>
      <c r="AT237" s="1">
        <v>13389.109999999999</v>
      </c>
      <c r="AU237" s="1">
        <v>0</v>
      </c>
      <c r="AV237" s="1">
        <v>0</v>
      </c>
      <c r="AW237" s="1">
        <v>0</v>
      </c>
      <c r="AX237" s="1">
        <v>13280.159999999998</v>
      </c>
      <c r="AY237" s="1">
        <v>308.64</v>
      </c>
      <c r="AZ237" s="1">
        <v>0</v>
      </c>
      <c r="BA237" s="1">
        <v>0</v>
      </c>
      <c r="BB237" s="1">
        <v>84.66</v>
      </c>
      <c r="BC237" s="1">
        <v>11878.279999999999</v>
      </c>
      <c r="BD237" s="1">
        <v>0</v>
      </c>
      <c r="BE237" s="1">
        <v>0</v>
      </c>
      <c r="BF237" s="1">
        <v>12587.999999999998</v>
      </c>
      <c r="BG237" s="1">
        <v>0</v>
      </c>
      <c r="BH237" s="1">
        <v>0</v>
      </c>
      <c r="BI237" s="1">
        <v>0</v>
      </c>
      <c r="BJ237" s="1">
        <v>0</v>
      </c>
      <c r="BK237" s="1">
        <v>0</v>
      </c>
      <c r="BL237" s="1">
        <v>0</v>
      </c>
      <c r="BM237" s="1">
        <v>0</v>
      </c>
      <c r="BN237" s="1">
        <v>0</v>
      </c>
      <c r="BO237" s="1">
        <v>0</v>
      </c>
      <c r="BP237" s="1">
        <v>0</v>
      </c>
      <c r="BQ237" s="1">
        <v>0</v>
      </c>
      <c r="BR237" s="1">
        <v>0</v>
      </c>
      <c r="BS237" s="1">
        <v>0</v>
      </c>
      <c r="BT237" s="1">
        <v>0</v>
      </c>
      <c r="BU237" s="1">
        <v>13483.27</v>
      </c>
      <c r="BV237" s="1">
        <v>13020.19</v>
      </c>
      <c r="BW237" s="1">
        <v>10689.449000000001</v>
      </c>
      <c r="BX237" s="1">
        <v>25705.119999999999</v>
      </c>
      <c r="BY237" s="1">
        <v>13475.72</v>
      </c>
      <c r="BZ237" s="1">
        <v>13002.01</v>
      </c>
      <c r="CA237" s="1">
        <v>10675.291999999999</v>
      </c>
      <c r="CB237" s="1">
        <v>25703.46</v>
      </c>
      <c r="CC237" s="1">
        <v>7.55</v>
      </c>
      <c r="CD237" s="1">
        <v>18.18</v>
      </c>
      <c r="CE237" s="1">
        <v>14.157</v>
      </c>
      <c r="CF237" s="1">
        <v>1.66</v>
      </c>
      <c r="CG237" s="1">
        <v>0</v>
      </c>
      <c r="CH237" s="1">
        <v>0</v>
      </c>
      <c r="CI237" s="1">
        <v>0</v>
      </c>
      <c r="CJ237" s="1">
        <v>0</v>
      </c>
      <c r="CK237" s="1">
        <v>0</v>
      </c>
      <c r="CL237" s="1">
        <v>0</v>
      </c>
      <c r="CM237" s="1">
        <v>0</v>
      </c>
      <c r="CN237" s="1">
        <v>0</v>
      </c>
      <c r="CO237" s="1">
        <v>0</v>
      </c>
      <c r="CP237" s="1">
        <v>0</v>
      </c>
      <c r="CQ237" s="1">
        <v>0</v>
      </c>
      <c r="CR237" s="1">
        <v>0</v>
      </c>
      <c r="CS237" s="1">
        <v>3334.05</v>
      </c>
      <c r="CT237" s="1">
        <v>3400.36</v>
      </c>
      <c r="CU237" s="1">
        <v>3121.1350000000002</v>
      </c>
      <c r="CV237" s="1">
        <v>37116.379999999997</v>
      </c>
      <c r="CW237" s="1">
        <v>3334.05</v>
      </c>
      <c r="CX237" s="1">
        <v>3400.36</v>
      </c>
      <c r="CY237" s="1">
        <v>3121.1350000000002</v>
      </c>
      <c r="CZ237" s="1">
        <v>37116.379999999997</v>
      </c>
      <c r="DA237" s="1">
        <v>0</v>
      </c>
      <c r="DB237" s="1">
        <v>0</v>
      </c>
      <c r="DC237" s="1">
        <v>0</v>
      </c>
      <c r="DD237" s="1">
        <v>0</v>
      </c>
      <c r="DE237" s="1">
        <v>0</v>
      </c>
      <c r="DF237" s="1">
        <v>0</v>
      </c>
      <c r="DG237" s="1">
        <v>0</v>
      </c>
      <c r="DH237" s="1">
        <v>0</v>
      </c>
      <c r="DI237" s="1">
        <v>0</v>
      </c>
      <c r="DJ237" s="1">
        <v>0</v>
      </c>
      <c r="DK237" s="1">
        <v>0</v>
      </c>
      <c r="DL237" s="1">
        <v>0</v>
      </c>
      <c r="DM237" s="1">
        <v>3641.43</v>
      </c>
      <c r="DN237" s="1">
        <v>5711.47</v>
      </c>
      <c r="DO237" s="1">
        <v>5832.7939999999999</v>
      </c>
      <c r="DP237" s="1">
        <v>11217.75</v>
      </c>
      <c r="DQ237" s="1">
        <v>3641.43</v>
      </c>
      <c r="DR237" s="1">
        <v>5711.47</v>
      </c>
      <c r="DS237" s="1">
        <v>5832.7939999999999</v>
      </c>
      <c r="DT237" s="1">
        <v>11217.75</v>
      </c>
      <c r="DU237" s="1">
        <v>0</v>
      </c>
      <c r="DV237" s="1">
        <v>0</v>
      </c>
      <c r="DW237" s="1">
        <v>0</v>
      </c>
      <c r="DX237" s="1">
        <v>0</v>
      </c>
      <c r="DY237" s="1">
        <v>0</v>
      </c>
      <c r="DZ237" s="1">
        <v>0</v>
      </c>
      <c r="EA237" s="1">
        <v>0</v>
      </c>
      <c r="EB237" s="1">
        <v>0</v>
      </c>
      <c r="EC237" s="1">
        <v>0</v>
      </c>
      <c r="ED237" s="1">
        <v>0</v>
      </c>
      <c r="EE237" s="1">
        <v>0</v>
      </c>
      <c r="EF237" s="1">
        <v>0</v>
      </c>
      <c r="EG237" s="1">
        <v>0</v>
      </c>
      <c r="EH237" s="1">
        <v>0</v>
      </c>
      <c r="EI237" s="1">
        <v>0</v>
      </c>
      <c r="EJ237" s="1">
        <v>0</v>
      </c>
      <c r="EK237" s="1">
        <v>4990.6660000000002</v>
      </c>
      <c r="EL237" s="1">
        <v>6033.91</v>
      </c>
      <c r="EM237" s="1">
        <v>5197.1880000000001</v>
      </c>
      <c r="EN237" s="1">
        <v>21461.416000000001</v>
      </c>
      <c r="EO237" s="1">
        <v>4923.6559999999999</v>
      </c>
      <c r="EP237" s="1">
        <v>5977.57</v>
      </c>
      <c r="EQ237" s="1">
        <v>5187.5200000000004</v>
      </c>
      <c r="ER237" s="1">
        <v>21459.89</v>
      </c>
      <c r="ES237" s="1">
        <v>67.009999999999991</v>
      </c>
      <c r="ET237" s="1">
        <v>56.34</v>
      </c>
      <c r="EU237" s="1">
        <v>9.6679999999999993</v>
      </c>
      <c r="EV237" s="1">
        <v>1.526</v>
      </c>
      <c r="EW237" s="1">
        <v>0</v>
      </c>
      <c r="EX237" s="1">
        <v>0</v>
      </c>
      <c r="EY237" s="1">
        <v>0</v>
      </c>
      <c r="EZ237" s="1">
        <v>0</v>
      </c>
      <c r="FA237" s="1">
        <v>0</v>
      </c>
      <c r="FB237" s="1">
        <v>0</v>
      </c>
      <c r="FC237" s="1">
        <v>0</v>
      </c>
      <c r="FD237" s="1">
        <v>0</v>
      </c>
      <c r="FE237" s="1">
        <v>140.11000000000001</v>
      </c>
      <c r="FF237" s="1">
        <v>207.59</v>
      </c>
      <c r="FG237" s="1">
        <v>237.446</v>
      </c>
      <c r="FH237" s="1">
        <v>146.6</v>
      </c>
      <c r="FI237" s="1">
        <v>124.99</v>
      </c>
      <c r="FJ237" s="1">
        <v>188.02</v>
      </c>
      <c r="FK237" s="1">
        <v>224.32599999999999</v>
      </c>
      <c r="FL237" s="1">
        <v>138.08000000000001</v>
      </c>
      <c r="FM237" s="1">
        <v>15.12</v>
      </c>
      <c r="FN237" s="1">
        <v>19.57</v>
      </c>
      <c r="FO237" s="1">
        <v>13.12</v>
      </c>
      <c r="FP237" s="1">
        <v>8.52</v>
      </c>
      <c r="FQ237" s="1">
        <v>0</v>
      </c>
      <c r="FR237" s="1">
        <v>0</v>
      </c>
      <c r="FS237" s="1">
        <v>0</v>
      </c>
      <c r="FT237" s="1">
        <v>0</v>
      </c>
      <c r="FU237" s="1">
        <v>0</v>
      </c>
      <c r="FV237" s="1">
        <v>0</v>
      </c>
      <c r="FW237" s="1">
        <v>0</v>
      </c>
      <c r="FX237" s="1">
        <v>0</v>
      </c>
      <c r="FY237" s="1">
        <v>0</v>
      </c>
      <c r="FZ237" s="1">
        <v>0</v>
      </c>
      <c r="GA237" s="1">
        <v>0</v>
      </c>
      <c r="GB237" s="1">
        <v>0</v>
      </c>
      <c r="GC237" s="1">
        <v>1811.89</v>
      </c>
      <c r="GD237" s="1">
        <v>1941.09</v>
      </c>
      <c r="GE237" s="1">
        <v>1793.04</v>
      </c>
      <c r="GF237" s="1">
        <v>1979.421</v>
      </c>
      <c r="GG237" s="1">
        <v>1811.89</v>
      </c>
      <c r="GH237" s="1">
        <v>1941.09</v>
      </c>
      <c r="GI237" s="1">
        <v>1793.04</v>
      </c>
      <c r="GJ237" s="1">
        <v>1979.421</v>
      </c>
      <c r="GK237" s="1">
        <v>0</v>
      </c>
      <c r="GL237" s="1">
        <v>0</v>
      </c>
      <c r="GM237" s="1">
        <v>0</v>
      </c>
      <c r="GN237" s="1">
        <v>0</v>
      </c>
      <c r="GO237" s="1">
        <v>0</v>
      </c>
      <c r="GP237" s="1">
        <v>0</v>
      </c>
      <c r="GQ237" s="1">
        <v>0</v>
      </c>
      <c r="GR237" s="1">
        <v>0</v>
      </c>
      <c r="GS237" s="1">
        <v>0</v>
      </c>
      <c r="GT237" s="1">
        <v>0</v>
      </c>
      <c r="GU237" s="1">
        <v>0</v>
      </c>
      <c r="GV237" s="1">
        <v>0</v>
      </c>
      <c r="GW237" s="1">
        <v>0</v>
      </c>
      <c r="GX237" s="1">
        <v>0</v>
      </c>
      <c r="GY237" s="1">
        <v>0</v>
      </c>
      <c r="GZ237" s="1">
        <v>0</v>
      </c>
      <c r="HA237" s="1">
        <v>0</v>
      </c>
      <c r="HB237" s="1">
        <v>0</v>
      </c>
      <c r="HC237" s="1">
        <v>0</v>
      </c>
      <c r="HD237" s="1">
        <v>0</v>
      </c>
      <c r="HE237" s="1">
        <v>8103.6399999999994</v>
      </c>
      <c r="HF237" s="1">
        <v>4379.5999999999995</v>
      </c>
      <c r="HG237" s="1">
        <v>3817.52</v>
      </c>
      <c r="HH237" s="1">
        <v>3428.13</v>
      </c>
      <c r="HI237" s="1">
        <v>3038.3</v>
      </c>
      <c r="HJ237" s="1">
        <v>4249.2</v>
      </c>
      <c r="HK237" s="1">
        <v>3769.52</v>
      </c>
      <c r="HL237" s="1">
        <v>3428.13</v>
      </c>
      <c r="HM237" s="1">
        <v>0</v>
      </c>
      <c r="HN237" s="1">
        <v>0</v>
      </c>
      <c r="HO237" s="1">
        <v>0</v>
      </c>
      <c r="HP237" s="1">
        <v>0</v>
      </c>
      <c r="HQ237" s="1">
        <v>5065.34</v>
      </c>
      <c r="HR237" s="1">
        <v>0</v>
      </c>
      <c r="HS237" s="1">
        <v>0</v>
      </c>
      <c r="HT237" s="1">
        <v>0</v>
      </c>
      <c r="HU237" s="1">
        <v>0</v>
      </c>
      <c r="HV237" s="1">
        <v>0</v>
      </c>
      <c r="HW237" s="1">
        <v>0</v>
      </c>
      <c r="HX237" s="1">
        <v>0</v>
      </c>
      <c r="HY237" s="1">
        <v>0</v>
      </c>
      <c r="HZ237" s="1">
        <v>0</v>
      </c>
      <c r="IA237" s="1">
        <v>0</v>
      </c>
      <c r="IB237" s="1">
        <v>0</v>
      </c>
      <c r="IC237" s="1">
        <v>0</v>
      </c>
      <c r="ID237" s="1">
        <v>130.4</v>
      </c>
      <c r="IE237" s="1">
        <v>48</v>
      </c>
      <c r="IF237" s="1">
        <v>0</v>
      </c>
      <c r="IG237" s="1">
        <v>0</v>
      </c>
      <c r="IH237" s="1">
        <v>0</v>
      </c>
      <c r="II237" s="1">
        <v>0</v>
      </c>
      <c r="IJ237" s="1">
        <v>0</v>
      </c>
      <c r="IK237" s="1">
        <v>0</v>
      </c>
      <c r="IL237" s="1">
        <v>0</v>
      </c>
      <c r="IM237" s="1">
        <v>0</v>
      </c>
      <c r="IN237" s="1">
        <v>0</v>
      </c>
      <c r="IO237" s="1">
        <v>1045.3</v>
      </c>
      <c r="IP237" s="1">
        <v>2039.81</v>
      </c>
      <c r="IQ237" s="1">
        <v>2637.53</v>
      </c>
      <c r="IR237" s="1">
        <v>2648.47</v>
      </c>
      <c r="IS237" s="1">
        <v>1045.3</v>
      </c>
      <c r="IT237" s="1">
        <v>2039.81</v>
      </c>
      <c r="IU237" s="1">
        <v>2637.53</v>
      </c>
      <c r="IV237" s="1">
        <v>2648.47</v>
      </c>
      <c r="IW237" s="1">
        <v>0</v>
      </c>
      <c r="IX237" s="1">
        <v>0</v>
      </c>
      <c r="IY237" s="1">
        <v>0</v>
      </c>
      <c r="IZ237" s="1">
        <v>0</v>
      </c>
      <c r="JA237" s="1">
        <v>0</v>
      </c>
      <c r="JB237" s="1">
        <v>0</v>
      </c>
      <c r="JC237" s="1">
        <v>0</v>
      </c>
      <c r="JD237" s="1">
        <v>0</v>
      </c>
      <c r="JE237" s="1">
        <v>0</v>
      </c>
      <c r="JF237" s="1">
        <v>0</v>
      </c>
      <c r="JG237" s="1">
        <v>0</v>
      </c>
      <c r="JH237" s="1">
        <v>0</v>
      </c>
      <c r="JI237" s="1">
        <v>0</v>
      </c>
      <c r="JJ237" s="1">
        <v>0</v>
      </c>
      <c r="JK237" s="1">
        <v>0</v>
      </c>
      <c r="JL237" s="1">
        <v>0</v>
      </c>
      <c r="JM237" s="1">
        <v>0</v>
      </c>
      <c r="JN237" s="1">
        <v>0</v>
      </c>
      <c r="JO237" s="1">
        <v>0</v>
      </c>
      <c r="JP237" s="1">
        <v>0</v>
      </c>
      <c r="JQ237" s="9"/>
      <c r="JR237" s="1">
        <f t="shared" si="48"/>
        <v>47613.773700000005</v>
      </c>
      <c r="JS237" s="1">
        <f t="shared" si="48"/>
        <v>50089.673699999999</v>
      </c>
      <c r="JT237" s="1">
        <f t="shared" si="48"/>
        <v>48173.16375</v>
      </c>
      <c r="JU237" s="1">
        <f t="shared" si="48"/>
        <v>49591.569059999994</v>
      </c>
      <c r="JV237" s="1">
        <f t="shared" si="49"/>
        <v>8817.3654999999999</v>
      </c>
      <c r="JW237" s="1">
        <f t="shared" si="49"/>
        <v>9275.8654999999999</v>
      </c>
      <c r="JX237" s="1">
        <f t="shared" si="49"/>
        <v>8920.9562500000011</v>
      </c>
      <c r="JY237" s="1">
        <f t="shared" si="49"/>
        <v>9183.6238999999987</v>
      </c>
    </row>
    <row r="238" spans="1:285" x14ac:dyDescent="0.35">
      <c r="A238" s="2" t="s">
        <v>245</v>
      </c>
      <c r="B238" s="1">
        <v>131979</v>
      </c>
      <c r="C238" s="1">
        <v>135946</v>
      </c>
      <c r="D238" s="1">
        <v>138772</v>
      </c>
      <c r="E238" s="1">
        <v>142931</v>
      </c>
      <c r="F238" s="1">
        <v>198767.25599999999</v>
      </c>
      <c r="G238" s="1">
        <v>163555.443</v>
      </c>
      <c r="H238" s="1">
        <v>59312.926000000007</v>
      </c>
      <c r="I238" s="1">
        <v>59389.080999999998</v>
      </c>
      <c r="J238" s="1">
        <f t="shared" si="50"/>
        <v>174373.68700000001</v>
      </c>
      <c r="K238" s="1">
        <f t="shared" si="51"/>
        <v>142577.42300000001</v>
      </c>
      <c r="L238" s="1">
        <f t="shared" si="52"/>
        <v>38466.223999999995</v>
      </c>
      <c r="M238" s="1">
        <f t="shared" si="53"/>
        <v>41884.250999999982</v>
      </c>
      <c r="N238" s="1">
        <f t="shared" si="54"/>
        <v>24393.568999999989</v>
      </c>
      <c r="O238" s="1">
        <f t="shared" si="55"/>
        <v>20978.01999999999</v>
      </c>
      <c r="P238" s="1">
        <f t="shared" si="56"/>
        <v>20846.702000000012</v>
      </c>
      <c r="Q238" s="1">
        <f t="shared" si="57"/>
        <v>17504.830000000016</v>
      </c>
      <c r="R238" s="1">
        <v>0</v>
      </c>
      <c r="S238" s="1">
        <v>0</v>
      </c>
      <c r="T238" s="1">
        <v>1935.26</v>
      </c>
      <c r="U238" s="1">
        <v>4931.34</v>
      </c>
      <c r="V238" s="1">
        <v>0</v>
      </c>
      <c r="W238" s="1">
        <v>0</v>
      </c>
      <c r="X238" s="1">
        <v>0</v>
      </c>
      <c r="Y238" s="1">
        <v>0</v>
      </c>
      <c r="Z238" s="1">
        <v>0</v>
      </c>
      <c r="AA238" s="1">
        <v>0</v>
      </c>
      <c r="AB238" s="1">
        <v>0</v>
      </c>
      <c r="AC238" s="1">
        <v>0</v>
      </c>
      <c r="AD238" s="1">
        <v>1935.26</v>
      </c>
      <c r="AE238" s="1">
        <v>0</v>
      </c>
      <c r="AF238" s="1">
        <v>0</v>
      </c>
      <c r="AG238" s="1">
        <v>4931.34</v>
      </c>
      <c r="AH238" s="1">
        <v>0</v>
      </c>
      <c r="AI238" s="1">
        <v>0</v>
      </c>
      <c r="AJ238" s="1">
        <v>0</v>
      </c>
      <c r="AK238" s="1">
        <v>0</v>
      </c>
      <c r="AL238" s="1">
        <v>0</v>
      </c>
      <c r="AM238" s="1">
        <v>0</v>
      </c>
      <c r="AN238" s="1">
        <v>0</v>
      </c>
      <c r="AO238" s="1">
        <v>0</v>
      </c>
      <c r="AP238" s="1">
        <v>20467.86</v>
      </c>
      <c r="AQ238" s="1">
        <v>18897.740000000002</v>
      </c>
      <c r="AR238" s="1">
        <v>15344.939999999999</v>
      </c>
      <c r="AS238" s="1">
        <v>16406.46</v>
      </c>
      <c r="AT238" s="1">
        <v>20467.86</v>
      </c>
      <c r="AU238" s="1">
        <v>0</v>
      </c>
      <c r="AV238" s="1">
        <v>0</v>
      </c>
      <c r="AW238" s="1">
        <v>0</v>
      </c>
      <c r="AX238" s="1">
        <v>18897.740000000002</v>
      </c>
      <c r="AY238" s="1">
        <v>0</v>
      </c>
      <c r="AZ238" s="1">
        <v>0</v>
      </c>
      <c r="BA238" s="1">
        <v>0</v>
      </c>
      <c r="BB238" s="1">
        <v>15344.939999999999</v>
      </c>
      <c r="BC238" s="1">
        <v>0</v>
      </c>
      <c r="BD238" s="1">
        <v>0</v>
      </c>
      <c r="BE238" s="1">
        <v>16406.46</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27875.5</v>
      </c>
      <c r="BV238" s="1">
        <v>24373.39</v>
      </c>
      <c r="BW238" s="1">
        <v>13212.57</v>
      </c>
      <c r="BX238" s="1">
        <v>13141.96</v>
      </c>
      <c r="BY238" s="1">
        <v>27875.5</v>
      </c>
      <c r="BZ238" s="1">
        <v>24373.39</v>
      </c>
      <c r="CA238" s="1">
        <v>13212.57</v>
      </c>
      <c r="CB238" s="1">
        <v>13141.96</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55751</v>
      </c>
      <c r="CT238" s="1">
        <v>40155.22</v>
      </c>
      <c r="CU238" s="1">
        <v>2103.2600000000002</v>
      </c>
      <c r="CV238" s="1">
        <v>2546.64</v>
      </c>
      <c r="CW238" s="1">
        <v>55751</v>
      </c>
      <c r="CX238" s="1">
        <v>40155.22</v>
      </c>
      <c r="CY238" s="1">
        <v>2103.2600000000002</v>
      </c>
      <c r="CZ238" s="1">
        <v>2546.64</v>
      </c>
      <c r="DA238" s="1">
        <v>0</v>
      </c>
      <c r="DB238" s="1">
        <v>0</v>
      </c>
      <c r="DC238" s="1">
        <v>0</v>
      </c>
      <c r="DD238" s="1">
        <v>0</v>
      </c>
      <c r="DE238" s="1">
        <v>0</v>
      </c>
      <c r="DF238" s="1">
        <v>0</v>
      </c>
      <c r="DG238" s="1">
        <v>0</v>
      </c>
      <c r="DH238" s="1">
        <v>0</v>
      </c>
      <c r="DI238" s="1">
        <v>0</v>
      </c>
      <c r="DJ238" s="1">
        <v>0</v>
      </c>
      <c r="DK238" s="1">
        <v>0</v>
      </c>
      <c r="DL238" s="1">
        <v>0</v>
      </c>
      <c r="DM238" s="1">
        <v>13937.75</v>
      </c>
      <c r="DN238" s="1">
        <v>11675.33</v>
      </c>
      <c r="DO238" s="1">
        <v>4339.29</v>
      </c>
      <c r="DP238" s="1">
        <v>3630.34</v>
      </c>
      <c r="DQ238" s="1">
        <v>13937.75</v>
      </c>
      <c r="DR238" s="1">
        <v>11675.33</v>
      </c>
      <c r="DS238" s="1">
        <v>4339.29</v>
      </c>
      <c r="DT238" s="1">
        <v>3630.34</v>
      </c>
      <c r="DU238" s="1">
        <v>0</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41828.490000000013</v>
      </c>
      <c r="EL238" s="1">
        <v>32687.919999999998</v>
      </c>
      <c r="EM238" s="1">
        <v>594.42200000000003</v>
      </c>
      <c r="EN238" s="1">
        <v>1197.0899999999999</v>
      </c>
      <c r="EO238" s="1">
        <v>41828.490000000013</v>
      </c>
      <c r="EP238" s="1">
        <v>32687.919999999998</v>
      </c>
      <c r="EQ238" s="1">
        <v>594.42200000000003</v>
      </c>
      <c r="ER238" s="1">
        <v>1197.0899999999999</v>
      </c>
      <c r="ES238" s="1">
        <v>0</v>
      </c>
      <c r="ET238" s="1">
        <v>0</v>
      </c>
      <c r="EU238" s="1">
        <v>0</v>
      </c>
      <c r="EV238" s="1">
        <v>0</v>
      </c>
      <c r="EW238" s="1">
        <v>0</v>
      </c>
      <c r="EX238" s="1">
        <v>0</v>
      </c>
      <c r="EY238" s="1">
        <v>0</v>
      </c>
      <c r="EZ238" s="1">
        <v>0</v>
      </c>
      <c r="FA238" s="1">
        <v>0</v>
      </c>
      <c r="FB238" s="1">
        <v>0</v>
      </c>
      <c r="FC238" s="1">
        <v>0</v>
      </c>
      <c r="FD238" s="1">
        <v>0</v>
      </c>
      <c r="FE238" s="1">
        <v>10.647</v>
      </c>
      <c r="FF238" s="1">
        <v>7.7929999999999993</v>
      </c>
      <c r="FG238" s="1">
        <v>9.3500000000000014</v>
      </c>
      <c r="FH238" s="1">
        <v>5.6289999999999996</v>
      </c>
      <c r="FI238" s="1">
        <v>10.647</v>
      </c>
      <c r="FJ238" s="1">
        <v>7.7929999999999993</v>
      </c>
      <c r="FK238" s="1">
        <v>9.3500000000000014</v>
      </c>
      <c r="FL238" s="1">
        <v>5.6289999999999996</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v>0</v>
      </c>
      <c r="GC238" s="1">
        <v>13957.09</v>
      </c>
      <c r="GD238" s="1">
        <v>11088.65</v>
      </c>
      <c r="GE238" s="1">
        <v>8.6120000000000001</v>
      </c>
      <c r="GF238" s="1">
        <v>20.02</v>
      </c>
      <c r="GG238" s="1">
        <v>13957.09</v>
      </c>
      <c r="GH238" s="1">
        <v>11088.65</v>
      </c>
      <c r="GI238" s="1">
        <v>8.6120000000000001</v>
      </c>
      <c r="GJ238" s="1">
        <v>20.02</v>
      </c>
      <c r="GK238" s="1">
        <v>0</v>
      </c>
      <c r="GL238" s="1">
        <v>0</v>
      </c>
      <c r="GM238" s="1">
        <v>0</v>
      </c>
      <c r="GN238" s="1">
        <v>0</v>
      </c>
      <c r="GO238" s="1">
        <v>0</v>
      </c>
      <c r="GP238" s="1">
        <v>0</v>
      </c>
      <c r="GQ238" s="1">
        <v>0</v>
      </c>
      <c r="GR238" s="1">
        <v>0</v>
      </c>
      <c r="GS238" s="1">
        <v>0</v>
      </c>
      <c r="GT238" s="1">
        <v>0</v>
      </c>
      <c r="GU238" s="1">
        <v>0</v>
      </c>
      <c r="GV238" s="1">
        <v>0</v>
      </c>
      <c r="GW238" s="1">
        <v>0</v>
      </c>
      <c r="GX238" s="1">
        <v>0</v>
      </c>
      <c r="GY238" s="1">
        <v>0</v>
      </c>
      <c r="GZ238" s="1">
        <v>0</v>
      </c>
      <c r="HA238" s="1">
        <v>0</v>
      </c>
      <c r="HB238" s="1">
        <v>0</v>
      </c>
      <c r="HC238" s="1">
        <v>0</v>
      </c>
      <c r="HD238" s="1">
        <v>0</v>
      </c>
      <c r="HE238" s="1">
        <v>35.65</v>
      </c>
      <c r="HF238" s="1">
        <v>3293.1</v>
      </c>
      <c r="HG238" s="1">
        <v>0</v>
      </c>
      <c r="HH238" s="1">
        <v>0</v>
      </c>
      <c r="HI238" s="1">
        <v>35.65</v>
      </c>
      <c r="HJ238" s="1">
        <v>3293.1</v>
      </c>
      <c r="HK238" s="1">
        <v>0</v>
      </c>
      <c r="HL238" s="1">
        <v>0</v>
      </c>
      <c r="HM238" s="1">
        <v>0</v>
      </c>
      <c r="HN238" s="1">
        <v>0</v>
      </c>
      <c r="HO238" s="1">
        <v>0</v>
      </c>
      <c r="HP238" s="1">
        <v>0</v>
      </c>
      <c r="HQ238" s="1">
        <v>0</v>
      </c>
      <c r="HR238" s="1">
        <v>0</v>
      </c>
      <c r="HS238" s="1">
        <v>0</v>
      </c>
      <c r="HT238" s="1">
        <v>0</v>
      </c>
      <c r="HU238" s="1">
        <v>0</v>
      </c>
      <c r="HV238" s="1">
        <v>0</v>
      </c>
      <c r="HW238" s="1">
        <v>0</v>
      </c>
      <c r="HX238" s="1">
        <v>0</v>
      </c>
      <c r="HY238" s="1">
        <v>0</v>
      </c>
      <c r="HZ238" s="1">
        <v>0</v>
      </c>
      <c r="IA238" s="1">
        <v>0</v>
      </c>
      <c r="IB238" s="1">
        <v>0</v>
      </c>
      <c r="IC238" s="1">
        <v>0</v>
      </c>
      <c r="ID238" s="1">
        <v>0</v>
      </c>
      <c r="IE238" s="1">
        <v>0</v>
      </c>
      <c r="IF238" s="1">
        <v>0</v>
      </c>
      <c r="IG238" s="1">
        <v>0</v>
      </c>
      <c r="IH238" s="1">
        <v>0</v>
      </c>
      <c r="II238" s="1">
        <v>0</v>
      </c>
      <c r="IJ238" s="1">
        <v>0</v>
      </c>
      <c r="IK238" s="1">
        <v>0</v>
      </c>
      <c r="IL238" s="1">
        <v>0</v>
      </c>
      <c r="IM238" s="1">
        <v>0</v>
      </c>
      <c r="IN238" s="1">
        <v>0</v>
      </c>
      <c r="IO238" s="1">
        <v>509.7</v>
      </c>
      <c r="IP238" s="1">
        <v>398.28</v>
      </c>
      <c r="IQ238" s="1">
        <v>918.52</v>
      </c>
      <c r="IR238" s="1">
        <v>4.7720000000000002</v>
      </c>
      <c r="IS238" s="1">
        <v>509.7</v>
      </c>
      <c r="IT238" s="1">
        <v>398.28</v>
      </c>
      <c r="IU238" s="1">
        <v>918.52</v>
      </c>
      <c r="IV238" s="1">
        <v>4.7720000000000002</v>
      </c>
      <c r="IW238" s="1">
        <v>0</v>
      </c>
      <c r="IX238" s="1">
        <v>0</v>
      </c>
      <c r="IY238" s="1">
        <v>0</v>
      </c>
      <c r="IZ238" s="1">
        <v>0</v>
      </c>
      <c r="JA238" s="1">
        <v>0</v>
      </c>
      <c r="JB238" s="1">
        <v>0</v>
      </c>
      <c r="JC238" s="1">
        <v>0</v>
      </c>
      <c r="JD238" s="1">
        <v>0</v>
      </c>
      <c r="JE238" s="1">
        <v>0</v>
      </c>
      <c r="JF238" s="1">
        <v>0</v>
      </c>
      <c r="JG238" s="1">
        <v>0</v>
      </c>
      <c r="JH238" s="1">
        <v>0</v>
      </c>
      <c r="JI238" s="1">
        <v>0</v>
      </c>
      <c r="JJ238" s="1">
        <v>0</v>
      </c>
      <c r="JK238" s="1">
        <v>0</v>
      </c>
      <c r="JL238" s="1">
        <v>0</v>
      </c>
      <c r="JM238" s="1">
        <v>0</v>
      </c>
      <c r="JN238" s="1">
        <v>0</v>
      </c>
      <c r="JO238" s="1">
        <v>0</v>
      </c>
      <c r="JP238" s="1">
        <v>0</v>
      </c>
      <c r="JQ238" s="9"/>
      <c r="JR238" s="1">
        <f t="shared" si="48"/>
        <v>6586.2636299999976</v>
      </c>
      <c r="JS238" s="1">
        <f t="shared" si="48"/>
        <v>5664.0653999999977</v>
      </c>
      <c r="JT238" s="1">
        <f t="shared" si="48"/>
        <v>5628.609540000004</v>
      </c>
      <c r="JU238" s="1">
        <f t="shared" si="48"/>
        <v>4726.3041000000048</v>
      </c>
      <c r="JV238" s="1">
        <f t="shared" si="49"/>
        <v>1219.6784499999994</v>
      </c>
      <c r="JW238" s="1">
        <f t="shared" si="49"/>
        <v>1048.9009999999996</v>
      </c>
      <c r="JX238" s="1">
        <f t="shared" si="49"/>
        <v>1042.3351000000007</v>
      </c>
      <c r="JY238" s="1">
        <f t="shared" si="49"/>
        <v>875.24150000000088</v>
      </c>
    </row>
    <row r="239" spans="1:285" x14ac:dyDescent="0.35">
      <c r="A239" s="2" t="s">
        <v>246</v>
      </c>
      <c r="B239" s="1">
        <v>119511</v>
      </c>
      <c r="C239" s="1">
        <v>121493</v>
      </c>
      <c r="D239" s="1">
        <v>123282</v>
      </c>
      <c r="E239" s="1">
        <v>124456</v>
      </c>
      <c r="F239" s="1">
        <v>39652.152999999998</v>
      </c>
      <c r="G239" s="1">
        <v>39551.966999999997</v>
      </c>
      <c r="H239" s="1">
        <v>37456.722999999998</v>
      </c>
      <c r="I239" s="1">
        <v>37712.400999999998</v>
      </c>
      <c r="J239" s="1">
        <f t="shared" si="50"/>
        <v>25189.073</v>
      </c>
      <c r="K239" s="1">
        <f t="shared" si="51"/>
        <v>24367.249999999996</v>
      </c>
      <c r="L239" s="1">
        <f t="shared" si="52"/>
        <v>22946.381999999998</v>
      </c>
      <c r="M239" s="1">
        <f t="shared" si="53"/>
        <v>23719.326000000001</v>
      </c>
      <c r="N239" s="1">
        <f t="shared" si="54"/>
        <v>14463.079999999998</v>
      </c>
      <c r="O239" s="1">
        <f t="shared" si="55"/>
        <v>15184.717000000001</v>
      </c>
      <c r="P239" s="1">
        <f t="shared" si="56"/>
        <v>14510.341</v>
      </c>
      <c r="Q239" s="1">
        <f t="shared" si="57"/>
        <v>13993.074999999997</v>
      </c>
      <c r="R239" s="1">
        <v>6143.84</v>
      </c>
      <c r="S239" s="1">
        <v>5990.5</v>
      </c>
      <c r="T239" s="1">
        <v>5505.4</v>
      </c>
      <c r="U239" s="1">
        <v>5266.18</v>
      </c>
      <c r="V239" s="1">
        <v>0</v>
      </c>
      <c r="W239" s="1">
        <v>0</v>
      </c>
      <c r="X239" s="1">
        <v>6143.84</v>
      </c>
      <c r="Y239" s="1">
        <v>0</v>
      </c>
      <c r="Z239" s="1">
        <v>0</v>
      </c>
      <c r="AA239" s="1">
        <v>5990.5</v>
      </c>
      <c r="AB239" s="1">
        <v>0</v>
      </c>
      <c r="AC239" s="1">
        <v>0</v>
      </c>
      <c r="AD239" s="1">
        <v>5505.4</v>
      </c>
      <c r="AE239" s="1">
        <v>0</v>
      </c>
      <c r="AF239" s="1">
        <v>0</v>
      </c>
      <c r="AG239" s="1">
        <v>5266.18</v>
      </c>
      <c r="AH239" s="1">
        <v>0</v>
      </c>
      <c r="AI239" s="1">
        <v>0</v>
      </c>
      <c r="AJ239" s="1">
        <v>0</v>
      </c>
      <c r="AK239" s="1">
        <v>0</v>
      </c>
      <c r="AL239" s="1">
        <v>0</v>
      </c>
      <c r="AM239" s="1">
        <v>0</v>
      </c>
      <c r="AN239" s="1">
        <v>0</v>
      </c>
      <c r="AO239" s="1">
        <v>0</v>
      </c>
      <c r="AP239" s="1">
        <v>4203.8600000000006</v>
      </c>
      <c r="AQ239" s="1">
        <v>4714.2199999999993</v>
      </c>
      <c r="AR239" s="1">
        <v>4490.08</v>
      </c>
      <c r="AS239" s="1">
        <v>5016.16</v>
      </c>
      <c r="AT239" s="1">
        <v>0</v>
      </c>
      <c r="AU239" s="1">
        <v>4203.8600000000006</v>
      </c>
      <c r="AV239" s="1">
        <v>0</v>
      </c>
      <c r="AW239" s="1">
        <v>0</v>
      </c>
      <c r="AX239" s="1">
        <v>0</v>
      </c>
      <c r="AY239" s="1">
        <v>4714.2199999999993</v>
      </c>
      <c r="AZ239" s="1">
        <v>0</v>
      </c>
      <c r="BA239" s="1">
        <v>0</v>
      </c>
      <c r="BB239" s="1">
        <v>0</v>
      </c>
      <c r="BC239" s="1">
        <v>4490.08</v>
      </c>
      <c r="BD239" s="1">
        <v>0</v>
      </c>
      <c r="BE239" s="1">
        <v>0</v>
      </c>
      <c r="BF239" s="1">
        <v>5016.16</v>
      </c>
      <c r="BG239" s="1">
        <v>0</v>
      </c>
      <c r="BH239" s="1">
        <v>0</v>
      </c>
      <c r="BI239" s="1">
        <v>0</v>
      </c>
      <c r="BJ239" s="1">
        <v>0</v>
      </c>
      <c r="BK239" s="1">
        <v>0</v>
      </c>
      <c r="BL239" s="1">
        <v>0</v>
      </c>
      <c r="BM239" s="1">
        <v>0</v>
      </c>
      <c r="BN239" s="1">
        <v>0</v>
      </c>
      <c r="BO239" s="1">
        <v>0</v>
      </c>
      <c r="BP239" s="1">
        <v>0</v>
      </c>
      <c r="BQ239" s="1">
        <v>0</v>
      </c>
      <c r="BR239" s="1">
        <v>0</v>
      </c>
      <c r="BS239" s="1">
        <v>0</v>
      </c>
      <c r="BT239" s="1">
        <v>0</v>
      </c>
      <c r="BU239" s="1">
        <v>5884.5569999999998</v>
      </c>
      <c r="BV239" s="1">
        <v>5201.6170000000002</v>
      </c>
      <c r="BW239" s="1">
        <v>4833.5659999999998</v>
      </c>
      <c r="BX239" s="1">
        <v>4650.7179999999998</v>
      </c>
      <c r="BY239" s="1">
        <v>5843.18</v>
      </c>
      <c r="BZ239" s="1">
        <v>5121.2700000000004</v>
      </c>
      <c r="CA239" s="1">
        <v>4695.1180000000004</v>
      </c>
      <c r="CB239" s="1">
        <v>4571.67</v>
      </c>
      <c r="CC239" s="1">
        <v>41.377000000000002</v>
      </c>
      <c r="CD239" s="1">
        <v>80.346999999999994</v>
      </c>
      <c r="CE239" s="1">
        <v>138.44800000000001</v>
      </c>
      <c r="CF239" s="1">
        <v>79.048000000000002</v>
      </c>
      <c r="CG239" s="1">
        <v>0</v>
      </c>
      <c r="CH239" s="1">
        <v>0</v>
      </c>
      <c r="CI239" s="1">
        <v>0</v>
      </c>
      <c r="CJ239" s="1">
        <v>0</v>
      </c>
      <c r="CK239" s="1">
        <v>0</v>
      </c>
      <c r="CL239" s="1">
        <v>0</v>
      </c>
      <c r="CM239" s="1">
        <v>0</v>
      </c>
      <c r="CN239" s="1">
        <v>0</v>
      </c>
      <c r="CO239" s="1">
        <v>0</v>
      </c>
      <c r="CP239" s="1">
        <v>0</v>
      </c>
      <c r="CQ239" s="1">
        <v>0</v>
      </c>
      <c r="CR239" s="1">
        <v>0</v>
      </c>
      <c r="CS239" s="1">
        <v>2520.1999999999998</v>
      </c>
      <c r="CT239" s="1">
        <v>2230.65</v>
      </c>
      <c r="CU239" s="1">
        <v>2786.172</v>
      </c>
      <c r="CV239" s="1">
        <v>2957.92</v>
      </c>
      <c r="CW239" s="1">
        <v>2513.5300000000002</v>
      </c>
      <c r="CX239" s="1">
        <v>2158.92</v>
      </c>
      <c r="CY239" s="1">
        <v>2786.172</v>
      </c>
      <c r="CZ239" s="1">
        <v>2957.92</v>
      </c>
      <c r="DA239" s="1">
        <v>6.67</v>
      </c>
      <c r="DB239" s="1">
        <v>71.73</v>
      </c>
      <c r="DC239" s="1">
        <v>0</v>
      </c>
      <c r="DD239" s="1">
        <v>0</v>
      </c>
      <c r="DE239" s="1">
        <v>0</v>
      </c>
      <c r="DF239" s="1">
        <v>0</v>
      </c>
      <c r="DG239" s="1">
        <v>0</v>
      </c>
      <c r="DH239" s="1">
        <v>0</v>
      </c>
      <c r="DI239" s="1">
        <v>0</v>
      </c>
      <c r="DJ239" s="1">
        <v>0</v>
      </c>
      <c r="DK239" s="1">
        <v>0</v>
      </c>
      <c r="DL239" s="1">
        <v>0</v>
      </c>
      <c r="DM239" s="1">
        <v>4262.3599999999997</v>
      </c>
      <c r="DN239" s="1">
        <v>3944.71</v>
      </c>
      <c r="DO239" s="1">
        <v>3145.77</v>
      </c>
      <c r="DP239" s="1">
        <v>2982.1</v>
      </c>
      <c r="DQ239" s="1">
        <v>3733</v>
      </c>
      <c r="DR239" s="1">
        <v>3130.19</v>
      </c>
      <c r="DS239" s="1">
        <v>3145.77</v>
      </c>
      <c r="DT239" s="1">
        <v>2982.1</v>
      </c>
      <c r="DU239" s="1">
        <v>529.36</v>
      </c>
      <c r="DV239" s="1">
        <v>814.52</v>
      </c>
      <c r="DW239" s="1">
        <v>0</v>
      </c>
      <c r="DX239" s="1">
        <v>0</v>
      </c>
      <c r="DY239" s="1">
        <v>0</v>
      </c>
      <c r="DZ239" s="1">
        <v>0</v>
      </c>
      <c r="EA239" s="1">
        <v>0</v>
      </c>
      <c r="EB239" s="1">
        <v>0</v>
      </c>
      <c r="EC239" s="1">
        <v>0</v>
      </c>
      <c r="ED239" s="1">
        <v>0</v>
      </c>
      <c r="EE239" s="1">
        <v>0</v>
      </c>
      <c r="EF239" s="1">
        <v>0</v>
      </c>
      <c r="EG239" s="1">
        <v>0</v>
      </c>
      <c r="EH239" s="1">
        <v>0</v>
      </c>
      <c r="EI239" s="1">
        <v>0</v>
      </c>
      <c r="EJ239" s="1">
        <v>0</v>
      </c>
      <c r="EK239" s="1">
        <v>1831.76</v>
      </c>
      <c r="EL239" s="1">
        <v>1820.796</v>
      </c>
      <c r="EM239" s="1">
        <v>1668.1669999999999</v>
      </c>
      <c r="EN239" s="1">
        <v>2286.2890000000002</v>
      </c>
      <c r="EO239" s="1">
        <v>1724.88</v>
      </c>
      <c r="EP239" s="1">
        <v>1634.856</v>
      </c>
      <c r="EQ239" s="1">
        <v>1498.347</v>
      </c>
      <c r="ER239" s="1">
        <v>2094.819</v>
      </c>
      <c r="ES239" s="1">
        <v>106.88</v>
      </c>
      <c r="ET239" s="1">
        <v>185.94</v>
      </c>
      <c r="EU239" s="1">
        <v>169.82</v>
      </c>
      <c r="EV239" s="1">
        <v>191.47</v>
      </c>
      <c r="EW239" s="1">
        <v>0</v>
      </c>
      <c r="EX239" s="1">
        <v>0</v>
      </c>
      <c r="EY239" s="1">
        <v>0</v>
      </c>
      <c r="EZ239" s="1">
        <v>0</v>
      </c>
      <c r="FA239" s="1">
        <v>0</v>
      </c>
      <c r="FB239" s="1">
        <v>0</v>
      </c>
      <c r="FC239" s="1">
        <v>0</v>
      </c>
      <c r="FD239" s="1">
        <v>0</v>
      </c>
      <c r="FE239" s="1">
        <v>219.506</v>
      </c>
      <c r="FF239" s="1">
        <v>328.95699999999999</v>
      </c>
      <c r="FG239" s="1">
        <v>447.01100000000002</v>
      </c>
      <c r="FH239" s="1">
        <v>426.923</v>
      </c>
      <c r="FI239" s="1">
        <v>0</v>
      </c>
      <c r="FJ239" s="1">
        <v>17.451000000000001</v>
      </c>
      <c r="FK239" s="1">
        <v>11.755000000000001</v>
      </c>
      <c r="FL239" s="1">
        <v>0</v>
      </c>
      <c r="FM239" s="1">
        <v>219.506</v>
      </c>
      <c r="FN239" s="1">
        <v>311.50599999999997</v>
      </c>
      <c r="FO239" s="1">
        <v>435.25599999999997</v>
      </c>
      <c r="FP239" s="1">
        <v>426.923</v>
      </c>
      <c r="FQ239" s="1">
        <v>0</v>
      </c>
      <c r="FR239" s="1">
        <v>0</v>
      </c>
      <c r="FS239" s="1">
        <v>0</v>
      </c>
      <c r="FT239" s="1">
        <v>0</v>
      </c>
      <c r="FU239" s="1">
        <v>0</v>
      </c>
      <c r="FV239" s="1">
        <v>0</v>
      </c>
      <c r="FW239" s="1">
        <v>0</v>
      </c>
      <c r="FX239" s="1">
        <v>0</v>
      </c>
      <c r="FY239" s="1">
        <v>0</v>
      </c>
      <c r="FZ239" s="1">
        <v>0</v>
      </c>
      <c r="GA239" s="1">
        <v>0</v>
      </c>
      <c r="GB239" s="1">
        <v>0</v>
      </c>
      <c r="GC239" s="1">
        <v>120.92</v>
      </c>
      <c r="GD239" s="1">
        <v>135.80000000000001</v>
      </c>
      <c r="GE239" s="1">
        <v>33.380000000000003</v>
      </c>
      <c r="GF239" s="1">
        <v>67.81</v>
      </c>
      <c r="GG239" s="1">
        <v>120.92</v>
      </c>
      <c r="GH239" s="1">
        <v>135.80000000000001</v>
      </c>
      <c r="GI239" s="1">
        <v>33.380000000000003</v>
      </c>
      <c r="GJ239" s="1">
        <v>67.81</v>
      </c>
      <c r="GK239" s="1">
        <v>0</v>
      </c>
      <c r="GL239" s="1">
        <v>0</v>
      </c>
      <c r="GM239" s="1">
        <v>0</v>
      </c>
      <c r="GN239" s="1">
        <v>0</v>
      </c>
      <c r="GO239" s="1">
        <v>0</v>
      </c>
      <c r="GP239" s="1">
        <v>0</v>
      </c>
      <c r="GQ239" s="1">
        <v>0</v>
      </c>
      <c r="GR239" s="1">
        <v>0</v>
      </c>
      <c r="GS239" s="1">
        <v>0</v>
      </c>
      <c r="GT239" s="1">
        <v>0</v>
      </c>
      <c r="GU239" s="1">
        <v>0</v>
      </c>
      <c r="GV239" s="1">
        <v>0</v>
      </c>
      <c r="GW239" s="1">
        <v>0</v>
      </c>
      <c r="GX239" s="1">
        <v>0</v>
      </c>
      <c r="GY239" s="1">
        <v>0</v>
      </c>
      <c r="GZ239" s="1">
        <v>0</v>
      </c>
      <c r="HA239" s="1">
        <v>0</v>
      </c>
      <c r="HB239" s="1">
        <v>0</v>
      </c>
      <c r="HC239" s="1">
        <v>0</v>
      </c>
      <c r="HD239" s="1">
        <v>0</v>
      </c>
      <c r="HE239" s="1">
        <v>0</v>
      </c>
      <c r="HF239" s="1">
        <v>0</v>
      </c>
      <c r="HG239" s="1">
        <v>0</v>
      </c>
      <c r="HH239" s="1">
        <v>0</v>
      </c>
      <c r="HI239" s="1">
        <v>0</v>
      </c>
      <c r="HJ239" s="1">
        <v>0</v>
      </c>
      <c r="HK239" s="1">
        <v>0</v>
      </c>
      <c r="HL239" s="1">
        <v>0</v>
      </c>
      <c r="HM239" s="1">
        <v>0</v>
      </c>
      <c r="HN239" s="1">
        <v>0</v>
      </c>
      <c r="HO239" s="1">
        <v>0</v>
      </c>
      <c r="HP239" s="1">
        <v>0</v>
      </c>
      <c r="HQ239" s="1">
        <v>0</v>
      </c>
      <c r="HR239" s="1">
        <v>0</v>
      </c>
      <c r="HS239" s="1">
        <v>0</v>
      </c>
      <c r="HT239" s="1">
        <v>0</v>
      </c>
      <c r="HU239" s="1">
        <v>0</v>
      </c>
      <c r="HV239" s="1">
        <v>0</v>
      </c>
      <c r="HW239" s="1">
        <v>0</v>
      </c>
      <c r="HX239" s="1">
        <v>0</v>
      </c>
      <c r="HY239" s="1">
        <v>0</v>
      </c>
      <c r="HZ239" s="1">
        <v>0</v>
      </c>
      <c r="IA239" s="1">
        <v>0</v>
      </c>
      <c r="IB239" s="1">
        <v>0</v>
      </c>
      <c r="IC239" s="1">
        <v>0</v>
      </c>
      <c r="ID239" s="1">
        <v>0</v>
      </c>
      <c r="IE239" s="1">
        <v>0</v>
      </c>
      <c r="IF239" s="1">
        <v>0</v>
      </c>
      <c r="IG239" s="1">
        <v>0</v>
      </c>
      <c r="IH239" s="1">
        <v>0</v>
      </c>
      <c r="II239" s="1">
        <v>0</v>
      </c>
      <c r="IJ239" s="1">
        <v>0</v>
      </c>
      <c r="IK239" s="1">
        <v>0</v>
      </c>
      <c r="IL239" s="1">
        <v>0</v>
      </c>
      <c r="IM239" s="1">
        <v>0</v>
      </c>
      <c r="IN239" s="1">
        <v>0</v>
      </c>
      <c r="IO239" s="1">
        <v>2.0699999999999998</v>
      </c>
      <c r="IP239" s="1">
        <v>0</v>
      </c>
      <c r="IQ239" s="1">
        <v>36.835999999999999</v>
      </c>
      <c r="IR239" s="1">
        <v>65.225999999999999</v>
      </c>
      <c r="IS239" s="1">
        <v>2.0699999999999998</v>
      </c>
      <c r="IT239" s="1">
        <v>0</v>
      </c>
      <c r="IU239" s="1">
        <v>36.835999999999999</v>
      </c>
      <c r="IV239" s="1">
        <v>65.225999999999999</v>
      </c>
      <c r="IW239" s="1">
        <v>0</v>
      </c>
      <c r="IX239" s="1">
        <v>0</v>
      </c>
      <c r="IY239" s="1">
        <v>0</v>
      </c>
      <c r="IZ239" s="1">
        <v>0</v>
      </c>
      <c r="JA239" s="1">
        <v>0</v>
      </c>
      <c r="JB239" s="1">
        <v>0</v>
      </c>
      <c r="JC239" s="1">
        <v>0</v>
      </c>
      <c r="JD239" s="1">
        <v>0</v>
      </c>
      <c r="JE239" s="1">
        <v>0</v>
      </c>
      <c r="JF239" s="1">
        <v>0</v>
      </c>
      <c r="JG239" s="1">
        <v>0</v>
      </c>
      <c r="JH239" s="1">
        <v>0</v>
      </c>
      <c r="JI239" s="1">
        <v>0</v>
      </c>
      <c r="JJ239" s="1">
        <v>0</v>
      </c>
      <c r="JK239" s="1">
        <v>0</v>
      </c>
      <c r="JL239" s="1">
        <v>0</v>
      </c>
      <c r="JM239" s="1">
        <v>0</v>
      </c>
      <c r="JN239" s="1">
        <v>0</v>
      </c>
      <c r="JO239" s="1">
        <v>0</v>
      </c>
      <c r="JP239" s="1">
        <v>0</v>
      </c>
      <c r="JQ239" s="9"/>
      <c r="JR239" s="1">
        <f t="shared" si="48"/>
        <v>3905.0315999999998</v>
      </c>
      <c r="JS239" s="1">
        <f t="shared" si="48"/>
        <v>4099.8735900000001</v>
      </c>
      <c r="JT239" s="1">
        <f t="shared" si="48"/>
        <v>3917.7920700000004</v>
      </c>
      <c r="JU239" s="1">
        <f t="shared" si="48"/>
        <v>3778.1302499999993</v>
      </c>
      <c r="JV239" s="1">
        <f t="shared" si="49"/>
        <v>723.154</v>
      </c>
      <c r="JW239" s="1">
        <f t="shared" si="49"/>
        <v>759.23585000000003</v>
      </c>
      <c r="JX239" s="1">
        <f t="shared" si="49"/>
        <v>725.51705000000004</v>
      </c>
      <c r="JY239" s="1">
        <f t="shared" si="49"/>
        <v>699.65374999999995</v>
      </c>
    </row>
    <row r="240" spans="1:285" x14ac:dyDescent="0.35">
      <c r="A240" s="2" t="s">
        <v>247</v>
      </c>
      <c r="B240" s="1">
        <v>273583</v>
      </c>
      <c r="C240" s="1">
        <v>274378</v>
      </c>
      <c r="D240" s="1">
        <v>278013</v>
      </c>
      <c r="E240" s="1">
        <v>283606</v>
      </c>
      <c r="F240" s="1">
        <v>293234.32</v>
      </c>
      <c r="G240" s="1">
        <v>291726.40000000002</v>
      </c>
      <c r="H240" s="1">
        <v>275759.14600000001</v>
      </c>
      <c r="I240" s="1">
        <v>272475.44099999999</v>
      </c>
      <c r="J240" s="1">
        <f t="shared" si="50"/>
        <v>67823.7</v>
      </c>
      <c r="K240" s="1">
        <f t="shared" si="51"/>
        <v>69262.87000000001</v>
      </c>
      <c r="L240" s="1">
        <f t="shared" si="52"/>
        <v>76549.990999999995</v>
      </c>
      <c r="M240" s="1">
        <f t="shared" si="53"/>
        <v>70518.719000000012</v>
      </c>
      <c r="N240" s="1">
        <f t="shared" si="54"/>
        <v>225410.62</v>
      </c>
      <c r="O240" s="1">
        <f t="shared" si="55"/>
        <v>222463.53000000003</v>
      </c>
      <c r="P240" s="1">
        <f t="shared" si="56"/>
        <v>199209.15500000003</v>
      </c>
      <c r="Q240" s="1">
        <f t="shared" si="57"/>
        <v>201956.72199999998</v>
      </c>
      <c r="R240" s="1">
        <v>0</v>
      </c>
      <c r="S240" s="1">
        <v>0</v>
      </c>
      <c r="T240" s="1">
        <v>0</v>
      </c>
      <c r="U240" s="1">
        <v>0</v>
      </c>
      <c r="V240" s="1">
        <v>0</v>
      </c>
      <c r="W240" s="1">
        <v>0</v>
      </c>
      <c r="X240" s="1">
        <v>0</v>
      </c>
      <c r="Y240" s="1">
        <v>0</v>
      </c>
      <c r="Z240" s="1">
        <v>0</v>
      </c>
      <c r="AA240" s="1">
        <v>0</v>
      </c>
      <c r="AB240" s="1">
        <v>0</v>
      </c>
      <c r="AC240" s="1">
        <v>0</v>
      </c>
      <c r="AD240" s="1">
        <v>0</v>
      </c>
      <c r="AE240" s="1">
        <v>0</v>
      </c>
      <c r="AF240" s="1">
        <v>0</v>
      </c>
      <c r="AG240" s="1">
        <v>0</v>
      </c>
      <c r="AH240" s="1">
        <v>0</v>
      </c>
      <c r="AI240" s="1">
        <v>0</v>
      </c>
      <c r="AJ240" s="1">
        <v>0</v>
      </c>
      <c r="AK240" s="1">
        <v>0</v>
      </c>
      <c r="AL240" s="1">
        <v>0</v>
      </c>
      <c r="AM240" s="1">
        <v>0</v>
      </c>
      <c r="AN240" s="1">
        <v>0</v>
      </c>
      <c r="AO240" s="1">
        <v>0</v>
      </c>
      <c r="AP240" s="1">
        <v>9613.9600000000009</v>
      </c>
      <c r="AQ240" s="1">
        <v>9507.9700000000012</v>
      </c>
      <c r="AR240" s="1">
        <v>9095.02</v>
      </c>
      <c r="AS240" s="1">
        <v>9927.7570000000014</v>
      </c>
      <c r="AT240" s="1">
        <v>0</v>
      </c>
      <c r="AU240" s="1">
        <v>9613.9600000000009</v>
      </c>
      <c r="AV240" s="1">
        <v>0</v>
      </c>
      <c r="AW240" s="1">
        <v>0</v>
      </c>
      <c r="AX240" s="1">
        <v>0</v>
      </c>
      <c r="AY240" s="1">
        <v>9507.9700000000012</v>
      </c>
      <c r="AZ240" s="1">
        <v>0</v>
      </c>
      <c r="BA240" s="1">
        <v>0</v>
      </c>
      <c r="BB240" s="1">
        <v>0</v>
      </c>
      <c r="BC240" s="1">
        <v>9095.02</v>
      </c>
      <c r="BD240" s="1">
        <v>0</v>
      </c>
      <c r="BE240" s="1">
        <v>0</v>
      </c>
      <c r="BF240" s="1">
        <v>9927.7570000000014</v>
      </c>
      <c r="BG240" s="1">
        <v>0</v>
      </c>
      <c r="BH240" s="1">
        <v>0</v>
      </c>
      <c r="BI240" s="1">
        <v>0</v>
      </c>
      <c r="BJ240" s="1">
        <v>0</v>
      </c>
      <c r="BK240" s="1">
        <v>0</v>
      </c>
      <c r="BL240" s="1">
        <v>0</v>
      </c>
      <c r="BM240" s="1">
        <v>0</v>
      </c>
      <c r="BN240" s="1">
        <v>0</v>
      </c>
      <c r="BO240" s="1">
        <v>0</v>
      </c>
      <c r="BP240" s="1">
        <v>0</v>
      </c>
      <c r="BQ240" s="1">
        <v>0</v>
      </c>
      <c r="BR240" s="1">
        <v>0</v>
      </c>
      <c r="BS240" s="1">
        <v>0</v>
      </c>
      <c r="BT240" s="1">
        <v>0</v>
      </c>
      <c r="BU240" s="1">
        <v>20182.96</v>
      </c>
      <c r="BV240" s="1">
        <v>22119.11</v>
      </c>
      <c r="BW240" s="1">
        <v>22978.241000000002</v>
      </c>
      <c r="BX240" s="1">
        <v>17286.217000000001</v>
      </c>
      <c r="BY240" s="1">
        <v>20133.490000000002</v>
      </c>
      <c r="BZ240" s="1">
        <v>22087.89</v>
      </c>
      <c r="CA240" s="1">
        <v>22948.041000000001</v>
      </c>
      <c r="CB240" s="1">
        <v>17155.066999999999</v>
      </c>
      <c r="CC240" s="1">
        <v>49.47</v>
      </c>
      <c r="CD240" s="1">
        <v>31.22</v>
      </c>
      <c r="CE240" s="1">
        <v>30.2</v>
      </c>
      <c r="CF240" s="1">
        <v>131.15</v>
      </c>
      <c r="CG240" s="1">
        <v>0</v>
      </c>
      <c r="CH240" s="1">
        <v>0</v>
      </c>
      <c r="CI240" s="1">
        <v>0</v>
      </c>
      <c r="CJ240" s="1">
        <v>0</v>
      </c>
      <c r="CK240" s="1">
        <v>0</v>
      </c>
      <c r="CL240" s="1">
        <v>0</v>
      </c>
      <c r="CM240" s="1">
        <v>0</v>
      </c>
      <c r="CN240" s="1">
        <v>0</v>
      </c>
      <c r="CO240" s="1">
        <v>0</v>
      </c>
      <c r="CP240" s="1">
        <v>0</v>
      </c>
      <c r="CQ240" s="1">
        <v>0</v>
      </c>
      <c r="CR240" s="1">
        <v>0</v>
      </c>
      <c r="CS240" s="1">
        <v>3979.04</v>
      </c>
      <c r="CT240" s="1">
        <v>4853.97</v>
      </c>
      <c r="CU240" s="1">
        <v>8818.8160000000007</v>
      </c>
      <c r="CV240" s="1">
        <v>7517.880000000001</v>
      </c>
      <c r="CW240" s="1">
        <v>3979.04</v>
      </c>
      <c r="CX240" s="1">
        <v>4853.97</v>
      </c>
      <c r="CY240" s="1">
        <v>8812.9459999999999</v>
      </c>
      <c r="CZ240" s="1">
        <v>7404.4599999999991</v>
      </c>
      <c r="DA240" s="1">
        <v>0</v>
      </c>
      <c r="DB240" s="1">
        <v>0</v>
      </c>
      <c r="DC240" s="1">
        <v>5.87</v>
      </c>
      <c r="DD240" s="1">
        <v>113.42</v>
      </c>
      <c r="DE240" s="1">
        <v>0</v>
      </c>
      <c r="DF240" s="1">
        <v>0</v>
      </c>
      <c r="DG240" s="1">
        <v>0</v>
      </c>
      <c r="DH240" s="1">
        <v>0</v>
      </c>
      <c r="DI240" s="1">
        <v>0</v>
      </c>
      <c r="DJ240" s="1">
        <v>0</v>
      </c>
      <c r="DK240" s="1">
        <v>0</v>
      </c>
      <c r="DL240" s="1">
        <v>0</v>
      </c>
      <c r="DM240" s="1">
        <v>6062.9900000000007</v>
      </c>
      <c r="DN240" s="1">
        <v>6574.64</v>
      </c>
      <c r="DO240" s="1">
        <v>9456.8060000000005</v>
      </c>
      <c r="DP240" s="1">
        <v>10133.294</v>
      </c>
      <c r="DQ240" s="1">
        <v>6062.9900000000007</v>
      </c>
      <c r="DR240" s="1">
        <v>6574.64</v>
      </c>
      <c r="DS240" s="1">
        <v>9456.8060000000005</v>
      </c>
      <c r="DT240" s="1">
        <v>10133.294</v>
      </c>
      <c r="DU240" s="1">
        <v>0</v>
      </c>
      <c r="DV240" s="1">
        <v>0</v>
      </c>
      <c r="DW240" s="1">
        <v>0</v>
      </c>
      <c r="DX240" s="1">
        <v>0</v>
      </c>
      <c r="DY240" s="1">
        <v>0</v>
      </c>
      <c r="DZ240" s="1">
        <v>0</v>
      </c>
      <c r="EA240" s="1">
        <v>0</v>
      </c>
      <c r="EB240" s="1">
        <v>0</v>
      </c>
      <c r="EC240" s="1">
        <v>0</v>
      </c>
      <c r="ED240" s="1">
        <v>0</v>
      </c>
      <c r="EE240" s="1">
        <v>0</v>
      </c>
      <c r="EF240" s="1">
        <v>0</v>
      </c>
      <c r="EG240" s="1">
        <v>0</v>
      </c>
      <c r="EH240" s="1">
        <v>0</v>
      </c>
      <c r="EI240" s="1">
        <v>0</v>
      </c>
      <c r="EJ240" s="1">
        <v>0</v>
      </c>
      <c r="EK240" s="1">
        <v>23530.81</v>
      </c>
      <c r="EL240" s="1">
        <v>20060.439999999999</v>
      </c>
      <c r="EM240" s="1">
        <v>17557.188999999998</v>
      </c>
      <c r="EN240" s="1">
        <v>15361.6</v>
      </c>
      <c r="EO240" s="1">
        <v>23519.34</v>
      </c>
      <c r="EP240" s="1">
        <v>20046.830000000002</v>
      </c>
      <c r="EQ240" s="1">
        <v>17546.739000000001</v>
      </c>
      <c r="ER240" s="1">
        <v>15235.63</v>
      </c>
      <c r="ES240" s="1">
        <v>11.47</v>
      </c>
      <c r="ET240" s="1">
        <v>13.61</v>
      </c>
      <c r="EU240" s="1">
        <v>10.45</v>
      </c>
      <c r="EV240" s="1">
        <v>125.97</v>
      </c>
      <c r="EW240" s="1">
        <v>0</v>
      </c>
      <c r="EX240" s="1">
        <v>0</v>
      </c>
      <c r="EY240" s="1">
        <v>0</v>
      </c>
      <c r="EZ240" s="1">
        <v>0</v>
      </c>
      <c r="FA240" s="1">
        <v>0</v>
      </c>
      <c r="FB240" s="1">
        <v>0</v>
      </c>
      <c r="FC240" s="1">
        <v>0</v>
      </c>
      <c r="FD240" s="1">
        <v>0</v>
      </c>
      <c r="FE240" s="1">
        <v>444.22</v>
      </c>
      <c r="FF240" s="1">
        <v>174.58</v>
      </c>
      <c r="FG240" s="1">
        <v>152.16</v>
      </c>
      <c r="FH240" s="1">
        <v>218.13499999999999</v>
      </c>
      <c r="FI240" s="1">
        <v>264.18999999999988</v>
      </c>
      <c r="FJ240" s="1">
        <v>55.86</v>
      </c>
      <c r="FK240" s="1">
        <v>80.150000000000006</v>
      </c>
      <c r="FL240" s="1">
        <v>28.6</v>
      </c>
      <c r="FM240" s="1">
        <v>180.03</v>
      </c>
      <c r="FN240" s="1">
        <v>118.72</v>
      </c>
      <c r="FO240" s="1">
        <v>72.010000000000005</v>
      </c>
      <c r="FP240" s="1">
        <v>189.535</v>
      </c>
      <c r="FQ240" s="1">
        <v>0</v>
      </c>
      <c r="FR240" s="1">
        <v>0</v>
      </c>
      <c r="FS240" s="1">
        <v>0</v>
      </c>
      <c r="FT240" s="1">
        <v>0</v>
      </c>
      <c r="FU240" s="1">
        <v>0</v>
      </c>
      <c r="FV240" s="1">
        <v>0</v>
      </c>
      <c r="FW240" s="1">
        <v>0</v>
      </c>
      <c r="FX240" s="1">
        <v>0</v>
      </c>
      <c r="FY240" s="1">
        <v>0</v>
      </c>
      <c r="FZ240" s="1">
        <v>0</v>
      </c>
      <c r="GA240" s="1">
        <v>0</v>
      </c>
      <c r="GB240" s="1">
        <v>0</v>
      </c>
      <c r="GC240" s="1">
        <v>2378.46</v>
      </c>
      <c r="GD240" s="1">
        <v>2740.68</v>
      </c>
      <c r="GE240" s="1">
        <v>2420.2220000000002</v>
      </c>
      <c r="GF240" s="1">
        <v>3442.279</v>
      </c>
      <c r="GG240" s="1">
        <v>2378.46</v>
      </c>
      <c r="GH240" s="1">
        <v>2740.68</v>
      </c>
      <c r="GI240" s="1">
        <v>2402.6120000000001</v>
      </c>
      <c r="GJ240" s="1">
        <v>2997.5189999999998</v>
      </c>
      <c r="GK240" s="1">
        <v>0</v>
      </c>
      <c r="GL240" s="1">
        <v>0</v>
      </c>
      <c r="GM240" s="1">
        <v>17.61</v>
      </c>
      <c r="GN240" s="1">
        <v>444.76</v>
      </c>
      <c r="GO240" s="1">
        <v>0</v>
      </c>
      <c r="GP240" s="1">
        <v>0</v>
      </c>
      <c r="GQ240" s="1">
        <v>0</v>
      </c>
      <c r="GR240" s="1">
        <v>0</v>
      </c>
      <c r="GS240" s="1">
        <v>0</v>
      </c>
      <c r="GT240" s="1">
        <v>0</v>
      </c>
      <c r="GU240" s="1">
        <v>0</v>
      </c>
      <c r="GV240" s="1">
        <v>0</v>
      </c>
      <c r="GW240" s="1">
        <v>0</v>
      </c>
      <c r="GX240" s="1">
        <v>0</v>
      </c>
      <c r="GY240" s="1">
        <v>0</v>
      </c>
      <c r="GZ240" s="1">
        <v>0</v>
      </c>
      <c r="HA240" s="1">
        <v>0</v>
      </c>
      <c r="HB240" s="1">
        <v>0</v>
      </c>
      <c r="HC240" s="1">
        <v>0</v>
      </c>
      <c r="HD240" s="1">
        <v>0</v>
      </c>
      <c r="HE240" s="1">
        <v>849.78000000000009</v>
      </c>
      <c r="HF240" s="1">
        <v>2518.2399999999998</v>
      </c>
      <c r="HG240" s="1">
        <v>5600.8969999999999</v>
      </c>
      <c r="HH240" s="1">
        <v>5884.607</v>
      </c>
      <c r="HI240" s="1">
        <v>849.78000000000009</v>
      </c>
      <c r="HJ240" s="1">
        <v>2518.2399999999998</v>
      </c>
      <c r="HK240" s="1">
        <v>5600.8969999999999</v>
      </c>
      <c r="HL240" s="1">
        <v>5884.607</v>
      </c>
      <c r="HM240" s="1">
        <v>0</v>
      </c>
      <c r="HN240" s="1">
        <v>0</v>
      </c>
      <c r="HO240" s="1">
        <v>0</v>
      </c>
      <c r="HP240" s="1">
        <v>0</v>
      </c>
      <c r="HQ240" s="1">
        <v>0</v>
      </c>
      <c r="HR240" s="1">
        <v>0</v>
      </c>
      <c r="HS240" s="1">
        <v>0</v>
      </c>
      <c r="HT240" s="1">
        <v>0</v>
      </c>
      <c r="HU240" s="1">
        <v>0</v>
      </c>
      <c r="HV240" s="1">
        <v>0</v>
      </c>
      <c r="HW240" s="1">
        <v>0</v>
      </c>
      <c r="HX240" s="1">
        <v>0</v>
      </c>
      <c r="HY240" s="1">
        <v>0</v>
      </c>
      <c r="HZ240" s="1">
        <v>0</v>
      </c>
      <c r="IA240" s="1">
        <v>0</v>
      </c>
      <c r="IB240" s="1">
        <v>0</v>
      </c>
      <c r="IC240" s="1">
        <v>0</v>
      </c>
      <c r="ID240" s="1">
        <v>0</v>
      </c>
      <c r="IE240" s="1">
        <v>0</v>
      </c>
      <c r="IF240" s="1">
        <v>0</v>
      </c>
      <c r="IG240" s="1">
        <v>0</v>
      </c>
      <c r="IH240" s="1">
        <v>0</v>
      </c>
      <c r="II240" s="1">
        <v>0</v>
      </c>
      <c r="IJ240" s="1">
        <v>0</v>
      </c>
      <c r="IK240" s="1">
        <v>0</v>
      </c>
      <c r="IL240" s="1">
        <v>0</v>
      </c>
      <c r="IM240" s="1">
        <v>0</v>
      </c>
      <c r="IN240" s="1">
        <v>0</v>
      </c>
      <c r="IO240" s="1">
        <v>781.48</v>
      </c>
      <c r="IP240" s="1">
        <v>713.24</v>
      </c>
      <c r="IQ240" s="1">
        <v>470.64</v>
      </c>
      <c r="IR240" s="1">
        <v>746.95</v>
      </c>
      <c r="IS240" s="1">
        <v>781.48</v>
      </c>
      <c r="IT240" s="1">
        <v>713.24</v>
      </c>
      <c r="IU240" s="1">
        <v>458.9</v>
      </c>
      <c r="IV240" s="1">
        <v>581.28</v>
      </c>
      <c r="IW240" s="1">
        <v>0</v>
      </c>
      <c r="IX240" s="1">
        <v>0</v>
      </c>
      <c r="IY240" s="1">
        <v>11.74</v>
      </c>
      <c r="IZ240" s="1">
        <v>165.67</v>
      </c>
      <c r="JA240" s="1">
        <v>0</v>
      </c>
      <c r="JB240" s="1">
        <v>0</v>
      </c>
      <c r="JC240" s="1">
        <v>0</v>
      </c>
      <c r="JD240" s="1">
        <v>0</v>
      </c>
      <c r="JE240" s="1">
        <v>0</v>
      </c>
      <c r="JF240" s="1">
        <v>0</v>
      </c>
      <c r="JG240" s="1">
        <v>0</v>
      </c>
      <c r="JH240" s="1">
        <v>0</v>
      </c>
      <c r="JI240" s="1">
        <v>0</v>
      </c>
      <c r="JJ240" s="1">
        <v>0</v>
      </c>
      <c r="JK240" s="1">
        <v>0</v>
      </c>
      <c r="JL240" s="1">
        <v>0</v>
      </c>
      <c r="JM240" s="1">
        <v>0</v>
      </c>
      <c r="JN240" s="1">
        <v>0</v>
      </c>
      <c r="JO240" s="1">
        <v>0</v>
      </c>
      <c r="JP240" s="1">
        <v>0</v>
      </c>
      <c r="JQ240" s="9"/>
      <c r="JR240" s="1">
        <f t="shared" si="48"/>
        <v>60860.867400000003</v>
      </c>
      <c r="JS240" s="1">
        <f t="shared" si="48"/>
        <v>60065.15310000001</v>
      </c>
      <c r="JT240" s="1">
        <f t="shared" si="48"/>
        <v>53786.471850000009</v>
      </c>
      <c r="JU240" s="1">
        <f t="shared" si="48"/>
        <v>54528.314939999997</v>
      </c>
      <c r="JV240" s="1">
        <f t="shared" si="49"/>
        <v>11270.531000000001</v>
      </c>
      <c r="JW240" s="1">
        <f t="shared" si="49"/>
        <v>11123.176500000001</v>
      </c>
      <c r="JX240" s="1">
        <f t="shared" si="49"/>
        <v>9960.4577500000014</v>
      </c>
      <c r="JY240" s="1">
        <f t="shared" si="49"/>
        <v>10097.8361</v>
      </c>
    </row>
    <row r="241" spans="1:285" x14ac:dyDescent="0.35">
      <c r="A241" s="2" t="s">
        <v>248</v>
      </c>
      <c r="B241" s="1">
        <v>90457</v>
      </c>
      <c r="C241" s="1">
        <v>90653</v>
      </c>
      <c r="D241" s="1">
        <v>91470</v>
      </c>
      <c r="E241" s="1">
        <v>93220</v>
      </c>
      <c r="F241" s="1">
        <v>57418.366999999998</v>
      </c>
      <c r="G241" s="1">
        <v>42784.521000000001</v>
      </c>
      <c r="H241" s="1">
        <v>38781.987000000001</v>
      </c>
      <c r="I241" s="1">
        <v>46875.882999999987</v>
      </c>
      <c r="J241" s="1">
        <f t="shared" si="50"/>
        <v>41713.438999999998</v>
      </c>
      <c r="K241" s="1">
        <f t="shared" si="51"/>
        <v>27132.224999999999</v>
      </c>
      <c r="L241" s="1">
        <f t="shared" si="52"/>
        <v>25667.866000000002</v>
      </c>
      <c r="M241" s="1">
        <f t="shared" si="53"/>
        <v>33880.698000000004</v>
      </c>
      <c r="N241" s="1">
        <f t="shared" si="54"/>
        <v>15704.928</v>
      </c>
      <c r="O241" s="1">
        <f t="shared" si="55"/>
        <v>15652.296000000002</v>
      </c>
      <c r="P241" s="1">
        <f t="shared" si="56"/>
        <v>13114.120999999999</v>
      </c>
      <c r="Q241" s="1">
        <f t="shared" si="57"/>
        <v>12995.184999999983</v>
      </c>
      <c r="R241" s="1">
        <v>3887.607</v>
      </c>
      <c r="S241" s="1">
        <v>3867.8040000000001</v>
      </c>
      <c r="T241" s="1">
        <v>3201.8850000000002</v>
      </c>
      <c r="U241" s="1">
        <v>3465.2599999999998</v>
      </c>
      <c r="V241" s="1">
        <v>0</v>
      </c>
      <c r="W241" s="1">
        <v>0</v>
      </c>
      <c r="X241" s="1">
        <v>3887.607</v>
      </c>
      <c r="Y241" s="1">
        <v>0</v>
      </c>
      <c r="Z241" s="1">
        <v>0</v>
      </c>
      <c r="AA241" s="1">
        <v>3867.8040000000001</v>
      </c>
      <c r="AB241" s="1">
        <v>0</v>
      </c>
      <c r="AC241" s="1">
        <v>0</v>
      </c>
      <c r="AD241" s="1">
        <v>3201.8850000000002</v>
      </c>
      <c r="AE241" s="1">
        <v>0</v>
      </c>
      <c r="AF241" s="1">
        <v>0</v>
      </c>
      <c r="AG241" s="1">
        <v>3465.2599999999998</v>
      </c>
      <c r="AH241" s="1">
        <v>0</v>
      </c>
      <c r="AI241" s="1">
        <v>0</v>
      </c>
      <c r="AJ241" s="1">
        <v>0</v>
      </c>
      <c r="AK241" s="1">
        <v>0</v>
      </c>
      <c r="AL241" s="1">
        <v>0</v>
      </c>
      <c r="AM241" s="1">
        <v>0</v>
      </c>
      <c r="AN241" s="1">
        <v>0</v>
      </c>
      <c r="AO241" s="1">
        <v>0</v>
      </c>
      <c r="AP241" s="1">
        <v>6118.84</v>
      </c>
      <c r="AQ241" s="1">
        <v>4633.1769999999997</v>
      </c>
      <c r="AR241" s="1">
        <v>5443.9339999999993</v>
      </c>
      <c r="AS241" s="1">
        <v>6299.8919999999998</v>
      </c>
      <c r="AT241" s="1">
        <v>2870</v>
      </c>
      <c r="AU241" s="1">
        <v>3248.84</v>
      </c>
      <c r="AV241" s="1">
        <v>0</v>
      </c>
      <c r="AW241" s="1">
        <v>0</v>
      </c>
      <c r="AX241" s="1">
        <v>1351.4269999999999</v>
      </c>
      <c r="AY241" s="1">
        <v>3281.75</v>
      </c>
      <c r="AZ241" s="1">
        <v>0</v>
      </c>
      <c r="BA241" s="1">
        <v>0</v>
      </c>
      <c r="BB241" s="1">
        <v>1506.2180000000001</v>
      </c>
      <c r="BC241" s="1">
        <v>3937.7159999999994</v>
      </c>
      <c r="BD241" s="1">
        <v>0</v>
      </c>
      <c r="BE241" s="1">
        <v>1064.0360000000001</v>
      </c>
      <c r="BF241" s="1">
        <v>5235.8559999999998</v>
      </c>
      <c r="BG241" s="1">
        <v>0</v>
      </c>
      <c r="BH241" s="1">
        <v>0</v>
      </c>
      <c r="BI241" s="1">
        <v>0</v>
      </c>
      <c r="BJ241" s="1">
        <v>0</v>
      </c>
      <c r="BK241" s="1">
        <v>0</v>
      </c>
      <c r="BL241" s="1">
        <v>0</v>
      </c>
      <c r="BM241" s="1">
        <v>0</v>
      </c>
      <c r="BN241" s="1">
        <v>0</v>
      </c>
      <c r="BO241" s="1">
        <v>0</v>
      </c>
      <c r="BP241" s="1">
        <v>0</v>
      </c>
      <c r="BQ241" s="1">
        <v>0</v>
      </c>
      <c r="BR241" s="1">
        <v>0</v>
      </c>
      <c r="BS241" s="1">
        <v>0</v>
      </c>
      <c r="BT241" s="1">
        <v>0</v>
      </c>
      <c r="BU241" s="1">
        <v>13347.3</v>
      </c>
      <c r="BV241" s="1">
        <v>11417.841</v>
      </c>
      <c r="BW241" s="1">
        <v>9671.0720000000001</v>
      </c>
      <c r="BX241" s="1">
        <v>8337.5419999999995</v>
      </c>
      <c r="BY241" s="1">
        <v>13312.76</v>
      </c>
      <c r="BZ241" s="1">
        <v>11411.841</v>
      </c>
      <c r="CA241" s="1">
        <v>9565.6219999999994</v>
      </c>
      <c r="CB241" s="1">
        <v>8334.7419999999984</v>
      </c>
      <c r="CC241" s="1">
        <v>34.54</v>
      </c>
      <c r="CD241" s="1">
        <v>6</v>
      </c>
      <c r="CE241" s="1">
        <v>105.45</v>
      </c>
      <c r="CF241" s="1">
        <v>2.8</v>
      </c>
      <c r="CG241" s="1">
        <v>0</v>
      </c>
      <c r="CH241" s="1">
        <v>0</v>
      </c>
      <c r="CI241" s="1">
        <v>0</v>
      </c>
      <c r="CJ241" s="1">
        <v>0</v>
      </c>
      <c r="CK241" s="1">
        <v>0</v>
      </c>
      <c r="CL241" s="1">
        <v>0</v>
      </c>
      <c r="CM241" s="1">
        <v>0</v>
      </c>
      <c r="CN241" s="1">
        <v>0</v>
      </c>
      <c r="CO241" s="1">
        <v>0</v>
      </c>
      <c r="CP241" s="1">
        <v>0</v>
      </c>
      <c r="CQ241" s="1">
        <v>0</v>
      </c>
      <c r="CR241" s="1">
        <v>0</v>
      </c>
      <c r="CS241" s="1">
        <v>13755.983</v>
      </c>
      <c r="CT241" s="1">
        <v>2921.0540000000001</v>
      </c>
      <c r="CU241" s="1">
        <v>2659.8040000000001</v>
      </c>
      <c r="CV241" s="1">
        <v>8565.4519999999993</v>
      </c>
      <c r="CW241" s="1">
        <v>13755.983</v>
      </c>
      <c r="CX241" s="1">
        <v>2921.0540000000001</v>
      </c>
      <c r="CY241" s="1">
        <v>2659.8040000000001</v>
      </c>
      <c r="CZ241" s="1">
        <v>8565.4519999999993</v>
      </c>
      <c r="DA241" s="1">
        <v>0</v>
      </c>
      <c r="DB241" s="1">
        <v>0</v>
      </c>
      <c r="DC241" s="1">
        <v>0</v>
      </c>
      <c r="DD241" s="1">
        <v>0</v>
      </c>
      <c r="DE241" s="1">
        <v>0</v>
      </c>
      <c r="DF241" s="1">
        <v>0</v>
      </c>
      <c r="DG241" s="1">
        <v>0</v>
      </c>
      <c r="DH241" s="1">
        <v>0</v>
      </c>
      <c r="DI241" s="1">
        <v>0</v>
      </c>
      <c r="DJ241" s="1">
        <v>0</v>
      </c>
      <c r="DK241" s="1">
        <v>0</v>
      </c>
      <c r="DL241" s="1">
        <v>0</v>
      </c>
      <c r="DM241" s="1">
        <v>2218.5949999999998</v>
      </c>
      <c r="DN241" s="1">
        <v>2172.5509999999999</v>
      </c>
      <c r="DO241" s="1">
        <v>2192.3490000000002</v>
      </c>
      <c r="DP241" s="1">
        <v>1766.703</v>
      </c>
      <c r="DQ241" s="1">
        <v>2218.5949999999998</v>
      </c>
      <c r="DR241" s="1">
        <v>2172.5509999999999</v>
      </c>
      <c r="DS241" s="1">
        <v>2192.3490000000002</v>
      </c>
      <c r="DT241" s="1">
        <v>1766.703</v>
      </c>
      <c r="DU241" s="1">
        <v>0</v>
      </c>
      <c r="DV241" s="1">
        <v>0</v>
      </c>
      <c r="DW241" s="1">
        <v>0</v>
      </c>
      <c r="DX241" s="1">
        <v>0</v>
      </c>
      <c r="DY241" s="1">
        <v>0</v>
      </c>
      <c r="DZ241" s="1">
        <v>0</v>
      </c>
      <c r="EA241" s="1">
        <v>0</v>
      </c>
      <c r="EB241" s="1">
        <v>0</v>
      </c>
      <c r="EC241" s="1">
        <v>0</v>
      </c>
      <c r="ED241" s="1">
        <v>0</v>
      </c>
      <c r="EE241" s="1">
        <v>0</v>
      </c>
      <c r="EF241" s="1">
        <v>0</v>
      </c>
      <c r="EG241" s="1">
        <v>0</v>
      </c>
      <c r="EH241" s="1">
        <v>0</v>
      </c>
      <c r="EI241" s="1">
        <v>0</v>
      </c>
      <c r="EJ241" s="1">
        <v>0</v>
      </c>
      <c r="EK241" s="1">
        <v>1218.9069999999999</v>
      </c>
      <c r="EL241" s="1">
        <v>1086.742</v>
      </c>
      <c r="EM241" s="1">
        <v>1309.951</v>
      </c>
      <c r="EN241" s="1">
        <v>4551.3590000000004</v>
      </c>
      <c r="EO241" s="1">
        <v>1218.9069999999999</v>
      </c>
      <c r="EP241" s="1">
        <v>1086.742</v>
      </c>
      <c r="EQ241" s="1">
        <v>1309.951</v>
      </c>
      <c r="ER241" s="1">
        <v>4551.3590000000004</v>
      </c>
      <c r="ES241" s="1">
        <v>0</v>
      </c>
      <c r="ET241" s="1">
        <v>0</v>
      </c>
      <c r="EU241" s="1">
        <v>0</v>
      </c>
      <c r="EV241" s="1">
        <v>0</v>
      </c>
      <c r="EW241" s="1">
        <v>0</v>
      </c>
      <c r="EX241" s="1">
        <v>0</v>
      </c>
      <c r="EY241" s="1">
        <v>0</v>
      </c>
      <c r="EZ241" s="1">
        <v>0</v>
      </c>
      <c r="FA241" s="1">
        <v>0</v>
      </c>
      <c r="FB241" s="1">
        <v>0</v>
      </c>
      <c r="FC241" s="1">
        <v>0</v>
      </c>
      <c r="FD241" s="1">
        <v>0</v>
      </c>
      <c r="FE241" s="1">
        <v>152.178</v>
      </c>
      <c r="FF241" s="1">
        <v>203.32</v>
      </c>
      <c r="FG241" s="1">
        <v>320.42700000000002</v>
      </c>
      <c r="FH241" s="1">
        <v>145.49700000000001</v>
      </c>
      <c r="FI241" s="1">
        <v>152.178</v>
      </c>
      <c r="FJ241" s="1">
        <v>197.32</v>
      </c>
      <c r="FK241" s="1">
        <v>208.33699999999999</v>
      </c>
      <c r="FL241" s="1">
        <v>141.637</v>
      </c>
      <c r="FM241" s="1">
        <v>0</v>
      </c>
      <c r="FN241" s="1">
        <v>6</v>
      </c>
      <c r="FO241" s="1">
        <v>112.09</v>
      </c>
      <c r="FP241" s="1">
        <v>3.86</v>
      </c>
      <c r="FQ241" s="1">
        <v>0</v>
      </c>
      <c r="FR241" s="1">
        <v>0</v>
      </c>
      <c r="FS241" s="1">
        <v>0</v>
      </c>
      <c r="FT241" s="1">
        <v>0</v>
      </c>
      <c r="FU241" s="1">
        <v>0</v>
      </c>
      <c r="FV241" s="1">
        <v>0</v>
      </c>
      <c r="FW241" s="1">
        <v>0</v>
      </c>
      <c r="FX241" s="1">
        <v>0</v>
      </c>
      <c r="FY241" s="1">
        <v>0</v>
      </c>
      <c r="FZ241" s="1">
        <v>0</v>
      </c>
      <c r="GA241" s="1">
        <v>0</v>
      </c>
      <c r="GB241" s="1">
        <v>0</v>
      </c>
      <c r="GC241" s="1">
        <v>52.369</v>
      </c>
      <c r="GD241" s="1">
        <v>57.005000000000003</v>
      </c>
      <c r="GE241" s="1">
        <v>53.158000000000001</v>
      </c>
      <c r="GF241" s="1">
        <v>32.016000000000012</v>
      </c>
      <c r="GG241" s="1">
        <v>52.369</v>
      </c>
      <c r="GH241" s="1">
        <v>57.005000000000003</v>
      </c>
      <c r="GI241" s="1">
        <v>52.618000000000002</v>
      </c>
      <c r="GJ241" s="1">
        <v>32.016000000000012</v>
      </c>
      <c r="GK241" s="1">
        <v>0</v>
      </c>
      <c r="GL241" s="1">
        <v>0</v>
      </c>
      <c r="GM241" s="1">
        <v>0.54</v>
      </c>
      <c r="GN241" s="1">
        <v>0</v>
      </c>
      <c r="GO241" s="1">
        <v>0</v>
      </c>
      <c r="GP241" s="1">
        <v>0</v>
      </c>
      <c r="GQ241" s="1">
        <v>0</v>
      </c>
      <c r="GR241" s="1">
        <v>0</v>
      </c>
      <c r="GS241" s="1">
        <v>0</v>
      </c>
      <c r="GT241" s="1">
        <v>0</v>
      </c>
      <c r="GU241" s="1">
        <v>0</v>
      </c>
      <c r="GV241" s="1">
        <v>0</v>
      </c>
      <c r="GW241" s="1">
        <v>0</v>
      </c>
      <c r="GX241" s="1">
        <v>0</v>
      </c>
      <c r="GY241" s="1">
        <v>0</v>
      </c>
      <c r="GZ241" s="1">
        <v>0</v>
      </c>
      <c r="HA241" s="1">
        <v>0</v>
      </c>
      <c r="HB241" s="1">
        <v>0</v>
      </c>
      <c r="HC241" s="1">
        <v>0</v>
      </c>
      <c r="HD241" s="1">
        <v>0</v>
      </c>
      <c r="HE241" s="1">
        <v>0</v>
      </c>
      <c r="HF241" s="1">
        <v>0</v>
      </c>
      <c r="HG241" s="1">
        <v>0</v>
      </c>
      <c r="HH241" s="1">
        <v>0</v>
      </c>
      <c r="HI241" s="1">
        <v>0</v>
      </c>
      <c r="HJ241" s="1">
        <v>0</v>
      </c>
      <c r="HK241" s="1">
        <v>0</v>
      </c>
      <c r="HL241" s="1">
        <v>0</v>
      </c>
      <c r="HM241" s="1">
        <v>0</v>
      </c>
      <c r="HN241" s="1">
        <v>0</v>
      </c>
      <c r="HO241" s="1">
        <v>0</v>
      </c>
      <c r="HP241" s="1">
        <v>0</v>
      </c>
      <c r="HQ241" s="1">
        <v>0</v>
      </c>
      <c r="HR241" s="1">
        <v>0</v>
      </c>
      <c r="HS241" s="1">
        <v>0</v>
      </c>
      <c r="HT241" s="1">
        <v>0</v>
      </c>
      <c r="HU241" s="1">
        <v>0</v>
      </c>
      <c r="HV241" s="1">
        <v>0</v>
      </c>
      <c r="HW241" s="1">
        <v>0</v>
      </c>
      <c r="HX241" s="1">
        <v>0</v>
      </c>
      <c r="HY241" s="1">
        <v>0</v>
      </c>
      <c r="HZ241" s="1">
        <v>0</v>
      </c>
      <c r="IA241" s="1">
        <v>0</v>
      </c>
      <c r="IB241" s="1">
        <v>0</v>
      </c>
      <c r="IC241" s="1">
        <v>0</v>
      </c>
      <c r="ID241" s="1">
        <v>0</v>
      </c>
      <c r="IE241" s="1">
        <v>0</v>
      </c>
      <c r="IF241" s="1">
        <v>0</v>
      </c>
      <c r="IG241" s="1">
        <v>0</v>
      </c>
      <c r="IH241" s="1">
        <v>0</v>
      </c>
      <c r="II241" s="1">
        <v>0</v>
      </c>
      <c r="IJ241" s="1">
        <v>0</v>
      </c>
      <c r="IK241" s="1">
        <v>0</v>
      </c>
      <c r="IL241" s="1">
        <v>0</v>
      </c>
      <c r="IM241" s="1">
        <v>0</v>
      </c>
      <c r="IN241" s="1">
        <v>0</v>
      </c>
      <c r="IO241" s="1">
        <v>961.66000000000008</v>
      </c>
      <c r="IP241" s="1">
        <v>772.73099999999999</v>
      </c>
      <c r="IQ241" s="1">
        <v>815.28599999999994</v>
      </c>
      <c r="IR241" s="1">
        <v>716.97700000000009</v>
      </c>
      <c r="IS241" s="1">
        <v>961.66000000000008</v>
      </c>
      <c r="IT241" s="1">
        <v>772.73099999999999</v>
      </c>
      <c r="IU241" s="1">
        <v>815.28599999999994</v>
      </c>
      <c r="IV241" s="1">
        <v>716.97700000000009</v>
      </c>
      <c r="IW241" s="1">
        <v>0</v>
      </c>
      <c r="IX241" s="1">
        <v>0</v>
      </c>
      <c r="IY241" s="1">
        <v>0</v>
      </c>
      <c r="IZ241" s="1">
        <v>0</v>
      </c>
      <c r="JA241" s="1">
        <v>0</v>
      </c>
      <c r="JB241" s="1">
        <v>0</v>
      </c>
      <c r="JC241" s="1">
        <v>0</v>
      </c>
      <c r="JD241" s="1">
        <v>0</v>
      </c>
      <c r="JE241" s="1">
        <v>0</v>
      </c>
      <c r="JF241" s="1">
        <v>0</v>
      </c>
      <c r="JG241" s="1">
        <v>0</v>
      </c>
      <c r="JH241" s="1">
        <v>0</v>
      </c>
      <c r="JI241" s="1">
        <v>0</v>
      </c>
      <c r="JJ241" s="1">
        <v>0</v>
      </c>
      <c r="JK241" s="1">
        <v>0</v>
      </c>
      <c r="JL241" s="1">
        <v>0</v>
      </c>
      <c r="JM241" s="1">
        <v>0</v>
      </c>
      <c r="JN241" s="1">
        <v>0</v>
      </c>
      <c r="JO241" s="1">
        <v>0</v>
      </c>
      <c r="JP241" s="1">
        <v>0</v>
      </c>
      <c r="JQ241" s="9"/>
      <c r="JR241" s="1">
        <f t="shared" si="48"/>
        <v>4240.3305600000003</v>
      </c>
      <c r="JS241" s="1">
        <f t="shared" si="48"/>
        <v>4226.119920000001</v>
      </c>
      <c r="JT241" s="1">
        <f t="shared" si="48"/>
        <v>3540.8126699999998</v>
      </c>
      <c r="JU241" s="1">
        <f t="shared" si="48"/>
        <v>3508.6999499999956</v>
      </c>
      <c r="JV241" s="1">
        <f t="shared" si="49"/>
        <v>785.24639999999999</v>
      </c>
      <c r="JW241" s="1">
        <f t="shared" si="49"/>
        <v>782.61480000000017</v>
      </c>
      <c r="JX241" s="1">
        <f t="shared" si="49"/>
        <v>655.70605</v>
      </c>
      <c r="JY241" s="1">
        <f t="shared" si="49"/>
        <v>649.75924999999916</v>
      </c>
    </row>
    <row r="242" spans="1:285" x14ac:dyDescent="0.35">
      <c r="A242" s="2" t="s">
        <v>249</v>
      </c>
      <c r="B242" s="1">
        <v>209921</v>
      </c>
      <c r="C242" s="1">
        <v>209617</v>
      </c>
      <c r="D242" s="1">
        <v>210369</v>
      </c>
      <c r="E242" s="1">
        <v>212336</v>
      </c>
      <c r="F242" s="1">
        <v>136032.12</v>
      </c>
      <c r="G242" s="1">
        <v>136939.46</v>
      </c>
      <c r="H242" s="1">
        <v>124033.041</v>
      </c>
      <c r="I242" s="1">
        <v>160616.71</v>
      </c>
      <c r="J242" s="1">
        <f t="shared" si="50"/>
        <v>37261.74</v>
      </c>
      <c r="K242" s="1">
        <f t="shared" si="51"/>
        <v>37999.410000000003</v>
      </c>
      <c r="L242" s="1">
        <f t="shared" si="52"/>
        <v>32445.400000000005</v>
      </c>
      <c r="M242" s="1">
        <f t="shared" si="53"/>
        <v>33052.697</v>
      </c>
      <c r="N242" s="1">
        <f t="shared" si="54"/>
        <v>98770.38</v>
      </c>
      <c r="O242" s="1">
        <f t="shared" si="55"/>
        <v>98940.049999999988</v>
      </c>
      <c r="P242" s="1">
        <f t="shared" si="56"/>
        <v>91587.640999999989</v>
      </c>
      <c r="Q242" s="1">
        <f t="shared" si="57"/>
        <v>127564.01299999999</v>
      </c>
      <c r="R242" s="1">
        <v>7002.38</v>
      </c>
      <c r="S242" s="1">
        <v>6723.55</v>
      </c>
      <c r="T242" s="1">
        <v>5900.89</v>
      </c>
      <c r="U242" s="1">
        <v>5756.5400000000009</v>
      </c>
      <c r="V242" s="1">
        <v>7002.38</v>
      </c>
      <c r="W242" s="1">
        <v>0</v>
      </c>
      <c r="X242" s="1">
        <v>0</v>
      </c>
      <c r="Y242" s="1">
        <v>6723.55</v>
      </c>
      <c r="Z242" s="1">
        <v>0</v>
      </c>
      <c r="AA242" s="1">
        <v>0</v>
      </c>
      <c r="AB242" s="1">
        <v>0</v>
      </c>
      <c r="AC242" s="1">
        <v>0</v>
      </c>
      <c r="AD242" s="1">
        <v>5900.89</v>
      </c>
      <c r="AE242" s="1">
        <v>0</v>
      </c>
      <c r="AF242" s="1">
        <v>0</v>
      </c>
      <c r="AG242" s="1">
        <v>5756.5400000000009</v>
      </c>
      <c r="AH242" s="1">
        <v>0</v>
      </c>
      <c r="AI242" s="1">
        <v>0</v>
      </c>
      <c r="AJ242" s="1">
        <v>0</v>
      </c>
      <c r="AK242" s="1">
        <v>0</v>
      </c>
      <c r="AL242" s="1">
        <v>0</v>
      </c>
      <c r="AM242" s="1">
        <v>0</v>
      </c>
      <c r="AN242" s="1">
        <v>0</v>
      </c>
      <c r="AO242" s="1">
        <v>0</v>
      </c>
      <c r="AP242" s="1">
        <v>8446.2999999999993</v>
      </c>
      <c r="AQ242" s="1">
        <v>8462.0400000000009</v>
      </c>
      <c r="AR242" s="1">
        <v>7490.64</v>
      </c>
      <c r="AS242" s="1">
        <v>8408.2199999999993</v>
      </c>
      <c r="AT242" s="1">
        <v>8446.2999999999993</v>
      </c>
      <c r="AU242" s="1">
        <v>0</v>
      </c>
      <c r="AV242" s="1">
        <v>0</v>
      </c>
      <c r="AW242" s="1">
        <v>0</v>
      </c>
      <c r="AX242" s="1">
        <v>8462.0400000000009</v>
      </c>
      <c r="AY242" s="1">
        <v>0</v>
      </c>
      <c r="AZ242" s="1">
        <v>0</v>
      </c>
      <c r="BA242" s="1">
        <v>0</v>
      </c>
      <c r="BB242" s="1">
        <v>7490.64</v>
      </c>
      <c r="BC242" s="1">
        <v>0</v>
      </c>
      <c r="BD242" s="1">
        <v>0</v>
      </c>
      <c r="BE242" s="1">
        <v>8408.2199999999993</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7954.7199999999993</v>
      </c>
      <c r="BV242" s="1">
        <v>6611.49</v>
      </c>
      <c r="BW242" s="1">
        <v>7676.59</v>
      </c>
      <c r="BX242" s="1">
        <v>7978.17</v>
      </c>
      <c r="BY242" s="1">
        <v>7932</v>
      </c>
      <c r="BZ242" s="1">
        <v>6593.16</v>
      </c>
      <c r="CA242" s="1">
        <v>7654.35</v>
      </c>
      <c r="CB242" s="1">
        <v>7937.53</v>
      </c>
      <c r="CC242" s="1">
        <v>22.72</v>
      </c>
      <c r="CD242" s="1">
        <v>18.329999999999998</v>
      </c>
      <c r="CE242" s="1">
        <v>22.24</v>
      </c>
      <c r="CF242" s="1">
        <v>40.64</v>
      </c>
      <c r="CG242" s="1">
        <v>0</v>
      </c>
      <c r="CH242" s="1">
        <v>0</v>
      </c>
      <c r="CI242" s="1">
        <v>0</v>
      </c>
      <c r="CJ242" s="1">
        <v>0</v>
      </c>
      <c r="CK242" s="1">
        <v>0</v>
      </c>
      <c r="CL242" s="1">
        <v>0</v>
      </c>
      <c r="CM242" s="1">
        <v>0</v>
      </c>
      <c r="CN242" s="1">
        <v>0</v>
      </c>
      <c r="CO242" s="1">
        <v>0</v>
      </c>
      <c r="CP242" s="1">
        <v>0</v>
      </c>
      <c r="CQ242" s="1">
        <v>0</v>
      </c>
      <c r="CR242" s="1">
        <v>0</v>
      </c>
      <c r="CS242" s="1">
        <v>3534.68</v>
      </c>
      <c r="CT242" s="1">
        <v>1791.66</v>
      </c>
      <c r="CU242" s="1">
        <v>1377.14</v>
      </c>
      <c r="CV242" s="1">
        <v>1358.7739999999999</v>
      </c>
      <c r="CW242" s="1">
        <v>3534.68</v>
      </c>
      <c r="CX242" s="1">
        <v>1791.66</v>
      </c>
      <c r="CY242" s="1">
        <v>1377.14</v>
      </c>
      <c r="CZ242" s="1">
        <v>1358.7739999999999</v>
      </c>
      <c r="DA242" s="1">
        <v>0</v>
      </c>
      <c r="DB242" s="1">
        <v>0</v>
      </c>
      <c r="DC242" s="1">
        <v>0</v>
      </c>
      <c r="DD242" s="1">
        <v>0</v>
      </c>
      <c r="DE242" s="1">
        <v>0</v>
      </c>
      <c r="DF242" s="1">
        <v>0</v>
      </c>
      <c r="DG242" s="1">
        <v>0</v>
      </c>
      <c r="DH242" s="1">
        <v>0</v>
      </c>
      <c r="DI242" s="1">
        <v>0</v>
      </c>
      <c r="DJ242" s="1">
        <v>0</v>
      </c>
      <c r="DK242" s="1">
        <v>0</v>
      </c>
      <c r="DL242" s="1">
        <v>0</v>
      </c>
      <c r="DM242" s="1">
        <v>5480.07</v>
      </c>
      <c r="DN242" s="1">
        <v>5343.36</v>
      </c>
      <c r="DO242" s="1">
        <v>4541.9799999999996</v>
      </c>
      <c r="DP242" s="1">
        <v>3852.44</v>
      </c>
      <c r="DQ242" s="1">
        <v>5480.07</v>
      </c>
      <c r="DR242" s="1">
        <v>5343.36</v>
      </c>
      <c r="DS242" s="1">
        <v>4541.9799999999996</v>
      </c>
      <c r="DT242" s="1">
        <v>3852.44</v>
      </c>
      <c r="DU242" s="1">
        <v>0</v>
      </c>
      <c r="DV242" s="1">
        <v>0</v>
      </c>
      <c r="DW242" s="1">
        <v>0</v>
      </c>
      <c r="DX242" s="1">
        <v>0</v>
      </c>
      <c r="DY242" s="1">
        <v>0</v>
      </c>
      <c r="DZ242" s="1">
        <v>0</v>
      </c>
      <c r="EA242" s="1">
        <v>0</v>
      </c>
      <c r="EB242" s="1">
        <v>0</v>
      </c>
      <c r="EC242" s="1">
        <v>0</v>
      </c>
      <c r="ED242" s="1">
        <v>0</v>
      </c>
      <c r="EE242" s="1">
        <v>0</v>
      </c>
      <c r="EF242" s="1">
        <v>0</v>
      </c>
      <c r="EG242" s="1">
        <v>0</v>
      </c>
      <c r="EH242" s="1">
        <v>0</v>
      </c>
      <c r="EI242" s="1">
        <v>0</v>
      </c>
      <c r="EJ242" s="1">
        <v>0</v>
      </c>
      <c r="EK242" s="1">
        <v>2199.38</v>
      </c>
      <c r="EL242" s="1">
        <v>4662.3399999999992</v>
      </c>
      <c r="EM242" s="1">
        <v>1271.3</v>
      </c>
      <c r="EN242" s="1">
        <v>1248.703</v>
      </c>
      <c r="EO242" s="1">
        <v>2196.91</v>
      </c>
      <c r="EP242" s="1">
        <v>4654.96</v>
      </c>
      <c r="EQ242" s="1">
        <v>1270.04</v>
      </c>
      <c r="ER242" s="1">
        <v>1246.383</v>
      </c>
      <c r="ES242" s="1">
        <v>2.4700000000000002</v>
      </c>
      <c r="ET242" s="1">
        <v>7.38</v>
      </c>
      <c r="EU242" s="1">
        <v>1.26</v>
      </c>
      <c r="EV242" s="1">
        <v>2.3199999999999998</v>
      </c>
      <c r="EW242" s="1">
        <v>0</v>
      </c>
      <c r="EX242" s="1">
        <v>0</v>
      </c>
      <c r="EY242" s="1">
        <v>0</v>
      </c>
      <c r="EZ242" s="1">
        <v>0</v>
      </c>
      <c r="FA242" s="1">
        <v>0</v>
      </c>
      <c r="FB242" s="1">
        <v>0</v>
      </c>
      <c r="FC242" s="1">
        <v>0</v>
      </c>
      <c r="FD242" s="1">
        <v>0</v>
      </c>
      <c r="FE242" s="1">
        <v>181.1</v>
      </c>
      <c r="FF242" s="1">
        <v>181.44</v>
      </c>
      <c r="FG242" s="1">
        <v>177.95</v>
      </c>
      <c r="FH242" s="1">
        <v>179.78</v>
      </c>
      <c r="FI242" s="1">
        <v>0</v>
      </c>
      <c r="FJ242" s="1">
        <v>0</v>
      </c>
      <c r="FK242" s="1">
        <v>0</v>
      </c>
      <c r="FL242" s="1">
        <v>0</v>
      </c>
      <c r="FM242" s="1">
        <v>181.1</v>
      </c>
      <c r="FN242" s="1">
        <v>181.44</v>
      </c>
      <c r="FO242" s="1">
        <v>177.95</v>
      </c>
      <c r="FP242" s="1">
        <v>179.78</v>
      </c>
      <c r="FQ242" s="1">
        <v>0</v>
      </c>
      <c r="FR242" s="1">
        <v>0</v>
      </c>
      <c r="FS242" s="1">
        <v>0</v>
      </c>
      <c r="FT242" s="1">
        <v>0</v>
      </c>
      <c r="FU242" s="1">
        <v>0</v>
      </c>
      <c r="FV242" s="1">
        <v>0</v>
      </c>
      <c r="FW242" s="1">
        <v>0</v>
      </c>
      <c r="FX242" s="1">
        <v>0</v>
      </c>
      <c r="FY242" s="1">
        <v>0</v>
      </c>
      <c r="FZ242" s="1">
        <v>0</v>
      </c>
      <c r="GA242" s="1">
        <v>0</v>
      </c>
      <c r="GB242" s="1">
        <v>0</v>
      </c>
      <c r="GC242" s="1">
        <v>392.11</v>
      </c>
      <c r="GD242" s="1">
        <v>568.61</v>
      </c>
      <c r="GE242" s="1">
        <v>453.49</v>
      </c>
      <c r="GF242" s="1">
        <v>391.28</v>
      </c>
      <c r="GG242" s="1">
        <v>392.11</v>
      </c>
      <c r="GH242" s="1">
        <v>568.61</v>
      </c>
      <c r="GI242" s="1">
        <v>453.49</v>
      </c>
      <c r="GJ242" s="1">
        <v>391.28</v>
      </c>
      <c r="GK242" s="1">
        <v>0</v>
      </c>
      <c r="GL242" s="1">
        <v>0</v>
      </c>
      <c r="GM242" s="1">
        <v>0</v>
      </c>
      <c r="GN242" s="1">
        <v>0</v>
      </c>
      <c r="GO242" s="1">
        <v>0</v>
      </c>
      <c r="GP242" s="1">
        <v>0</v>
      </c>
      <c r="GQ242" s="1">
        <v>0</v>
      </c>
      <c r="GR242" s="1">
        <v>0</v>
      </c>
      <c r="GS242" s="1">
        <v>0</v>
      </c>
      <c r="GT242" s="1">
        <v>0</v>
      </c>
      <c r="GU242" s="1">
        <v>0</v>
      </c>
      <c r="GV242" s="1">
        <v>0</v>
      </c>
      <c r="GW242" s="1">
        <v>0</v>
      </c>
      <c r="GX242" s="1">
        <v>0</v>
      </c>
      <c r="GY242" s="1">
        <v>0</v>
      </c>
      <c r="GZ242" s="1">
        <v>0</v>
      </c>
      <c r="HA242" s="1">
        <v>0</v>
      </c>
      <c r="HB242" s="1">
        <v>0</v>
      </c>
      <c r="HC242" s="1">
        <v>0</v>
      </c>
      <c r="HD242" s="1">
        <v>0</v>
      </c>
      <c r="HE242" s="1">
        <v>2026.64</v>
      </c>
      <c r="HF242" s="1">
        <v>3566.03</v>
      </c>
      <c r="HG242" s="1">
        <v>3478.68</v>
      </c>
      <c r="HH242" s="1">
        <v>3792.42</v>
      </c>
      <c r="HI242" s="1">
        <v>2026.64</v>
      </c>
      <c r="HJ242" s="1">
        <v>3340.9</v>
      </c>
      <c r="HK242" s="1">
        <v>3217.779</v>
      </c>
      <c r="HL242" s="1">
        <v>3508</v>
      </c>
      <c r="HM242" s="1">
        <v>0</v>
      </c>
      <c r="HN242" s="1">
        <v>0</v>
      </c>
      <c r="HO242" s="1">
        <v>0</v>
      </c>
      <c r="HP242" s="1">
        <v>0</v>
      </c>
      <c r="HQ242" s="1">
        <v>0</v>
      </c>
      <c r="HR242" s="1">
        <v>0</v>
      </c>
      <c r="HS242" s="1">
        <v>0</v>
      </c>
      <c r="HT242" s="1">
        <v>0</v>
      </c>
      <c r="HU242" s="1">
        <v>0</v>
      </c>
      <c r="HV242" s="1">
        <v>0</v>
      </c>
      <c r="HW242" s="1">
        <v>0</v>
      </c>
      <c r="HX242" s="1">
        <v>0</v>
      </c>
      <c r="HY242" s="1">
        <v>0</v>
      </c>
      <c r="HZ242" s="1">
        <v>0</v>
      </c>
      <c r="IA242" s="1">
        <v>0</v>
      </c>
      <c r="IB242" s="1">
        <v>0</v>
      </c>
      <c r="IC242" s="1">
        <v>0</v>
      </c>
      <c r="ID242" s="1">
        <v>225.13</v>
      </c>
      <c r="IE242" s="1">
        <v>260.90100000000001</v>
      </c>
      <c r="IF242" s="1">
        <v>284.42</v>
      </c>
      <c r="IG242" s="1">
        <v>0</v>
      </c>
      <c r="IH242" s="1">
        <v>0</v>
      </c>
      <c r="II242" s="1">
        <v>0</v>
      </c>
      <c r="IJ242" s="1">
        <v>0</v>
      </c>
      <c r="IK242" s="1">
        <v>0</v>
      </c>
      <c r="IL242" s="1">
        <v>0</v>
      </c>
      <c r="IM242" s="1">
        <v>0</v>
      </c>
      <c r="IN242" s="1">
        <v>0</v>
      </c>
      <c r="IO242" s="1">
        <v>44.36</v>
      </c>
      <c r="IP242" s="1">
        <v>88.89</v>
      </c>
      <c r="IQ242" s="1">
        <v>76.740000000000009</v>
      </c>
      <c r="IR242" s="1">
        <v>86.37</v>
      </c>
      <c r="IS242" s="1">
        <v>0.09</v>
      </c>
      <c r="IT242" s="1">
        <v>19.03</v>
      </c>
      <c r="IU242" s="1">
        <v>2.1800000000000002</v>
      </c>
      <c r="IV242" s="1">
        <v>28.23</v>
      </c>
      <c r="IW242" s="1">
        <v>44.27</v>
      </c>
      <c r="IX242" s="1">
        <v>69.86</v>
      </c>
      <c r="IY242" s="1">
        <v>74.56</v>
      </c>
      <c r="IZ242" s="1">
        <v>58.14</v>
      </c>
      <c r="JA242" s="1">
        <v>0</v>
      </c>
      <c r="JB242" s="1">
        <v>0</v>
      </c>
      <c r="JC242" s="1">
        <v>0</v>
      </c>
      <c r="JD242" s="1">
        <v>0</v>
      </c>
      <c r="JE242" s="1">
        <v>0</v>
      </c>
      <c r="JF242" s="1">
        <v>0</v>
      </c>
      <c r="JG242" s="1">
        <v>0</v>
      </c>
      <c r="JH242" s="1">
        <v>0</v>
      </c>
      <c r="JI242" s="1">
        <v>0</v>
      </c>
      <c r="JJ242" s="1">
        <v>0</v>
      </c>
      <c r="JK242" s="1">
        <v>0</v>
      </c>
      <c r="JL242" s="1">
        <v>0</v>
      </c>
      <c r="JM242" s="1">
        <v>0</v>
      </c>
      <c r="JN242" s="1">
        <v>0</v>
      </c>
      <c r="JO242" s="1">
        <v>0</v>
      </c>
      <c r="JP242" s="1">
        <v>0</v>
      </c>
      <c r="JQ242" s="9"/>
      <c r="JR242" s="1">
        <f t="shared" si="48"/>
        <v>26668.002600000003</v>
      </c>
      <c r="JS242" s="1">
        <f t="shared" si="48"/>
        <v>26713.8135</v>
      </c>
      <c r="JT242" s="1">
        <f t="shared" si="48"/>
        <v>24728.663069999999</v>
      </c>
      <c r="JU242" s="1">
        <f t="shared" si="48"/>
        <v>34442.283510000001</v>
      </c>
      <c r="JV242" s="1">
        <f t="shared" si="49"/>
        <v>4938.5190000000002</v>
      </c>
      <c r="JW242" s="1">
        <f t="shared" si="49"/>
        <v>4947.0024999999996</v>
      </c>
      <c r="JX242" s="1">
        <f t="shared" si="49"/>
        <v>4579.3820499999993</v>
      </c>
      <c r="JY242" s="1">
        <f t="shared" si="49"/>
        <v>6378.2006499999998</v>
      </c>
    </row>
    <row r="243" spans="1:285" x14ac:dyDescent="0.35">
      <c r="A243" s="2" t="s">
        <v>250</v>
      </c>
      <c r="B243" s="1">
        <v>150584</v>
      </c>
      <c r="C243" s="1">
        <v>152218</v>
      </c>
      <c r="D243" s="1">
        <v>154508</v>
      </c>
      <c r="E243" s="1">
        <v>156180</v>
      </c>
      <c r="F243" s="1">
        <v>83760.92</v>
      </c>
      <c r="G243" s="1">
        <v>81236.39</v>
      </c>
      <c r="H243" s="1">
        <v>74073.510000000009</v>
      </c>
      <c r="I243" s="1">
        <v>62167.37</v>
      </c>
      <c r="J243" s="1">
        <f t="shared" si="50"/>
        <v>63674.990000000005</v>
      </c>
      <c r="K243" s="1">
        <f t="shared" si="51"/>
        <v>61957.21</v>
      </c>
      <c r="L243" s="1">
        <f t="shared" si="52"/>
        <v>55903.219999999994</v>
      </c>
      <c r="M243" s="1">
        <f t="shared" si="53"/>
        <v>46238.240000000005</v>
      </c>
      <c r="N243" s="1">
        <f t="shared" si="54"/>
        <v>20085.929999999993</v>
      </c>
      <c r="O243" s="1">
        <f t="shared" si="55"/>
        <v>19279.18</v>
      </c>
      <c r="P243" s="1">
        <f t="shared" si="56"/>
        <v>18170.290000000015</v>
      </c>
      <c r="Q243" s="1">
        <f t="shared" si="57"/>
        <v>15929.129999999997</v>
      </c>
      <c r="R243" s="1">
        <v>3590.58</v>
      </c>
      <c r="S243" s="1">
        <v>3650.42</v>
      </c>
      <c r="T243" s="1">
        <v>3402.31</v>
      </c>
      <c r="U243" s="1">
        <v>3178.42</v>
      </c>
      <c r="V243" s="1">
        <v>3590.58</v>
      </c>
      <c r="W243" s="1">
        <v>0</v>
      </c>
      <c r="X243" s="1">
        <v>0</v>
      </c>
      <c r="Y243" s="1">
        <v>970.46</v>
      </c>
      <c r="Z243" s="1">
        <v>0</v>
      </c>
      <c r="AA243" s="1">
        <v>2679.96</v>
      </c>
      <c r="AB243" s="1">
        <v>0</v>
      </c>
      <c r="AC243" s="1">
        <v>0</v>
      </c>
      <c r="AD243" s="1">
        <v>3402.31</v>
      </c>
      <c r="AE243" s="1">
        <v>0</v>
      </c>
      <c r="AF243" s="1">
        <v>0</v>
      </c>
      <c r="AG243" s="1">
        <v>3178.42</v>
      </c>
      <c r="AH243" s="1">
        <v>0</v>
      </c>
      <c r="AI243" s="1">
        <v>0</v>
      </c>
      <c r="AJ243" s="1">
        <v>0</v>
      </c>
      <c r="AK243" s="1">
        <v>0</v>
      </c>
      <c r="AL243" s="1">
        <v>0</v>
      </c>
      <c r="AM243" s="1">
        <v>0</v>
      </c>
      <c r="AN243" s="1">
        <v>0</v>
      </c>
      <c r="AO243" s="1">
        <v>0</v>
      </c>
      <c r="AP243" s="1">
        <v>6136.7400000000007</v>
      </c>
      <c r="AQ243" s="1">
        <v>7162.57</v>
      </c>
      <c r="AR243" s="1">
        <v>6092.9</v>
      </c>
      <c r="AS243" s="1">
        <v>6492.4100000000008</v>
      </c>
      <c r="AT243" s="1">
        <v>6136.7400000000007</v>
      </c>
      <c r="AU243" s="1">
        <v>0</v>
      </c>
      <c r="AV243" s="1">
        <v>0</v>
      </c>
      <c r="AW243" s="1">
        <v>0</v>
      </c>
      <c r="AX243" s="1">
        <v>7162.57</v>
      </c>
      <c r="AY243" s="1">
        <v>0</v>
      </c>
      <c r="AZ243" s="1">
        <v>0</v>
      </c>
      <c r="BA243" s="1">
        <v>0</v>
      </c>
      <c r="BB243" s="1">
        <v>6092.9</v>
      </c>
      <c r="BC243" s="1">
        <v>0</v>
      </c>
      <c r="BD243" s="1">
        <v>0</v>
      </c>
      <c r="BE243" s="1">
        <v>6492.4100000000008</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13381.93</v>
      </c>
      <c r="BV243" s="1">
        <v>12733.06</v>
      </c>
      <c r="BW243" s="1">
        <v>11538.77</v>
      </c>
      <c r="BX243" s="1">
        <v>9068</v>
      </c>
      <c r="BY243" s="1">
        <v>13381.93</v>
      </c>
      <c r="BZ243" s="1">
        <v>12733.06</v>
      </c>
      <c r="CA243" s="1">
        <v>11538.77</v>
      </c>
      <c r="CB243" s="1">
        <v>9068</v>
      </c>
      <c r="CC243" s="1">
        <v>0</v>
      </c>
      <c r="CD243" s="1">
        <v>0</v>
      </c>
      <c r="CE243" s="1">
        <v>0</v>
      </c>
      <c r="CF243" s="1">
        <v>0</v>
      </c>
      <c r="CG243" s="1">
        <v>0</v>
      </c>
      <c r="CH243" s="1">
        <v>0</v>
      </c>
      <c r="CI243" s="1">
        <v>0</v>
      </c>
      <c r="CJ243" s="1">
        <v>0</v>
      </c>
      <c r="CK243" s="1">
        <v>0</v>
      </c>
      <c r="CL243" s="1">
        <v>0</v>
      </c>
      <c r="CM243" s="1">
        <v>0</v>
      </c>
      <c r="CN243" s="1">
        <v>0</v>
      </c>
      <c r="CO243" s="1">
        <v>0</v>
      </c>
      <c r="CP243" s="1">
        <v>0</v>
      </c>
      <c r="CQ243" s="1">
        <v>0</v>
      </c>
      <c r="CR243" s="1">
        <v>0</v>
      </c>
      <c r="CS243" s="1">
        <v>13380.02</v>
      </c>
      <c r="CT243" s="1">
        <v>12733.06</v>
      </c>
      <c r="CU243" s="1">
        <v>11562.9</v>
      </c>
      <c r="CV243" s="1">
        <v>9112.16</v>
      </c>
      <c r="CW243" s="1">
        <v>13380.02</v>
      </c>
      <c r="CX243" s="1">
        <v>12733.06</v>
      </c>
      <c r="CY243" s="1">
        <v>11562.9</v>
      </c>
      <c r="CZ243" s="1">
        <v>9112.16</v>
      </c>
      <c r="DA243" s="1">
        <v>0</v>
      </c>
      <c r="DB243" s="1">
        <v>0</v>
      </c>
      <c r="DC243" s="1">
        <v>0</v>
      </c>
      <c r="DD243" s="1">
        <v>0</v>
      </c>
      <c r="DE243" s="1">
        <v>0</v>
      </c>
      <c r="DF243" s="1">
        <v>0</v>
      </c>
      <c r="DG243" s="1">
        <v>0</v>
      </c>
      <c r="DH243" s="1">
        <v>0</v>
      </c>
      <c r="DI243" s="1">
        <v>0</v>
      </c>
      <c r="DJ243" s="1">
        <v>0</v>
      </c>
      <c r="DK243" s="1">
        <v>0</v>
      </c>
      <c r="DL243" s="1">
        <v>0</v>
      </c>
      <c r="DM243" s="1">
        <v>13766.23</v>
      </c>
      <c r="DN243" s="1">
        <v>12945.04</v>
      </c>
      <c r="DO243" s="1">
        <v>11765.03</v>
      </c>
      <c r="DP243" s="1">
        <v>9314.1</v>
      </c>
      <c r="DQ243" s="1">
        <v>13766.23</v>
      </c>
      <c r="DR243" s="1">
        <v>12945.04</v>
      </c>
      <c r="DS243" s="1">
        <v>11765.03</v>
      </c>
      <c r="DT243" s="1">
        <v>9314.1</v>
      </c>
      <c r="DU243" s="1">
        <v>0</v>
      </c>
      <c r="DV243" s="1">
        <v>0</v>
      </c>
      <c r="DW243" s="1">
        <v>0</v>
      </c>
      <c r="DX243" s="1">
        <v>0</v>
      </c>
      <c r="DY243" s="1">
        <v>0</v>
      </c>
      <c r="DZ243" s="1">
        <v>0</v>
      </c>
      <c r="EA243" s="1">
        <v>0</v>
      </c>
      <c r="EB243" s="1">
        <v>0</v>
      </c>
      <c r="EC243" s="1">
        <v>0</v>
      </c>
      <c r="ED243" s="1">
        <v>0</v>
      </c>
      <c r="EE243" s="1">
        <v>0</v>
      </c>
      <c r="EF243" s="1">
        <v>0</v>
      </c>
      <c r="EG243" s="1">
        <v>0</v>
      </c>
      <c r="EH243" s="1">
        <v>0</v>
      </c>
      <c r="EI243" s="1">
        <v>0</v>
      </c>
      <c r="EJ243" s="1">
        <v>0</v>
      </c>
      <c r="EK243" s="1">
        <v>13380.02</v>
      </c>
      <c r="EL243" s="1">
        <v>12733.06</v>
      </c>
      <c r="EM243" s="1">
        <v>11541.31</v>
      </c>
      <c r="EN243" s="1">
        <v>9073.1500000000015</v>
      </c>
      <c r="EO243" s="1">
        <v>13380.02</v>
      </c>
      <c r="EP243" s="1">
        <v>12733.06</v>
      </c>
      <c r="EQ243" s="1">
        <v>11541.31</v>
      </c>
      <c r="ER243" s="1">
        <v>9073.1500000000015</v>
      </c>
      <c r="ES243" s="1">
        <v>0</v>
      </c>
      <c r="ET243" s="1">
        <v>0</v>
      </c>
      <c r="EU243" s="1">
        <v>0</v>
      </c>
      <c r="EV243" s="1">
        <v>0</v>
      </c>
      <c r="EW243" s="1">
        <v>0</v>
      </c>
      <c r="EX243" s="1">
        <v>0</v>
      </c>
      <c r="EY243" s="1">
        <v>0</v>
      </c>
      <c r="EZ243" s="1">
        <v>0</v>
      </c>
      <c r="FA243" s="1">
        <v>0</v>
      </c>
      <c r="FB243" s="1">
        <v>0</v>
      </c>
      <c r="FC243" s="1">
        <v>0</v>
      </c>
      <c r="FD243" s="1">
        <v>0</v>
      </c>
      <c r="FE243" s="1">
        <v>0</v>
      </c>
      <c r="FF243" s="1">
        <v>0</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v>0</v>
      </c>
      <c r="GC243" s="1">
        <v>39.47</v>
      </c>
      <c r="GD243" s="1">
        <v>0</v>
      </c>
      <c r="GE243" s="1">
        <v>0</v>
      </c>
      <c r="GF243" s="1">
        <v>0</v>
      </c>
      <c r="GG243" s="1">
        <v>39.47</v>
      </c>
      <c r="GH243" s="1">
        <v>0</v>
      </c>
      <c r="GI243" s="1">
        <v>0</v>
      </c>
      <c r="GJ243" s="1">
        <v>0</v>
      </c>
      <c r="GK243" s="1">
        <v>0</v>
      </c>
      <c r="GL243" s="1">
        <v>0</v>
      </c>
      <c r="GM243" s="1">
        <v>0</v>
      </c>
      <c r="GN243" s="1">
        <v>0</v>
      </c>
      <c r="GO243" s="1">
        <v>0</v>
      </c>
      <c r="GP243" s="1">
        <v>0</v>
      </c>
      <c r="GQ243" s="1">
        <v>0</v>
      </c>
      <c r="GR243" s="1">
        <v>0</v>
      </c>
      <c r="GS243" s="1">
        <v>0</v>
      </c>
      <c r="GT243" s="1">
        <v>0</v>
      </c>
      <c r="GU243" s="1">
        <v>0</v>
      </c>
      <c r="GV243" s="1">
        <v>0</v>
      </c>
      <c r="GW243" s="1">
        <v>0</v>
      </c>
      <c r="GX243" s="1">
        <v>0</v>
      </c>
      <c r="GY243" s="1">
        <v>0</v>
      </c>
      <c r="GZ243" s="1">
        <v>0</v>
      </c>
      <c r="HA243" s="1">
        <v>0</v>
      </c>
      <c r="HB243" s="1">
        <v>0</v>
      </c>
      <c r="HC243" s="1">
        <v>0</v>
      </c>
      <c r="HD243" s="1">
        <v>0</v>
      </c>
      <c r="HE243" s="1">
        <v>0</v>
      </c>
      <c r="HF243" s="1">
        <v>0</v>
      </c>
      <c r="HG243" s="1">
        <v>0</v>
      </c>
      <c r="HH243" s="1">
        <v>0</v>
      </c>
      <c r="HI243" s="1">
        <v>0</v>
      </c>
      <c r="HJ243" s="1">
        <v>0</v>
      </c>
      <c r="HK243" s="1">
        <v>0</v>
      </c>
      <c r="HL243" s="1">
        <v>0</v>
      </c>
      <c r="HM243" s="1">
        <v>0</v>
      </c>
      <c r="HN243" s="1">
        <v>0</v>
      </c>
      <c r="HO243" s="1">
        <v>0</v>
      </c>
      <c r="HP243" s="1">
        <v>0</v>
      </c>
      <c r="HQ243" s="1">
        <v>0</v>
      </c>
      <c r="HR243" s="1">
        <v>0</v>
      </c>
      <c r="HS243" s="1">
        <v>0</v>
      </c>
      <c r="HT243" s="1">
        <v>0</v>
      </c>
      <c r="HU243" s="1">
        <v>0</v>
      </c>
      <c r="HV243" s="1">
        <v>0</v>
      </c>
      <c r="HW243" s="1">
        <v>0</v>
      </c>
      <c r="HX243" s="1">
        <v>0</v>
      </c>
      <c r="HY243" s="1">
        <v>0</v>
      </c>
      <c r="HZ243" s="1">
        <v>0</v>
      </c>
      <c r="IA243" s="1">
        <v>0</v>
      </c>
      <c r="IB243" s="1">
        <v>0</v>
      </c>
      <c r="IC243" s="1">
        <v>0</v>
      </c>
      <c r="ID243" s="1">
        <v>0</v>
      </c>
      <c r="IE243" s="1">
        <v>0</v>
      </c>
      <c r="IF243" s="1">
        <v>0</v>
      </c>
      <c r="IG243" s="1">
        <v>0</v>
      </c>
      <c r="IH243" s="1">
        <v>0</v>
      </c>
      <c r="II243" s="1">
        <v>0</v>
      </c>
      <c r="IJ243" s="1">
        <v>0</v>
      </c>
      <c r="IK243" s="1">
        <v>0</v>
      </c>
      <c r="IL243" s="1">
        <v>0</v>
      </c>
      <c r="IM243" s="1">
        <v>0</v>
      </c>
      <c r="IN243" s="1">
        <v>0</v>
      </c>
      <c r="IO243" s="1">
        <v>0</v>
      </c>
      <c r="IP243" s="1">
        <v>0</v>
      </c>
      <c r="IQ243" s="1">
        <v>0</v>
      </c>
      <c r="IR243" s="1">
        <v>0</v>
      </c>
      <c r="IS243" s="1">
        <v>0</v>
      </c>
      <c r="IT243" s="1">
        <v>0</v>
      </c>
      <c r="IU243" s="1">
        <v>0</v>
      </c>
      <c r="IV243" s="1">
        <v>0</v>
      </c>
      <c r="IW243" s="1">
        <v>0</v>
      </c>
      <c r="IX243" s="1">
        <v>0</v>
      </c>
      <c r="IY243" s="1">
        <v>0</v>
      </c>
      <c r="IZ243" s="1">
        <v>0</v>
      </c>
      <c r="JA243" s="1">
        <v>0</v>
      </c>
      <c r="JB243" s="1">
        <v>0</v>
      </c>
      <c r="JC243" s="1">
        <v>0</v>
      </c>
      <c r="JD243" s="1">
        <v>0</v>
      </c>
      <c r="JE243" s="1">
        <v>0</v>
      </c>
      <c r="JF243" s="1">
        <v>0</v>
      </c>
      <c r="JG243" s="1">
        <v>0</v>
      </c>
      <c r="JH243" s="1">
        <v>0</v>
      </c>
      <c r="JI243" s="1">
        <v>0</v>
      </c>
      <c r="JJ243" s="1">
        <v>0</v>
      </c>
      <c r="JK243" s="1">
        <v>0</v>
      </c>
      <c r="JL243" s="1">
        <v>0</v>
      </c>
      <c r="JM243" s="1">
        <v>0</v>
      </c>
      <c r="JN243" s="1">
        <v>0</v>
      </c>
      <c r="JO243" s="1">
        <v>0</v>
      </c>
      <c r="JP243" s="1">
        <v>0</v>
      </c>
      <c r="JQ243" s="9"/>
      <c r="JR243" s="1">
        <f t="shared" si="48"/>
        <v>5423.2010999999984</v>
      </c>
      <c r="JS243" s="1">
        <f t="shared" si="48"/>
        <v>5205.3786</v>
      </c>
      <c r="JT243" s="1">
        <f t="shared" si="48"/>
        <v>4905.9783000000043</v>
      </c>
      <c r="JU243" s="1">
        <f t="shared" si="48"/>
        <v>4300.8651</v>
      </c>
      <c r="JV243" s="1">
        <f t="shared" si="49"/>
        <v>1004.2964999999997</v>
      </c>
      <c r="JW243" s="1">
        <f t="shared" si="49"/>
        <v>963.95900000000006</v>
      </c>
      <c r="JX243" s="1">
        <f t="shared" si="49"/>
        <v>908.51450000000079</v>
      </c>
      <c r="JY243" s="1">
        <f t="shared" si="49"/>
        <v>796.45649999999989</v>
      </c>
    </row>
    <row r="244" spans="1:285" x14ac:dyDescent="0.35">
      <c r="A244" s="2" t="s">
        <v>251</v>
      </c>
      <c r="B244" s="1">
        <v>232574</v>
      </c>
      <c r="C244" s="1">
        <v>233760</v>
      </c>
      <c r="D244" s="1">
        <v>236046</v>
      </c>
      <c r="E244" s="1">
        <v>240218</v>
      </c>
      <c r="F244" s="1">
        <v>273442.74699999997</v>
      </c>
      <c r="G244" s="1">
        <v>282117.33100000001</v>
      </c>
      <c r="H244" s="1">
        <v>220299.91200000001</v>
      </c>
      <c r="I244" s="1">
        <v>191413.21900000001</v>
      </c>
      <c r="J244" s="1">
        <f t="shared" si="50"/>
        <v>89504.611999999979</v>
      </c>
      <c r="K244" s="1">
        <f t="shared" si="51"/>
        <v>84690.581999999995</v>
      </c>
      <c r="L244" s="1">
        <f t="shared" si="52"/>
        <v>71361.536999999997</v>
      </c>
      <c r="M244" s="1">
        <f t="shared" si="53"/>
        <v>46815.192999999999</v>
      </c>
      <c r="N244" s="1">
        <f t="shared" si="54"/>
        <v>183938.13500000001</v>
      </c>
      <c r="O244" s="1">
        <f t="shared" si="55"/>
        <v>197426.74900000001</v>
      </c>
      <c r="P244" s="1">
        <f t="shared" si="56"/>
        <v>148938.375</v>
      </c>
      <c r="Q244" s="1">
        <f t="shared" si="57"/>
        <v>144598.02600000001</v>
      </c>
      <c r="R244" s="1">
        <v>843.82</v>
      </c>
      <c r="S244" s="1">
        <v>757.29</v>
      </c>
      <c r="T244" s="1">
        <v>693.96</v>
      </c>
      <c r="U244" s="1">
        <v>1212.48</v>
      </c>
      <c r="V244" s="1">
        <v>0</v>
      </c>
      <c r="W244" s="1">
        <v>0</v>
      </c>
      <c r="X244" s="1">
        <v>843.82</v>
      </c>
      <c r="Y244" s="1">
        <v>0</v>
      </c>
      <c r="Z244" s="1">
        <v>0</v>
      </c>
      <c r="AA244" s="1">
        <v>757.29</v>
      </c>
      <c r="AB244" s="1">
        <v>0</v>
      </c>
      <c r="AC244" s="1">
        <v>0</v>
      </c>
      <c r="AD244" s="1">
        <v>693.96</v>
      </c>
      <c r="AE244" s="1">
        <v>0</v>
      </c>
      <c r="AF244" s="1">
        <v>0</v>
      </c>
      <c r="AG244" s="1">
        <v>1212.48</v>
      </c>
      <c r="AH244" s="1">
        <v>0</v>
      </c>
      <c r="AI244" s="1">
        <v>0</v>
      </c>
      <c r="AJ244" s="1">
        <v>0</v>
      </c>
      <c r="AK244" s="1">
        <v>0</v>
      </c>
      <c r="AL244" s="1">
        <v>0</v>
      </c>
      <c r="AM244" s="1">
        <v>0</v>
      </c>
      <c r="AN244" s="1">
        <v>0</v>
      </c>
      <c r="AO244" s="1">
        <v>0</v>
      </c>
      <c r="AP244" s="1">
        <v>8704.64</v>
      </c>
      <c r="AQ244" s="1">
        <v>10044.629999999999</v>
      </c>
      <c r="AR244" s="1">
        <v>8377.7060000000001</v>
      </c>
      <c r="AS244" s="1">
        <v>9244.36</v>
      </c>
      <c r="AT244" s="1">
        <v>0</v>
      </c>
      <c r="AU244" s="1">
        <v>8704.64</v>
      </c>
      <c r="AV244" s="1">
        <v>0</v>
      </c>
      <c r="AW244" s="1">
        <v>0</v>
      </c>
      <c r="AX244" s="1">
        <v>0</v>
      </c>
      <c r="AY244" s="1">
        <v>10044.629999999999</v>
      </c>
      <c r="AZ244" s="1">
        <v>0</v>
      </c>
      <c r="BA244" s="1">
        <v>0</v>
      </c>
      <c r="BB244" s="1">
        <v>0</v>
      </c>
      <c r="BC244" s="1">
        <v>8377.7060000000001</v>
      </c>
      <c r="BD244" s="1">
        <v>0</v>
      </c>
      <c r="BE244" s="1">
        <v>0</v>
      </c>
      <c r="BF244" s="1">
        <v>9244.36</v>
      </c>
      <c r="BG244" s="1">
        <v>0</v>
      </c>
      <c r="BH244" s="1">
        <v>0</v>
      </c>
      <c r="BI244" s="1">
        <v>0</v>
      </c>
      <c r="BJ244" s="1">
        <v>0</v>
      </c>
      <c r="BK244" s="1">
        <v>0</v>
      </c>
      <c r="BL244" s="1">
        <v>0</v>
      </c>
      <c r="BM244" s="1">
        <v>0</v>
      </c>
      <c r="BN244" s="1">
        <v>0</v>
      </c>
      <c r="BO244" s="1">
        <v>0</v>
      </c>
      <c r="BP244" s="1">
        <v>0</v>
      </c>
      <c r="BQ244" s="1">
        <v>0</v>
      </c>
      <c r="BR244" s="1">
        <v>0</v>
      </c>
      <c r="BS244" s="1">
        <v>0</v>
      </c>
      <c r="BT244" s="1">
        <v>0</v>
      </c>
      <c r="BU244" s="1">
        <v>13186.28</v>
      </c>
      <c r="BV244" s="1">
        <v>10559.575999999999</v>
      </c>
      <c r="BW244" s="1">
        <v>10923.3</v>
      </c>
      <c r="BX244" s="1">
        <v>7468.4400000000014</v>
      </c>
      <c r="BY244" s="1">
        <v>13186.28</v>
      </c>
      <c r="BZ244" s="1">
        <v>10559.575999999999</v>
      </c>
      <c r="CA244" s="1">
        <v>10921.92</v>
      </c>
      <c r="CB244" s="1">
        <v>7468.4400000000014</v>
      </c>
      <c r="CC244" s="1">
        <v>0</v>
      </c>
      <c r="CD244" s="1">
        <v>0</v>
      </c>
      <c r="CE244" s="1">
        <v>1.38</v>
      </c>
      <c r="CF244" s="1">
        <v>0</v>
      </c>
      <c r="CG244" s="1">
        <v>0</v>
      </c>
      <c r="CH244" s="1">
        <v>0</v>
      </c>
      <c r="CI244" s="1">
        <v>0</v>
      </c>
      <c r="CJ244" s="1">
        <v>0</v>
      </c>
      <c r="CK244" s="1">
        <v>0</v>
      </c>
      <c r="CL244" s="1">
        <v>0</v>
      </c>
      <c r="CM244" s="1">
        <v>0</v>
      </c>
      <c r="CN244" s="1">
        <v>0</v>
      </c>
      <c r="CO244" s="1">
        <v>0</v>
      </c>
      <c r="CP244" s="1">
        <v>0</v>
      </c>
      <c r="CQ244" s="1">
        <v>0</v>
      </c>
      <c r="CR244" s="1">
        <v>0</v>
      </c>
      <c r="CS244" s="1">
        <v>13807.81</v>
      </c>
      <c r="CT244" s="1">
        <v>10730.65</v>
      </c>
      <c r="CU244" s="1">
        <v>9025.1679999999997</v>
      </c>
      <c r="CV244" s="1">
        <v>9024.8829999999998</v>
      </c>
      <c r="CW244" s="1">
        <v>13807.81</v>
      </c>
      <c r="CX244" s="1">
        <v>10730.65</v>
      </c>
      <c r="CY244" s="1">
        <v>9025.1679999999997</v>
      </c>
      <c r="CZ244" s="1">
        <v>9024.8829999999998</v>
      </c>
      <c r="DA244" s="1">
        <v>0</v>
      </c>
      <c r="DB244" s="1">
        <v>0</v>
      </c>
      <c r="DC244" s="1">
        <v>0</v>
      </c>
      <c r="DD244" s="1">
        <v>0</v>
      </c>
      <c r="DE244" s="1">
        <v>0</v>
      </c>
      <c r="DF244" s="1">
        <v>0</v>
      </c>
      <c r="DG244" s="1">
        <v>0</v>
      </c>
      <c r="DH244" s="1">
        <v>0</v>
      </c>
      <c r="DI244" s="1">
        <v>0</v>
      </c>
      <c r="DJ244" s="1">
        <v>0</v>
      </c>
      <c r="DK244" s="1">
        <v>0</v>
      </c>
      <c r="DL244" s="1">
        <v>0</v>
      </c>
      <c r="DM244" s="1">
        <v>9394.2800000000007</v>
      </c>
      <c r="DN244" s="1">
        <v>8532.27</v>
      </c>
      <c r="DO244" s="1">
        <v>9419.1740000000009</v>
      </c>
      <c r="DP244" s="1">
        <v>7475.1629999999996</v>
      </c>
      <c r="DQ244" s="1">
        <v>9394.2800000000007</v>
      </c>
      <c r="DR244" s="1">
        <v>8532.27</v>
      </c>
      <c r="DS244" s="1">
        <v>9417.8739999999998</v>
      </c>
      <c r="DT244" s="1">
        <v>7286.1100000000006</v>
      </c>
      <c r="DU244" s="1">
        <v>0</v>
      </c>
      <c r="DV244" s="1">
        <v>0</v>
      </c>
      <c r="DW244" s="1">
        <v>1.3</v>
      </c>
      <c r="DX244" s="1">
        <v>3.069</v>
      </c>
      <c r="DY244" s="1">
        <v>0</v>
      </c>
      <c r="DZ244" s="1">
        <v>0</v>
      </c>
      <c r="EA244" s="1">
        <v>0</v>
      </c>
      <c r="EB244" s="1">
        <v>185.98400000000001</v>
      </c>
      <c r="EC244" s="1">
        <v>0</v>
      </c>
      <c r="ED244" s="1">
        <v>0</v>
      </c>
      <c r="EE244" s="1">
        <v>0</v>
      </c>
      <c r="EF244" s="1">
        <v>0</v>
      </c>
      <c r="EG244" s="1">
        <v>0</v>
      </c>
      <c r="EH244" s="1">
        <v>0</v>
      </c>
      <c r="EI244" s="1">
        <v>0</v>
      </c>
      <c r="EJ244" s="1">
        <v>0</v>
      </c>
      <c r="EK244" s="1">
        <v>35351.964</v>
      </c>
      <c r="EL244" s="1">
        <v>34844.053</v>
      </c>
      <c r="EM244" s="1">
        <v>26826.883000000002</v>
      </c>
      <c r="EN244" s="1">
        <v>8217.3619999999992</v>
      </c>
      <c r="EO244" s="1">
        <v>35351.163999999997</v>
      </c>
      <c r="EP244" s="1">
        <v>34834.953000000001</v>
      </c>
      <c r="EQ244" s="1">
        <v>26819.262999999999</v>
      </c>
      <c r="ER244" s="1">
        <v>8213.3420000000006</v>
      </c>
      <c r="ES244" s="1">
        <v>0.8</v>
      </c>
      <c r="ET244" s="1">
        <v>9.1</v>
      </c>
      <c r="EU244" s="1">
        <v>7.62</v>
      </c>
      <c r="EV244" s="1">
        <v>4.0199999999999996</v>
      </c>
      <c r="EW244" s="1">
        <v>0</v>
      </c>
      <c r="EX244" s="1">
        <v>0</v>
      </c>
      <c r="EY244" s="1">
        <v>0</v>
      </c>
      <c r="EZ244" s="1">
        <v>0</v>
      </c>
      <c r="FA244" s="1">
        <v>0</v>
      </c>
      <c r="FB244" s="1">
        <v>0</v>
      </c>
      <c r="FC244" s="1">
        <v>0</v>
      </c>
      <c r="FD244" s="1">
        <v>0</v>
      </c>
      <c r="FE244" s="1">
        <v>100.98</v>
      </c>
      <c r="FF244" s="1">
        <v>114.883</v>
      </c>
      <c r="FG244" s="1">
        <v>206.238</v>
      </c>
      <c r="FH244" s="1">
        <v>639.04500000000007</v>
      </c>
      <c r="FI244" s="1">
        <v>100.98</v>
      </c>
      <c r="FJ244" s="1">
        <v>39.04</v>
      </c>
      <c r="FK244" s="1">
        <v>13.74</v>
      </c>
      <c r="FL244" s="1">
        <v>199.09</v>
      </c>
      <c r="FM244" s="1">
        <v>0</v>
      </c>
      <c r="FN244" s="1">
        <v>74.599999999999994</v>
      </c>
      <c r="FO244" s="1">
        <v>190.785</v>
      </c>
      <c r="FP244" s="1">
        <v>437.23399999999998</v>
      </c>
      <c r="FQ244" s="1">
        <v>0</v>
      </c>
      <c r="FR244" s="1">
        <v>0</v>
      </c>
      <c r="FS244" s="1">
        <v>0</v>
      </c>
      <c r="FT244" s="1">
        <v>0</v>
      </c>
      <c r="FU244" s="1">
        <v>0</v>
      </c>
      <c r="FV244" s="1">
        <v>0</v>
      </c>
      <c r="FW244" s="1">
        <v>0</v>
      </c>
      <c r="FX244" s="1">
        <v>0.872</v>
      </c>
      <c r="FY244" s="1">
        <v>0</v>
      </c>
      <c r="FZ244" s="1">
        <v>1.2430000000000001</v>
      </c>
      <c r="GA244" s="1">
        <v>1.7130000000000001</v>
      </c>
      <c r="GB244" s="1">
        <v>1.849</v>
      </c>
      <c r="GC244" s="1">
        <v>4281.6499999999996</v>
      </c>
      <c r="GD244" s="1">
        <v>5305.82</v>
      </c>
      <c r="GE244" s="1">
        <v>3640.21</v>
      </c>
      <c r="GF244" s="1">
        <v>1890.01</v>
      </c>
      <c r="GG244" s="1">
        <v>4281.6499999999996</v>
      </c>
      <c r="GH244" s="1">
        <v>5304.26</v>
      </c>
      <c r="GI244" s="1">
        <v>3628.1</v>
      </c>
      <c r="GJ244" s="1">
        <v>1881.58</v>
      </c>
      <c r="GK244" s="1">
        <v>0</v>
      </c>
      <c r="GL244" s="1">
        <v>1.56</v>
      </c>
      <c r="GM244" s="1">
        <v>12.11</v>
      </c>
      <c r="GN244" s="1">
        <v>8.43</v>
      </c>
      <c r="GO244" s="1">
        <v>0</v>
      </c>
      <c r="GP244" s="1">
        <v>0</v>
      </c>
      <c r="GQ244" s="1">
        <v>0</v>
      </c>
      <c r="GR244" s="1">
        <v>0</v>
      </c>
      <c r="GS244" s="1">
        <v>0</v>
      </c>
      <c r="GT244" s="1">
        <v>0</v>
      </c>
      <c r="GU244" s="1">
        <v>0</v>
      </c>
      <c r="GV244" s="1">
        <v>0</v>
      </c>
      <c r="GW244" s="1">
        <v>0</v>
      </c>
      <c r="GX244" s="1">
        <v>0</v>
      </c>
      <c r="GY244" s="1">
        <v>0</v>
      </c>
      <c r="GZ244" s="1">
        <v>0</v>
      </c>
      <c r="HA244" s="1">
        <v>0</v>
      </c>
      <c r="HB244" s="1">
        <v>0</v>
      </c>
      <c r="HC244" s="1">
        <v>0</v>
      </c>
      <c r="HD244" s="1">
        <v>0</v>
      </c>
      <c r="HE244" s="1">
        <v>1185.68</v>
      </c>
      <c r="HF244" s="1">
        <v>0</v>
      </c>
      <c r="HG244" s="1">
        <v>0</v>
      </c>
      <c r="HH244" s="1">
        <v>0</v>
      </c>
      <c r="HI244" s="1">
        <v>1185.68</v>
      </c>
      <c r="HJ244" s="1">
        <v>0</v>
      </c>
      <c r="HK244" s="1">
        <v>0</v>
      </c>
      <c r="HL244" s="1">
        <v>0</v>
      </c>
      <c r="HM244" s="1">
        <v>0</v>
      </c>
      <c r="HN244" s="1">
        <v>0</v>
      </c>
      <c r="HO244" s="1">
        <v>0</v>
      </c>
      <c r="HP244" s="1">
        <v>0</v>
      </c>
      <c r="HQ244" s="1">
        <v>0</v>
      </c>
      <c r="HR244" s="1">
        <v>0</v>
      </c>
      <c r="HS244" s="1">
        <v>0</v>
      </c>
      <c r="HT244" s="1">
        <v>0</v>
      </c>
      <c r="HU244" s="1">
        <v>0</v>
      </c>
      <c r="HV244" s="1">
        <v>0</v>
      </c>
      <c r="HW244" s="1">
        <v>0</v>
      </c>
      <c r="HX244" s="1">
        <v>0</v>
      </c>
      <c r="HY244" s="1">
        <v>0</v>
      </c>
      <c r="HZ244" s="1">
        <v>0</v>
      </c>
      <c r="IA244" s="1">
        <v>0</v>
      </c>
      <c r="IB244" s="1">
        <v>0</v>
      </c>
      <c r="IC244" s="1">
        <v>0</v>
      </c>
      <c r="ID244" s="1">
        <v>0</v>
      </c>
      <c r="IE244" s="1">
        <v>0</v>
      </c>
      <c r="IF244" s="1">
        <v>0</v>
      </c>
      <c r="IG244" s="1">
        <v>0</v>
      </c>
      <c r="IH244" s="1">
        <v>0</v>
      </c>
      <c r="II244" s="1">
        <v>0</v>
      </c>
      <c r="IJ244" s="1">
        <v>0</v>
      </c>
      <c r="IK244" s="1">
        <v>0</v>
      </c>
      <c r="IL244" s="1">
        <v>0</v>
      </c>
      <c r="IM244" s="1">
        <v>0</v>
      </c>
      <c r="IN244" s="1">
        <v>0</v>
      </c>
      <c r="IO244" s="1">
        <v>2647.5079999999998</v>
      </c>
      <c r="IP244" s="1">
        <v>3801.41</v>
      </c>
      <c r="IQ244" s="1">
        <v>2248.8980000000001</v>
      </c>
      <c r="IR244" s="1">
        <v>1643.45</v>
      </c>
      <c r="IS244" s="1">
        <v>321.42</v>
      </c>
      <c r="IT244" s="1">
        <v>351.161</v>
      </c>
      <c r="IU244" s="1">
        <v>1111.82</v>
      </c>
      <c r="IV244" s="1">
        <v>1112.7190000000001</v>
      </c>
      <c r="IW244" s="1">
        <v>2326.0880000000002</v>
      </c>
      <c r="IX244" s="1">
        <v>3450.217000000001</v>
      </c>
      <c r="IY244" s="1">
        <v>1134.32</v>
      </c>
      <c r="IZ244" s="1">
        <v>312.12</v>
      </c>
      <c r="JA244" s="1">
        <v>0</v>
      </c>
      <c r="JB244" s="1">
        <v>0</v>
      </c>
      <c r="JC244" s="1">
        <v>0</v>
      </c>
      <c r="JD244" s="1">
        <v>215.62799999999999</v>
      </c>
      <c r="JE244" s="1">
        <v>0</v>
      </c>
      <c r="JF244" s="1">
        <v>0</v>
      </c>
      <c r="JG244" s="1">
        <v>0</v>
      </c>
      <c r="JH244" s="1">
        <v>0</v>
      </c>
      <c r="JI244" s="1">
        <v>0</v>
      </c>
      <c r="JJ244" s="1">
        <v>0</v>
      </c>
      <c r="JK244" s="1">
        <v>0</v>
      </c>
      <c r="JL244" s="1">
        <v>0</v>
      </c>
      <c r="JM244" s="1">
        <v>0</v>
      </c>
      <c r="JN244" s="1">
        <v>3.2000000000000001E-2</v>
      </c>
      <c r="JO244" s="1">
        <v>2.758</v>
      </c>
      <c r="JP244" s="1">
        <v>1.6930000000000001</v>
      </c>
      <c r="JQ244" s="9"/>
      <c r="JR244" s="1">
        <f t="shared" si="48"/>
        <v>49663.296450000009</v>
      </c>
      <c r="JS244" s="1">
        <f t="shared" si="48"/>
        <v>53305.222230000007</v>
      </c>
      <c r="JT244" s="1">
        <f t="shared" si="48"/>
        <v>40213.361250000002</v>
      </c>
      <c r="JU244" s="1">
        <f t="shared" si="48"/>
        <v>39041.467020000004</v>
      </c>
      <c r="JV244" s="1">
        <f t="shared" si="49"/>
        <v>9196.9067500000001</v>
      </c>
      <c r="JW244" s="1">
        <f t="shared" si="49"/>
        <v>9871.3374500000009</v>
      </c>
      <c r="JX244" s="1">
        <f t="shared" si="49"/>
        <v>7446.9187500000007</v>
      </c>
      <c r="JY244" s="1">
        <f t="shared" si="49"/>
        <v>7229.9013000000014</v>
      </c>
    </row>
    <row r="245" spans="1:285" x14ac:dyDescent="0.35">
      <c r="A245" s="2" t="s">
        <v>252</v>
      </c>
      <c r="B245" s="1">
        <v>230521</v>
      </c>
      <c r="C245" s="1">
        <v>231220</v>
      </c>
      <c r="D245" s="1">
        <v>233318</v>
      </c>
      <c r="E245" s="1">
        <v>236142</v>
      </c>
      <c r="F245" s="1">
        <v>74497.914999999994</v>
      </c>
      <c r="G245" s="1">
        <v>80039.399999999994</v>
      </c>
      <c r="H245" s="1">
        <v>81481.83</v>
      </c>
      <c r="I245" s="1">
        <v>79607.75</v>
      </c>
      <c r="J245" s="1">
        <f t="shared" si="50"/>
        <v>57676.604999999989</v>
      </c>
      <c r="K245" s="1">
        <f t="shared" si="51"/>
        <v>62975.389999999992</v>
      </c>
      <c r="L245" s="1">
        <f t="shared" si="52"/>
        <v>63068.33</v>
      </c>
      <c r="M245" s="1">
        <f t="shared" si="53"/>
        <v>61105.339999999989</v>
      </c>
      <c r="N245" s="1">
        <f t="shared" si="54"/>
        <v>16821.310000000005</v>
      </c>
      <c r="O245" s="1">
        <f t="shared" si="55"/>
        <v>17064.010000000002</v>
      </c>
      <c r="P245" s="1">
        <f t="shared" si="56"/>
        <v>18413.5</v>
      </c>
      <c r="Q245" s="1">
        <f t="shared" si="57"/>
        <v>18502.410000000011</v>
      </c>
      <c r="R245" s="1">
        <v>0</v>
      </c>
      <c r="S245" s="1">
        <v>0</v>
      </c>
      <c r="T245" s="1">
        <v>0</v>
      </c>
      <c r="U245" s="1">
        <v>0</v>
      </c>
      <c r="V245" s="1">
        <v>0</v>
      </c>
      <c r="W245" s="1">
        <v>0</v>
      </c>
      <c r="X245" s="1">
        <v>0</v>
      </c>
      <c r="Y245" s="1">
        <v>0</v>
      </c>
      <c r="Z245" s="1">
        <v>0</v>
      </c>
      <c r="AA245" s="1">
        <v>0</v>
      </c>
      <c r="AB245" s="1">
        <v>0</v>
      </c>
      <c r="AC245" s="1">
        <v>0</v>
      </c>
      <c r="AD245" s="1">
        <v>0</v>
      </c>
      <c r="AE245" s="1">
        <v>0</v>
      </c>
      <c r="AF245" s="1">
        <v>0</v>
      </c>
      <c r="AG245" s="1">
        <v>0</v>
      </c>
      <c r="AH245" s="1">
        <v>0</v>
      </c>
      <c r="AI245" s="1">
        <v>0</v>
      </c>
      <c r="AJ245" s="1">
        <v>0</v>
      </c>
      <c r="AK245" s="1">
        <v>0</v>
      </c>
      <c r="AL245" s="1">
        <v>0</v>
      </c>
      <c r="AM245" s="1">
        <v>0</v>
      </c>
      <c r="AN245" s="1">
        <v>0</v>
      </c>
      <c r="AO245" s="1">
        <v>0</v>
      </c>
      <c r="AP245" s="1">
        <v>20329.55</v>
      </c>
      <c r="AQ245" s="1">
        <v>19589.71</v>
      </c>
      <c r="AR245" s="1">
        <v>17302.899999999998</v>
      </c>
      <c r="AS245" s="1">
        <v>17430.48</v>
      </c>
      <c r="AT245" s="1">
        <v>20329.55</v>
      </c>
      <c r="AU245" s="1">
        <v>0</v>
      </c>
      <c r="AV245" s="1">
        <v>0</v>
      </c>
      <c r="AW245" s="1">
        <v>0</v>
      </c>
      <c r="AX245" s="1">
        <v>19589.71</v>
      </c>
      <c r="AY245" s="1">
        <v>0</v>
      </c>
      <c r="AZ245" s="1">
        <v>0</v>
      </c>
      <c r="BA245" s="1">
        <v>0</v>
      </c>
      <c r="BB245" s="1">
        <v>17091.899999999998</v>
      </c>
      <c r="BC245" s="1">
        <v>211</v>
      </c>
      <c r="BD245" s="1">
        <v>0</v>
      </c>
      <c r="BE245" s="1">
        <v>17283.2</v>
      </c>
      <c r="BF245" s="1">
        <v>147.27999999999884</v>
      </c>
      <c r="BG245" s="1">
        <v>0</v>
      </c>
      <c r="BH245" s="1">
        <v>0</v>
      </c>
      <c r="BI245" s="1">
        <v>0</v>
      </c>
      <c r="BJ245" s="1">
        <v>0</v>
      </c>
      <c r="BK245" s="1">
        <v>0</v>
      </c>
      <c r="BL245" s="1">
        <v>0</v>
      </c>
      <c r="BM245" s="1">
        <v>0</v>
      </c>
      <c r="BN245" s="1">
        <v>0</v>
      </c>
      <c r="BO245" s="1">
        <v>0</v>
      </c>
      <c r="BP245" s="1">
        <v>0</v>
      </c>
      <c r="BQ245" s="1">
        <v>0</v>
      </c>
      <c r="BR245" s="1">
        <v>0</v>
      </c>
      <c r="BS245" s="1">
        <v>0</v>
      </c>
      <c r="BT245" s="1">
        <v>0</v>
      </c>
      <c r="BU245" s="1">
        <v>4499.28</v>
      </c>
      <c r="BV245" s="1">
        <v>7659.26</v>
      </c>
      <c r="BW245" s="1">
        <v>6736.62</v>
      </c>
      <c r="BX245" s="1">
        <v>6483.58</v>
      </c>
      <c r="BY245" s="1">
        <v>4499.28</v>
      </c>
      <c r="BZ245" s="1">
        <v>7659.26</v>
      </c>
      <c r="CA245" s="1">
        <v>6736.62</v>
      </c>
      <c r="CB245" s="1">
        <v>6483.58</v>
      </c>
      <c r="CC245" s="1">
        <v>0</v>
      </c>
      <c r="CD245" s="1">
        <v>0</v>
      </c>
      <c r="CE245" s="1">
        <v>0</v>
      </c>
      <c r="CF245" s="1">
        <v>0</v>
      </c>
      <c r="CG245" s="1">
        <v>0</v>
      </c>
      <c r="CH245" s="1">
        <v>0</v>
      </c>
      <c r="CI245" s="1">
        <v>0</v>
      </c>
      <c r="CJ245" s="1">
        <v>0</v>
      </c>
      <c r="CK245" s="1">
        <v>0</v>
      </c>
      <c r="CL245" s="1">
        <v>0</v>
      </c>
      <c r="CM245" s="1">
        <v>0</v>
      </c>
      <c r="CN245" s="1">
        <v>0</v>
      </c>
      <c r="CO245" s="1">
        <v>0</v>
      </c>
      <c r="CP245" s="1">
        <v>0</v>
      </c>
      <c r="CQ245" s="1">
        <v>0</v>
      </c>
      <c r="CR245" s="1">
        <v>0</v>
      </c>
      <c r="CS245" s="1">
        <v>10942.73</v>
      </c>
      <c r="CT245" s="1">
        <v>11899.63</v>
      </c>
      <c r="CU245" s="1">
        <v>10422.94</v>
      </c>
      <c r="CV245" s="1">
        <v>10225.59</v>
      </c>
      <c r="CW245" s="1">
        <v>10942.73</v>
      </c>
      <c r="CX245" s="1">
        <v>11899.63</v>
      </c>
      <c r="CY245" s="1">
        <v>10422.94</v>
      </c>
      <c r="CZ245" s="1">
        <v>10225.59</v>
      </c>
      <c r="DA245" s="1">
        <v>0</v>
      </c>
      <c r="DB245" s="1">
        <v>0</v>
      </c>
      <c r="DC245" s="1">
        <v>0</v>
      </c>
      <c r="DD245" s="1">
        <v>0</v>
      </c>
      <c r="DE245" s="1">
        <v>0</v>
      </c>
      <c r="DF245" s="1">
        <v>0</v>
      </c>
      <c r="DG245" s="1">
        <v>0</v>
      </c>
      <c r="DH245" s="1">
        <v>0</v>
      </c>
      <c r="DI245" s="1">
        <v>0</v>
      </c>
      <c r="DJ245" s="1">
        <v>0</v>
      </c>
      <c r="DK245" s="1">
        <v>0</v>
      </c>
      <c r="DL245" s="1">
        <v>0</v>
      </c>
      <c r="DM245" s="1">
        <v>10942.73</v>
      </c>
      <c r="DN245" s="1">
        <v>11899.63</v>
      </c>
      <c r="DO245" s="1">
        <v>10422.94</v>
      </c>
      <c r="DP245" s="1">
        <v>10225.59</v>
      </c>
      <c r="DQ245" s="1">
        <v>10942.73</v>
      </c>
      <c r="DR245" s="1">
        <v>11899.63</v>
      </c>
      <c r="DS245" s="1">
        <v>10422.94</v>
      </c>
      <c r="DT245" s="1">
        <v>10225.59</v>
      </c>
      <c r="DU245" s="1">
        <v>0</v>
      </c>
      <c r="DV245" s="1">
        <v>0</v>
      </c>
      <c r="DW245" s="1">
        <v>0</v>
      </c>
      <c r="DX245" s="1">
        <v>0</v>
      </c>
      <c r="DY245" s="1">
        <v>0</v>
      </c>
      <c r="DZ245" s="1">
        <v>0</v>
      </c>
      <c r="EA245" s="1">
        <v>0</v>
      </c>
      <c r="EB245" s="1">
        <v>0</v>
      </c>
      <c r="EC245" s="1">
        <v>0</v>
      </c>
      <c r="ED245" s="1">
        <v>0</v>
      </c>
      <c r="EE245" s="1">
        <v>0</v>
      </c>
      <c r="EF245" s="1">
        <v>0</v>
      </c>
      <c r="EG245" s="1">
        <v>0</v>
      </c>
      <c r="EH245" s="1">
        <v>0</v>
      </c>
      <c r="EI245" s="1">
        <v>0</v>
      </c>
      <c r="EJ245" s="1">
        <v>0</v>
      </c>
      <c r="EK245" s="1">
        <v>10942.73</v>
      </c>
      <c r="EL245" s="1">
        <v>11899.63</v>
      </c>
      <c r="EM245" s="1">
        <v>10422.94</v>
      </c>
      <c r="EN245" s="1">
        <v>10225.59</v>
      </c>
      <c r="EO245" s="1">
        <v>10942.73</v>
      </c>
      <c r="EP245" s="1">
        <v>11899.63</v>
      </c>
      <c r="EQ245" s="1">
        <v>10422.94</v>
      </c>
      <c r="ER245" s="1">
        <v>10225.59</v>
      </c>
      <c r="ES245" s="1">
        <v>0</v>
      </c>
      <c r="ET245" s="1">
        <v>0</v>
      </c>
      <c r="EU245" s="1">
        <v>0</v>
      </c>
      <c r="EV245" s="1">
        <v>0</v>
      </c>
      <c r="EW245" s="1">
        <v>0</v>
      </c>
      <c r="EX245" s="1">
        <v>0</v>
      </c>
      <c r="EY245" s="1">
        <v>0</v>
      </c>
      <c r="EZ245" s="1">
        <v>0</v>
      </c>
      <c r="FA245" s="1">
        <v>0</v>
      </c>
      <c r="FB245" s="1">
        <v>0</v>
      </c>
      <c r="FC245" s="1">
        <v>0</v>
      </c>
      <c r="FD245" s="1">
        <v>0</v>
      </c>
      <c r="FE245" s="1">
        <v>19.585000000000001</v>
      </c>
      <c r="FF245" s="1">
        <v>27.53</v>
      </c>
      <c r="FG245" s="1">
        <v>34.25</v>
      </c>
      <c r="FH245" s="1">
        <v>30.93</v>
      </c>
      <c r="FI245" s="1">
        <v>19.585000000000001</v>
      </c>
      <c r="FJ245" s="1">
        <v>27.53</v>
      </c>
      <c r="FK245" s="1">
        <v>34.25</v>
      </c>
      <c r="FL245" s="1">
        <v>30.93</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v>0</v>
      </c>
      <c r="GC245" s="1">
        <v>0</v>
      </c>
      <c r="GD245" s="1">
        <v>0</v>
      </c>
      <c r="GE245" s="1">
        <v>7725.74</v>
      </c>
      <c r="GF245" s="1">
        <v>6483.58</v>
      </c>
      <c r="GG245" s="1">
        <v>0</v>
      </c>
      <c r="GH245" s="1">
        <v>0</v>
      </c>
      <c r="GI245" s="1">
        <v>7725.74</v>
      </c>
      <c r="GJ245" s="1">
        <v>6483.58</v>
      </c>
      <c r="GK245" s="1">
        <v>0</v>
      </c>
      <c r="GL245" s="1">
        <v>0</v>
      </c>
      <c r="GM245" s="1">
        <v>0</v>
      </c>
      <c r="GN245" s="1">
        <v>0</v>
      </c>
      <c r="GO245" s="1">
        <v>0</v>
      </c>
      <c r="GP245" s="1">
        <v>0</v>
      </c>
      <c r="GQ245" s="1">
        <v>0</v>
      </c>
      <c r="GR245" s="1">
        <v>0</v>
      </c>
      <c r="GS245" s="1">
        <v>0</v>
      </c>
      <c r="GT245" s="1">
        <v>0</v>
      </c>
      <c r="GU245" s="1">
        <v>0</v>
      </c>
      <c r="GV245" s="1">
        <v>0</v>
      </c>
      <c r="GW245" s="1">
        <v>0</v>
      </c>
      <c r="GX245" s="1">
        <v>0</v>
      </c>
      <c r="GY245" s="1">
        <v>0</v>
      </c>
      <c r="GZ245" s="1">
        <v>0</v>
      </c>
      <c r="HA245" s="1">
        <v>0</v>
      </c>
      <c r="HB245" s="1">
        <v>0</v>
      </c>
      <c r="HC245" s="1">
        <v>0</v>
      </c>
      <c r="HD245" s="1">
        <v>0</v>
      </c>
      <c r="HE245" s="1">
        <v>0</v>
      </c>
      <c r="HF245" s="1">
        <v>0</v>
      </c>
      <c r="HG245" s="1">
        <v>0</v>
      </c>
      <c r="HH245" s="1">
        <v>0</v>
      </c>
      <c r="HI245" s="1">
        <v>0</v>
      </c>
      <c r="HJ245" s="1">
        <v>0</v>
      </c>
      <c r="HK245" s="1">
        <v>0</v>
      </c>
      <c r="HL245" s="1">
        <v>0</v>
      </c>
      <c r="HM245" s="1">
        <v>0</v>
      </c>
      <c r="HN245" s="1">
        <v>0</v>
      </c>
      <c r="HO245" s="1">
        <v>0</v>
      </c>
      <c r="HP245" s="1">
        <v>0</v>
      </c>
      <c r="HQ245" s="1">
        <v>0</v>
      </c>
      <c r="HR245" s="1">
        <v>0</v>
      </c>
      <c r="HS245" s="1">
        <v>0</v>
      </c>
      <c r="HT245" s="1">
        <v>0</v>
      </c>
      <c r="HU245" s="1">
        <v>0</v>
      </c>
      <c r="HV245" s="1">
        <v>0</v>
      </c>
      <c r="HW245" s="1">
        <v>0</v>
      </c>
      <c r="HX245" s="1">
        <v>0</v>
      </c>
      <c r="HY245" s="1">
        <v>0</v>
      </c>
      <c r="HZ245" s="1">
        <v>0</v>
      </c>
      <c r="IA245" s="1">
        <v>0</v>
      </c>
      <c r="IB245" s="1">
        <v>0</v>
      </c>
      <c r="IC245" s="1">
        <v>0</v>
      </c>
      <c r="ID245" s="1">
        <v>0</v>
      </c>
      <c r="IE245" s="1">
        <v>0</v>
      </c>
      <c r="IF245" s="1">
        <v>0</v>
      </c>
      <c r="IG245" s="1">
        <v>0</v>
      </c>
      <c r="IH245" s="1">
        <v>0</v>
      </c>
      <c r="II245" s="1">
        <v>0</v>
      </c>
      <c r="IJ245" s="1">
        <v>0</v>
      </c>
      <c r="IK245" s="1">
        <v>0</v>
      </c>
      <c r="IL245" s="1">
        <v>0</v>
      </c>
      <c r="IM245" s="1">
        <v>0</v>
      </c>
      <c r="IN245" s="1">
        <v>0</v>
      </c>
      <c r="IO245" s="1">
        <v>0</v>
      </c>
      <c r="IP245" s="1">
        <v>0</v>
      </c>
      <c r="IQ245" s="1">
        <v>0</v>
      </c>
      <c r="IR245" s="1">
        <v>0</v>
      </c>
      <c r="IS245" s="1">
        <v>0</v>
      </c>
      <c r="IT245" s="1">
        <v>0</v>
      </c>
      <c r="IU245" s="1">
        <v>0</v>
      </c>
      <c r="IV245" s="1">
        <v>0</v>
      </c>
      <c r="IW245" s="1">
        <v>0</v>
      </c>
      <c r="IX245" s="1">
        <v>0</v>
      </c>
      <c r="IY245" s="1">
        <v>0</v>
      </c>
      <c r="IZ245" s="1">
        <v>0</v>
      </c>
      <c r="JA245" s="1">
        <v>0</v>
      </c>
      <c r="JB245" s="1">
        <v>0</v>
      </c>
      <c r="JC245" s="1">
        <v>0</v>
      </c>
      <c r="JD245" s="1">
        <v>0</v>
      </c>
      <c r="JE245" s="1">
        <v>0</v>
      </c>
      <c r="JF245" s="1">
        <v>0</v>
      </c>
      <c r="JG245" s="1">
        <v>0</v>
      </c>
      <c r="JH245" s="1">
        <v>0</v>
      </c>
      <c r="JI245" s="1">
        <v>0</v>
      </c>
      <c r="JJ245" s="1">
        <v>0</v>
      </c>
      <c r="JK245" s="1">
        <v>0</v>
      </c>
      <c r="JL245" s="1">
        <v>0</v>
      </c>
      <c r="JM245" s="1">
        <v>0</v>
      </c>
      <c r="JN245" s="1">
        <v>0</v>
      </c>
      <c r="JO245" s="1">
        <v>0</v>
      </c>
      <c r="JP245" s="1">
        <v>0</v>
      </c>
      <c r="JQ245" s="9"/>
      <c r="JR245" s="1">
        <f t="shared" si="48"/>
        <v>4541.753700000002</v>
      </c>
      <c r="JS245" s="1">
        <f t="shared" si="48"/>
        <v>4607.2827000000007</v>
      </c>
      <c r="JT245" s="1">
        <f t="shared" si="48"/>
        <v>4971.6450000000004</v>
      </c>
      <c r="JU245" s="1">
        <f t="shared" si="48"/>
        <v>4995.6507000000029</v>
      </c>
      <c r="JV245" s="1">
        <f t="shared" si="49"/>
        <v>841.06550000000027</v>
      </c>
      <c r="JW245" s="1">
        <f t="shared" si="49"/>
        <v>853.20050000000015</v>
      </c>
      <c r="JX245" s="1">
        <f t="shared" si="49"/>
        <v>920.67500000000007</v>
      </c>
      <c r="JY245" s="1">
        <f t="shared" si="49"/>
        <v>925.12050000000056</v>
      </c>
    </row>
    <row r="246" spans="1:285" x14ac:dyDescent="0.35">
      <c r="A246" s="2" t="s">
        <v>253</v>
      </c>
      <c r="B246" s="1">
        <v>77968</v>
      </c>
      <c r="C246" s="1">
        <v>78842</v>
      </c>
      <c r="D246" s="1">
        <v>79664</v>
      </c>
      <c r="E246" s="1">
        <v>80586</v>
      </c>
      <c r="F246" s="1">
        <v>24787.5</v>
      </c>
      <c r="G246" s="1">
        <v>23647.07</v>
      </c>
      <c r="H246" s="1">
        <v>23281.31</v>
      </c>
      <c r="I246" s="1">
        <v>17723.669999999998</v>
      </c>
      <c r="J246" s="1">
        <f t="shared" si="50"/>
        <v>13857.499999999998</v>
      </c>
      <c r="K246" s="1">
        <f t="shared" si="51"/>
        <v>13338.85</v>
      </c>
      <c r="L246" s="1">
        <f t="shared" si="52"/>
        <v>14759.07</v>
      </c>
      <c r="M246" s="1">
        <f t="shared" si="53"/>
        <v>11104.650000000001</v>
      </c>
      <c r="N246" s="1">
        <f t="shared" si="54"/>
        <v>10930.000000000002</v>
      </c>
      <c r="O246" s="1">
        <f t="shared" si="55"/>
        <v>10308.219999999999</v>
      </c>
      <c r="P246" s="1">
        <f t="shared" si="56"/>
        <v>8522.2400000000016</v>
      </c>
      <c r="Q246" s="1">
        <f t="shared" si="57"/>
        <v>6619.0199999999968</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v>0</v>
      </c>
      <c r="AM246" s="1">
        <v>0</v>
      </c>
      <c r="AN246" s="1">
        <v>0</v>
      </c>
      <c r="AO246" s="1">
        <v>0</v>
      </c>
      <c r="AP246" s="1">
        <v>4320.8899999999994</v>
      </c>
      <c r="AQ246" s="1">
        <v>4010.13</v>
      </c>
      <c r="AR246" s="1">
        <v>3307.3100000000004</v>
      </c>
      <c r="AS246" s="1">
        <v>4015.05</v>
      </c>
      <c r="AT246" s="1">
        <v>0</v>
      </c>
      <c r="AU246" s="1">
        <v>4320.8899999999994</v>
      </c>
      <c r="AV246" s="1">
        <v>0</v>
      </c>
      <c r="AW246" s="1">
        <v>0</v>
      </c>
      <c r="AX246" s="1">
        <v>0</v>
      </c>
      <c r="AY246" s="1">
        <v>4010.13</v>
      </c>
      <c r="AZ246" s="1">
        <v>0</v>
      </c>
      <c r="BA246" s="1">
        <v>0</v>
      </c>
      <c r="BB246" s="1">
        <v>0</v>
      </c>
      <c r="BC246" s="1">
        <v>3307.3100000000004</v>
      </c>
      <c r="BD246" s="1">
        <v>0</v>
      </c>
      <c r="BE246" s="1">
        <v>0</v>
      </c>
      <c r="BF246" s="1">
        <v>4015.05</v>
      </c>
      <c r="BG246" s="1">
        <v>0</v>
      </c>
      <c r="BH246" s="1">
        <v>0</v>
      </c>
      <c r="BI246" s="1">
        <v>0</v>
      </c>
      <c r="BJ246" s="1">
        <v>0</v>
      </c>
      <c r="BK246" s="1">
        <v>0</v>
      </c>
      <c r="BL246" s="1">
        <v>0</v>
      </c>
      <c r="BM246" s="1">
        <v>0</v>
      </c>
      <c r="BN246" s="1">
        <v>0</v>
      </c>
      <c r="BO246" s="1">
        <v>0</v>
      </c>
      <c r="BP246" s="1">
        <v>0</v>
      </c>
      <c r="BQ246" s="1">
        <v>0</v>
      </c>
      <c r="BR246" s="1">
        <v>0</v>
      </c>
      <c r="BS246" s="1">
        <v>0</v>
      </c>
      <c r="BT246" s="1">
        <v>0</v>
      </c>
      <c r="BU246" s="1">
        <v>4054.41</v>
      </c>
      <c r="BV246" s="1">
        <v>3517.64</v>
      </c>
      <c r="BW246" s="1">
        <v>4032.74</v>
      </c>
      <c r="BX246" s="1">
        <v>2374.14</v>
      </c>
      <c r="BY246" s="1">
        <v>4054.41</v>
      </c>
      <c r="BZ246" s="1">
        <v>3517.64</v>
      </c>
      <c r="CA246" s="1">
        <v>4032.74</v>
      </c>
      <c r="CB246" s="1">
        <v>2374.14</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1938.33</v>
      </c>
      <c r="CT246" s="1">
        <v>1766.51</v>
      </c>
      <c r="CU246" s="1">
        <v>3197.95</v>
      </c>
      <c r="CV246" s="1">
        <v>639.79999999999995</v>
      </c>
      <c r="CW246" s="1">
        <v>1938.33</v>
      </c>
      <c r="CX246" s="1">
        <v>1766.51</v>
      </c>
      <c r="CY246" s="1">
        <v>3197.95</v>
      </c>
      <c r="CZ246" s="1">
        <v>639.79999999999995</v>
      </c>
      <c r="DA246" s="1">
        <v>0</v>
      </c>
      <c r="DB246" s="1">
        <v>0</v>
      </c>
      <c r="DC246" s="1">
        <v>0</v>
      </c>
      <c r="DD246" s="1">
        <v>0</v>
      </c>
      <c r="DE246" s="1">
        <v>0</v>
      </c>
      <c r="DF246" s="1">
        <v>0</v>
      </c>
      <c r="DG246" s="1">
        <v>0</v>
      </c>
      <c r="DH246" s="1">
        <v>0</v>
      </c>
      <c r="DI246" s="1">
        <v>0</v>
      </c>
      <c r="DJ246" s="1">
        <v>0</v>
      </c>
      <c r="DK246" s="1">
        <v>0</v>
      </c>
      <c r="DL246" s="1">
        <v>0</v>
      </c>
      <c r="DM246" s="1">
        <v>2709.35</v>
      </c>
      <c r="DN246" s="1">
        <v>2924.92</v>
      </c>
      <c r="DO246" s="1">
        <v>2848.82</v>
      </c>
      <c r="DP246" s="1">
        <v>2715.77</v>
      </c>
      <c r="DQ246" s="1">
        <v>2709.35</v>
      </c>
      <c r="DR246" s="1">
        <v>2924.92</v>
      </c>
      <c r="DS246" s="1">
        <v>2848.82</v>
      </c>
      <c r="DT246" s="1">
        <v>2715.77</v>
      </c>
      <c r="DU246" s="1">
        <v>0</v>
      </c>
      <c r="DV246" s="1">
        <v>0</v>
      </c>
      <c r="DW246" s="1">
        <v>0</v>
      </c>
      <c r="DX246" s="1">
        <v>0</v>
      </c>
      <c r="DY246" s="1">
        <v>0</v>
      </c>
      <c r="DZ246" s="1">
        <v>0</v>
      </c>
      <c r="EA246" s="1">
        <v>0</v>
      </c>
      <c r="EB246" s="1">
        <v>0</v>
      </c>
      <c r="EC246" s="1">
        <v>0</v>
      </c>
      <c r="ED246" s="1">
        <v>0</v>
      </c>
      <c r="EE246" s="1">
        <v>0</v>
      </c>
      <c r="EF246" s="1">
        <v>0</v>
      </c>
      <c r="EG246" s="1">
        <v>0</v>
      </c>
      <c r="EH246" s="1">
        <v>0</v>
      </c>
      <c r="EI246" s="1">
        <v>0</v>
      </c>
      <c r="EJ246" s="1">
        <v>0</v>
      </c>
      <c r="EK246" s="1">
        <v>550.46</v>
      </c>
      <c r="EL246" s="1">
        <v>671.79</v>
      </c>
      <c r="EM246" s="1">
        <v>1032.3900000000001</v>
      </c>
      <c r="EN246" s="1">
        <v>910.84999999999991</v>
      </c>
      <c r="EO246" s="1">
        <v>550.46</v>
      </c>
      <c r="EP246" s="1">
        <v>671.79</v>
      </c>
      <c r="EQ246" s="1">
        <v>1032.3900000000001</v>
      </c>
      <c r="ER246" s="1">
        <v>910.84999999999991</v>
      </c>
      <c r="ES246" s="1">
        <v>0</v>
      </c>
      <c r="ET246" s="1">
        <v>0</v>
      </c>
      <c r="EU246" s="1">
        <v>0</v>
      </c>
      <c r="EV246" s="1">
        <v>0</v>
      </c>
      <c r="EW246" s="1">
        <v>0</v>
      </c>
      <c r="EX246" s="1">
        <v>0</v>
      </c>
      <c r="EY246" s="1">
        <v>0</v>
      </c>
      <c r="EZ246" s="1">
        <v>0</v>
      </c>
      <c r="FA246" s="1">
        <v>0</v>
      </c>
      <c r="FB246" s="1">
        <v>0</v>
      </c>
      <c r="FC246" s="1">
        <v>0</v>
      </c>
      <c r="FD246" s="1">
        <v>0</v>
      </c>
      <c r="FE246" s="1">
        <v>68.650000000000006</v>
      </c>
      <c r="FF246" s="1">
        <v>109.38</v>
      </c>
      <c r="FG246" s="1">
        <v>89.09</v>
      </c>
      <c r="FH246" s="1">
        <v>115.44</v>
      </c>
      <c r="FI246" s="1">
        <v>68.650000000000006</v>
      </c>
      <c r="FJ246" s="1">
        <v>109.38</v>
      </c>
      <c r="FK246" s="1">
        <v>89.09</v>
      </c>
      <c r="FL246" s="1">
        <v>115.44</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v>0</v>
      </c>
      <c r="GC246" s="1">
        <v>0</v>
      </c>
      <c r="GD246" s="1">
        <v>0</v>
      </c>
      <c r="GE246" s="1">
        <v>0</v>
      </c>
      <c r="GF246" s="1">
        <v>0</v>
      </c>
      <c r="GG246" s="1">
        <v>0</v>
      </c>
      <c r="GH246" s="1">
        <v>0</v>
      </c>
      <c r="GI246" s="1">
        <v>0</v>
      </c>
      <c r="GJ246" s="1">
        <v>0</v>
      </c>
      <c r="GK246" s="1">
        <v>0</v>
      </c>
      <c r="GL246" s="1">
        <v>0</v>
      </c>
      <c r="GM246" s="1">
        <v>0</v>
      </c>
      <c r="GN246" s="1">
        <v>0</v>
      </c>
      <c r="GO246" s="1">
        <v>0</v>
      </c>
      <c r="GP246" s="1">
        <v>0</v>
      </c>
      <c r="GQ246" s="1">
        <v>0</v>
      </c>
      <c r="GR246" s="1">
        <v>0</v>
      </c>
      <c r="GS246" s="1">
        <v>0</v>
      </c>
      <c r="GT246" s="1">
        <v>0</v>
      </c>
      <c r="GU246" s="1">
        <v>0</v>
      </c>
      <c r="GV246" s="1">
        <v>0</v>
      </c>
      <c r="GW246" s="1">
        <v>0</v>
      </c>
      <c r="GX246" s="1">
        <v>0</v>
      </c>
      <c r="GY246" s="1">
        <v>0</v>
      </c>
      <c r="GZ246" s="1">
        <v>0</v>
      </c>
      <c r="HA246" s="1">
        <v>0</v>
      </c>
      <c r="HB246" s="1">
        <v>0</v>
      </c>
      <c r="HC246" s="1">
        <v>0</v>
      </c>
      <c r="HD246" s="1">
        <v>0</v>
      </c>
      <c r="HE246" s="1">
        <v>0</v>
      </c>
      <c r="HF246" s="1">
        <v>0</v>
      </c>
      <c r="HG246" s="1">
        <v>0</v>
      </c>
      <c r="HH246" s="1">
        <v>0</v>
      </c>
      <c r="HI246" s="1">
        <v>0</v>
      </c>
      <c r="HJ246" s="1">
        <v>0</v>
      </c>
      <c r="HK246" s="1">
        <v>0</v>
      </c>
      <c r="HL246" s="1">
        <v>0</v>
      </c>
      <c r="HM246" s="1">
        <v>0</v>
      </c>
      <c r="HN246" s="1">
        <v>0</v>
      </c>
      <c r="HO246" s="1">
        <v>0</v>
      </c>
      <c r="HP246" s="1">
        <v>0</v>
      </c>
      <c r="HQ246" s="1">
        <v>0</v>
      </c>
      <c r="HR246" s="1">
        <v>0</v>
      </c>
      <c r="HS246" s="1">
        <v>0</v>
      </c>
      <c r="HT246" s="1">
        <v>0</v>
      </c>
      <c r="HU246" s="1">
        <v>0</v>
      </c>
      <c r="HV246" s="1">
        <v>0</v>
      </c>
      <c r="HW246" s="1">
        <v>0</v>
      </c>
      <c r="HX246" s="1">
        <v>0</v>
      </c>
      <c r="HY246" s="1">
        <v>0</v>
      </c>
      <c r="HZ246" s="1">
        <v>0</v>
      </c>
      <c r="IA246" s="1">
        <v>0</v>
      </c>
      <c r="IB246" s="1">
        <v>0</v>
      </c>
      <c r="IC246" s="1">
        <v>0</v>
      </c>
      <c r="ID246" s="1">
        <v>0</v>
      </c>
      <c r="IE246" s="1">
        <v>0</v>
      </c>
      <c r="IF246" s="1">
        <v>0</v>
      </c>
      <c r="IG246" s="1">
        <v>0</v>
      </c>
      <c r="IH246" s="1">
        <v>0</v>
      </c>
      <c r="II246" s="1">
        <v>0</v>
      </c>
      <c r="IJ246" s="1">
        <v>0</v>
      </c>
      <c r="IK246" s="1">
        <v>0</v>
      </c>
      <c r="IL246" s="1">
        <v>0</v>
      </c>
      <c r="IM246" s="1">
        <v>0</v>
      </c>
      <c r="IN246" s="1">
        <v>0</v>
      </c>
      <c r="IO246" s="1">
        <v>215.41</v>
      </c>
      <c r="IP246" s="1">
        <v>338.48</v>
      </c>
      <c r="IQ246" s="1">
        <v>250.77</v>
      </c>
      <c r="IR246" s="1">
        <v>333.6</v>
      </c>
      <c r="IS246" s="1">
        <v>215.41</v>
      </c>
      <c r="IT246" s="1">
        <v>338.48</v>
      </c>
      <c r="IU246" s="1">
        <v>250.77</v>
      </c>
      <c r="IV246" s="1">
        <v>333.6</v>
      </c>
      <c r="IW246" s="1">
        <v>0</v>
      </c>
      <c r="IX246" s="1">
        <v>0</v>
      </c>
      <c r="IY246" s="1">
        <v>0</v>
      </c>
      <c r="IZ246" s="1">
        <v>0</v>
      </c>
      <c r="JA246" s="1">
        <v>0</v>
      </c>
      <c r="JB246" s="1">
        <v>0</v>
      </c>
      <c r="JC246" s="1">
        <v>0</v>
      </c>
      <c r="JD246" s="1">
        <v>0</v>
      </c>
      <c r="JE246" s="1">
        <v>0</v>
      </c>
      <c r="JF246" s="1">
        <v>0</v>
      </c>
      <c r="JG246" s="1">
        <v>0</v>
      </c>
      <c r="JH246" s="1">
        <v>0</v>
      </c>
      <c r="JI246" s="1">
        <v>0</v>
      </c>
      <c r="JJ246" s="1">
        <v>0</v>
      </c>
      <c r="JK246" s="1">
        <v>0</v>
      </c>
      <c r="JL246" s="1">
        <v>0</v>
      </c>
      <c r="JM246" s="1">
        <v>0</v>
      </c>
      <c r="JN246" s="1">
        <v>0</v>
      </c>
      <c r="JO246" s="1">
        <v>0</v>
      </c>
      <c r="JP246" s="1">
        <v>0</v>
      </c>
      <c r="JQ246" s="9"/>
      <c r="JR246" s="1">
        <f t="shared" si="48"/>
        <v>2951.1000000000008</v>
      </c>
      <c r="JS246" s="1">
        <f t="shared" si="48"/>
        <v>2783.2194</v>
      </c>
      <c r="JT246" s="1">
        <f t="shared" si="48"/>
        <v>2301.0048000000006</v>
      </c>
      <c r="JU246" s="1">
        <f t="shared" si="48"/>
        <v>1787.1353999999992</v>
      </c>
      <c r="JV246" s="1">
        <f t="shared" si="49"/>
        <v>546.50000000000011</v>
      </c>
      <c r="JW246" s="1">
        <f t="shared" si="49"/>
        <v>515.41099999999994</v>
      </c>
      <c r="JX246" s="1">
        <f t="shared" si="49"/>
        <v>426.11200000000008</v>
      </c>
      <c r="JY246" s="1">
        <f t="shared" si="49"/>
        <v>330.95099999999985</v>
      </c>
    </row>
    <row r="247" spans="1:285" x14ac:dyDescent="0.35">
      <c r="A247" s="2" t="s">
        <v>254</v>
      </c>
      <c r="B247" s="1">
        <v>87248</v>
      </c>
      <c r="C247" s="1">
        <v>88127</v>
      </c>
      <c r="D247" s="1">
        <v>89002</v>
      </c>
      <c r="E247" s="1">
        <v>90049</v>
      </c>
      <c r="F247" s="1">
        <v>40520.879999999997</v>
      </c>
      <c r="G247" s="1">
        <v>37330.730000000003</v>
      </c>
      <c r="H247" s="1">
        <v>36958.080000000002</v>
      </c>
      <c r="I247" s="1">
        <v>35851.800000000003</v>
      </c>
      <c r="J247" s="1">
        <f t="shared" si="50"/>
        <v>25117.47</v>
      </c>
      <c r="K247" s="1">
        <f t="shared" si="51"/>
        <v>22872.959999999999</v>
      </c>
      <c r="L247" s="1">
        <f t="shared" si="52"/>
        <v>22249.65</v>
      </c>
      <c r="M247" s="1">
        <f t="shared" si="53"/>
        <v>21654.59</v>
      </c>
      <c r="N247" s="1">
        <f t="shared" si="54"/>
        <v>15403.409999999996</v>
      </c>
      <c r="O247" s="1">
        <f t="shared" si="55"/>
        <v>14457.770000000004</v>
      </c>
      <c r="P247" s="1">
        <f t="shared" si="56"/>
        <v>14708.43</v>
      </c>
      <c r="Q247" s="1">
        <f t="shared" si="57"/>
        <v>14197.210000000003</v>
      </c>
      <c r="R247" s="1">
        <v>3348.1</v>
      </c>
      <c r="S247" s="1">
        <v>3378.06</v>
      </c>
      <c r="T247" s="1">
        <v>3064.45</v>
      </c>
      <c r="U247" s="1">
        <v>2828.71</v>
      </c>
      <c r="V247" s="1">
        <v>0</v>
      </c>
      <c r="W247" s="1">
        <v>0</v>
      </c>
      <c r="X247" s="1">
        <v>3348.1</v>
      </c>
      <c r="Y247" s="1">
        <v>0</v>
      </c>
      <c r="Z247" s="1">
        <v>0</v>
      </c>
      <c r="AA247" s="1">
        <v>3378.06</v>
      </c>
      <c r="AB247" s="1">
        <v>0</v>
      </c>
      <c r="AC247" s="1">
        <v>0</v>
      </c>
      <c r="AD247" s="1">
        <v>3064.45</v>
      </c>
      <c r="AE247" s="1">
        <v>0</v>
      </c>
      <c r="AF247" s="1">
        <v>0</v>
      </c>
      <c r="AG247" s="1">
        <v>2828.71</v>
      </c>
      <c r="AH247" s="1">
        <v>0</v>
      </c>
      <c r="AI247" s="1">
        <v>0</v>
      </c>
      <c r="AJ247" s="1">
        <v>0</v>
      </c>
      <c r="AK247" s="1">
        <v>0</v>
      </c>
      <c r="AL247" s="1">
        <v>0</v>
      </c>
      <c r="AM247" s="1">
        <v>0</v>
      </c>
      <c r="AN247" s="1">
        <v>0</v>
      </c>
      <c r="AO247" s="1">
        <v>0</v>
      </c>
      <c r="AP247" s="1">
        <v>5907.15</v>
      </c>
      <c r="AQ247" s="1">
        <v>6067.84</v>
      </c>
      <c r="AR247" s="1">
        <v>5543.66</v>
      </c>
      <c r="AS247" s="1">
        <v>6170.7</v>
      </c>
      <c r="AT247" s="1">
        <v>0</v>
      </c>
      <c r="AU247" s="1">
        <v>5907.15</v>
      </c>
      <c r="AV247" s="1">
        <v>0</v>
      </c>
      <c r="AW247" s="1">
        <v>0</v>
      </c>
      <c r="AX247" s="1">
        <v>0</v>
      </c>
      <c r="AY247" s="1">
        <v>6067.84</v>
      </c>
      <c r="AZ247" s="1">
        <v>0</v>
      </c>
      <c r="BA247" s="1">
        <v>0</v>
      </c>
      <c r="BB247" s="1">
        <v>0</v>
      </c>
      <c r="BC247" s="1">
        <v>5543.66</v>
      </c>
      <c r="BD247" s="1">
        <v>0</v>
      </c>
      <c r="BE247" s="1">
        <v>0</v>
      </c>
      <c r="BF247" s="1">
        <v>6170.7</v>
      </c>
      <c r="BG247" s="1">
        <v>0</v>
      </c>
      <c r="BH247" s="1">
        <v>0</v>
      </c>
      <c r="BI247" s="1">
        <v>0</v>
      </c>
      <c r="BJ247" s="1">
        <v>0</v>
      </c>
      <c r="BK247" s="1">
        <v>0</v>
      </c>
      <c r="BL247" s="1">
        <v>0</v>
      </c>
      <c r="BM247" s="1">
        <v>0</v>
      </c>
      <c r="BN247" s="1">
        <v>0</v>
      </c>
      <c r="BO247" s="1">
        <v>0</v>
      </c>
      <c r="BP247" s="1">
        <v>0</v>
      </c>
      <c r="BQ247" s="1">
        <v>0</v>
      </c>
      <c r="BR247" s="1">
        <v>0</v>
      </c>
      <c r="BS247" s="1">
        <v>0</v>
      </c>
      <c r="BT247" s="1">
        <v>0</v>
      </c>
      <c r="BU247" s="1">
        <v>7648.12</v>
      </c>
      <c r="BV247" s="1">
        <v>7257.46</v>
      </c>
      <c r="BW247" s="1">
        <v>7549.4500000000007</v>
      </c>
      <c r="BX247" s="1">
        <v>8021.33</v>
      </c>
      <c r="BY247" s="1">
        <v>7648.12</v>
      </c>
      <c r="BZ247" s="1">
        <v>7257.46</v>
      </c>
      <c r="CA247" s="1">
        <v>7549.4500000000007</v>
      </c>
      <c r="CB247" s="1">
        <v>8021.33</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4165.18</v>
      </c>
      <c r="CT247" s="1">
        <v>2550.7399999999998</v>
      </c>
      <c r="CU247" s="1">
        <v>2542.8200000000002</v>
      </c>
      <c r="CV247" s="1">
        <v>1382.41</v>
      </c>
      <c r="CW247" s="1">
        <v>4165.18</v>
      </c>
      <c r="CX247" s="1">
        <v>2550.7399999999998</v>
      </c>
      <c r="CY247" s="1">
        <v>2542.8200000000002</v>
      </c>
      <c r="CZ247" s="1">
        <v>1382.41</v>
      </c>
      <c r="DA247" s="1">
        <v>0</v>
      </c>
      <c r="DB247" s="1">
        <v>0</v>
      </c>
      <c r="DC247" s="1">
        <v>0</v>
      </c>
      <c r="DD247" s="1">
        <v>0</v>
      </c>
      <c r="DE247" s="1">
        <v>0</v>
      </c>
      <c r="DF247" s="1">
        <v>0</v>
      </c>
      <c r="DG247" s="1">
        <v>0</v>
      </c>
      <c r="DH247" s="1">
        <v>0</v>
      </c>
      <c r="DI247" s="1">
        <v>0</v>
      </c>
      <c r="DJ247" s="1">
        <v>0</v>
      </c>
      <c r="DK247" s="1">
        <v>0</v>
      </c>
      <c r="DL247" s="1">
        <v>0</v>
      </c>
      <c r="DM247" s="1">
        <v>3055.13</v>
      </c>
      <c r="DN247" s="1">
        <v>2932.81</v>
      </c>
      <c r="DO247" s="1">
        <v>2978.96</v>
      </c>
      <c r="DP247" s="1">
        <v>2740.07</v>
      </c>
      <c r="DQ247" s="1">
        <v>3055.13</v>
      </c>
      <c r="DR247" s="1">
        <v>2932.81</v>
      </c>
      <c r="DS247" s="1">
        <v>2978.96</v>
      </c>
      <c r="DT247" s="1">
        <v>2740.07</v>
      </c>
      <c r="DU247" s="1">
        <v>0</v>
      </c>
      <c r="DV247" s="1">
        <v>0</v>
      </c>
      <c r="DW247" s="1">
        <v>0</v>
      </c>
      <c r="DX247" s="1">
        <v>0</v>
      </c>
      <c r="DY247" s="1">
        <v>0</v>
      </c>
      <c r="DZ247" s="1">
        <v>0</v>
      </c>
      <c r="EA247" s="1">
        <v>0</v>
      </c>
      <c r="EB247" s="1">
        <v>0</v>
      </c>
      <c r="EC247" s="1">
        <v>0</v>
      </c>
      <c r="ED247" s="1">
        <v>0</v>
      </c>
      <c r="EE247" s="1">
        <v>0</v>
      </c>
      <c r="EF247" s="1">
        <v>0</v>
      </c>
      <c r="EG247" s="1">
        <v>0</v>
      </c>
      <c r="EH247" s="1">
        <v>0</v>
      </c>
      <c r="EI247" s="1">
        <v>0</v>
      </c>
      <c r="EJ247" s="1">
        <v>0</v>
      </c>
      <c r="EK247" s="1">
        <v>665.19</v>
      </c>
      <c r="EL247" s="1">
        <v>470.1</v>
      </c>
      <c r="EM247" s="1">
        <v>399.02</v>
      </c>
      <c r="EN247" s="1">
        <v>329.9</v>
      </c>
      <c r="EO247" s="1">
        <v>665.19</v>
      </c>
      <c r="EP247" s="1">
        <v>470.1</v>
      </c>
      <c r="EQ247" s="1">
        <v>399.02</v>
      </c>
      <c r="ER247" s="1">
        <v>329.9</v>
      </c>
      <c r="ES247" s="1">
        <v>0</v>
      </c>
      <c r="ET247" s="1">
        <v>0</v>
      </c>
      <c r="EU247" s="1">
        <v>0</v>
      </c>
      <c r="EV247" s="1">
        <v>0</v>
      </c>
      <c r="EW247" s="1">
        <v>0</v>
      </c>
      <c r="EX247" s="1">
        <v>0</v>
      </c>
      <c r="EY247" s="1">
        <v>0</v>
      </c>
      <c r="EZ247" s="1">
        <v>0</v>
      </c>
      <c r="FA247" s="1">
        <v>0</v>
      </c>
      <c r="FB247" s="1">
        <v>0</v>
      </c>
      <c r="FC247" s="1">
        <v>0</v>
      </c>
      <c r="FD247" s="1">
        <v>0</v>
      </c>
      <c r="FE247" s="1">
        <v>213.43</v>
      </c>
      <c r="FF247" s="1">
        <v>171.61</v>
      </c>
      <c r="FG247" s="1">
        <v>139.9</v>
      </c>
      <c r="FH247" s="1">
        <v>152.72999999999999</v>
      </c>
      <c r="FI247" s="1">
        <v>122.33</v>
      </c>
      <c r="FJ247" s="1">
        <v>95.9</v>
      </c>
      <c r="FK247" s="1">
        <v>78.7</v>
      </c>
      <c r="FL247" s="1">
        <v>84.929999999999993</v>
      </c>
      <c r="FM247" s="1">
        <v>91.1</v>
      </c>
      <c r="FN247" s="1">
        <v>75.710000000000008</v>
      </c>
      <c r="FO247" s="1">
        <v>61.2</v>
      </c>
      <c r="FP247" s="1">
        <v>67.800000000000011</v>
      </c>
      <c r="FQ247" s="1">
        <v>0</v>
      </c>
      <c r="FR247" s="1">
        <v>0</v>
      </c>
      <c r="FS247" s="1">
        <v>0</v>
      </c>
      <c r="FT247" s="1">
        <v>0</v>
      </c>
      <c r="FU247" s="1">
        <v>0</v>
      </c>
      <c r="FV247" s="1">
        <v>0</v>
      </c>
      <c r="FW247" s="1">
        <v>0</v>
      </c>
      <c r="FX247" s="1">
        <v>0</v>
      </c>
      <c r="FY247" s="1">
        <v>0</v>
      </c>
      <c r="FZ247" s="1">
        <v>0</v>
      </c>
      <c r="GA247" s="1">
        <v>0</v>
      </c>
      <c r="GB247" s="1">
        <v>0</v>
      </c>
      <c r="GC247" s="1">
        <v>61.220000000000013</v>
      </c>
      <c r="GD247" s="1">
        <v>44.34</v>
      </c>
      <c r="GE247" s="1">
        <v>31.39</v>
      </c>
      <c r="GF247" s="1">
        <v>28.74</v>
      </c>
      <c r="GG247" s="1">
        <v>61.220000000000013</v>
      </c>
      <c r="GH247" s="1">
        <v>44.34</v>
      </c>
      <c r="GI247" s="1">
        <v>31.39</v>
      </c>
      <c r="GJ247" s="1">
        <v>28.74</v>
      </c>
      <c r="GK247" s="1">
        <v>0</v>
      </c>
      <c r="GL247" s="1">
        <v>0</v>
      </c>
      <c r="GM247" s="1">
        <v>0</v>
      </c>
      <c r="GN247" s="1">
        <v>0</v>
      </c>
      <c r="GO247" s="1">
        <v>0</v>
      </c>
      <c r="GP247" s="1">
        <v>0</v>
      </c>
      <c r="GQ247" s="1">
        <v>0</v>
      </c>
      <c r="GR247" s="1">
        <v>0</v>
      </c>
      <c r="GS247" s="1">
        <v>0</v>
      </c>
      <c r="GT247" s="1">
        <v>0</v>
      </c>
      <c r="GU247" s="1">
        <v>0</v>
      </c>
      <c r="GV247" s="1">
        <v>0</v>
      </c>
      <c r="GW247" s="1">
        <v>0</v>
      </c>
      <c r="GX247" s="1">
        <v>0</v>
      </c>
      <c r="GY247" s="1">
        <v>0</v>
      </c>
      <c r="GZ247" s="1">
        <v>0</v>
      </c>
      <c r="HA247" s="1">
        <v>0</v>
      </c>
      <c r="HB247" s="1">
        <v>0</v>
      </c>
      <c r="HC247" s="1">
        <v>0</v>
      </c>
      <c r="HD247" s="1">
        <v>0</v>
      </c>
      <c r="HE247" s="1">
        <v>0</v>
      </c>
      <c r="HF247" s="1">
        <v>0</v>
      </c>
      <c r="HG247" s="1">
        <v>0</v>
      </c>
      <c r="HH247" s="1">
        <v>0</v>
      </c>
      <c r="HI247" s="1">
        <v>0</v>
      </c>
      <c r="HJ247" s="1">
        <v>0</v>
      </c>
      <c r="HK247" s="1">
        <v>0</v>
      </c>
      <c r="HL247" s="1">
        <v>0</v>
      </c>
      <c r="HM247" s="1">
        <v>0</v>
      </c>
      <c r="HN247" s="1">
        <v>0</v>
      </c>
      <c r="HO247" s="1">
        <v>0</v>
      </c>
      <c r="HP247" s="1">
        <v>0</v>
      </c>
      <c r="HQ247" s="1">
        <v>0</v>
      </c>
      <c r="HR247" s="1">
        <v>0</v>
      </c>
      <c r="HS247" s="1">
        <v>0</v>
      </c>
      <c r="HT247" s="1">
        <v>0</v>
      </c>
      <c r="HU247" s="1">
        <v>0</v>
      </c>
      <c r="HV247" s="1">
        <v>0</v>
      </c>
      <c r="HW247" s="1">
        <v>0</v>
      </c>
      <c r="HX247" s="1">
        <v>0</v>
      </c>
      <c r="HY247" s="1">
        <v>0</v>
      </c>
      <c r="HZ247" s="1">
        <v>0</v>
      </c>
      <c r="IA247" s="1">
        <v>0</v>
      </c>
      <c r="IB247" s="1">
        <v>0</v>
      </c>
      <c r="IC247" s="1">
        <v>0</v>
      </c>
      <c r="ID247" s="1">
        <v>0</v>
      </c>
      <c r="IE247" s="1">
        <v>0</v>
      </c>
      <c r="IF247" s="1">
        <v>0</v>
      </c>
      <c r="IG247" s="1">
        <v>0</v>
      </c>
      <c r="IH247" s="1">
        <v>0</v>
      </c>
      <c r="II247" s="1">
        <v>0</v>
      </c>
      <c r="IJ247" s="1">
        <v>0</v>
      </c>
      <c r="IK247" s="1">
        <v>0</v>
      </c>
      <c r="IL247" s="1">
        <v>0</v>
      </c>
      <c r="IM247" s="1">
        <v>0</v>
      </c>
      <c r="IN247" s="1">
        <v>0</v>
      </c>
      <c r="IO247" s="1">
        <v>53.95</v>
      </c>
      <c r="IP247" s="1">
        <v>0</v>
      </c>
      <c r="IQ247" s="1">
        <v>0</v>
      </c>
      <c r="IR247" s="1">
        <v>0</v>
      </c>
      <c r="IS247" s="1">
        <v>53.95</v>
      </c>
      <c r="IT247" s="1">
        <v>0</v>
      </c>
      <c r="IU247" s="1">
        <v>0</v>
      </c>
      <c r="IV247" s="1">
        <v>0</v>
      </c>
      <c r="IW247" s="1">
        <v>0</v>
      </c>
      <c r="IX247" s="1">
        <v>0</v>
      </c>
      <c r="IY247" s="1">
        <v>0</v>
      </c>
      <c r="IZ247" s="1">
        <v>0</v>
      </c>
      <c r="JA247" s="1">
        <v>0</v>
      </c>
      <c r="JB247" s="1">
        <v>0</v>
      </c>
      <c r="JC247" s="1">
        <v>0</v>
      </c>
      <c r="JD247" s="1">
        <v>0</v>
      </c>
      <c r="JE247" s="1">
        <v>0</v>
      </c>
      <c r="JF247" s="1">
        <v>0</v>
      </c>
      <c r="JG247" s="1">
        <v>0</v>
      </c>
      <c r="JH247" s="1">
        <v>0</v>
      </c>
      <c r="JI247" s="1">
        <v>0</v>
      </c>
      <c r="JJ247" s="1">
        <v>0</v>
      </c>
      <c r="JK247" s="1">
        <v>0</v>
      </c>
      <c r="JL247" s="1">
        <v>0</v>
      </c>
      <c r="JM247" s="1">
        <v>0</v>
      </c>
      <c r="JN247" s="1">
        <v>0</v>
      </c>
      <c r="JO247" s="1">
        <v>0</v>
      </c>
      <c r="JP247" s="1">
        <v>0</v>
      </c>
      <c r="JQ247" s="9"/>
      <c r="JR247" s="1">
        <f t="shared" si="48"/>
        <v>4158.9206999999997</v>
      </c>
      <c r="JS247" s="1">
        <f t="shared" si="48"/>
        <v>3903.5979000000016</v>
      </c>
      <c r="JT247" s="1">
        <f t="shared" si="48"/>
        <v>3971.2761000000005</v>
      </c>
      <c r="JU247" s="1">
        <f t="shared" si="48"/>
        <v>3833.2467000000011</v>
      </c>
      <c r="JV247" s="1">
        <f t="shared" si="49"/>
        <v>770.17049999999983</v>
      </c>
      <c r="JW247" s="1">
        <f t="shared" si="49"/>
        <v>722.88850000000025</v>
      </c>
      <c r="JX247" s="1">
        <f t="shared" si="49"/>
        <v>735.42150000000004</v>
      </c>
      <c r="JY247" s="1">
        <f t="shared" si="49"/>
        <v>709.86050000000023</v>
      </c>
    </row>
    <row r="248" spans="1:285" x14ac:dyDescent="0.35">
      <c r="A248" s="2" t="s">
        <v>255</v>
      </c>
      <c r="B248" s="1">
        <v>133869</v>
      </c>
      <c r="C248" s="1">
        <v>135189</v>
      </c>
      <c r="D248" s="1">
        <v>135986</v>
      </c>
      <c r="E248" s="1">
        <v>137363</v>
      </c>
      <c r="F248" s="1">
        <v>33379.235999999997</v>
      </c>
      <c r="G248" s="1">
        <v>30864.36</v>
      </c>
      <c r="H248" s="1">
        <v>27871.791000000001</v>
      </c>
      <c r="I248" s="1">
        <v>32093.32</v>
      </c>
      <c r="J248" s="1">
        <f t="shared" si="50"/>
        <v>30025.488999999998</v>
      </c>
      <c r="K248" s="1">
        <f t="shared" si="51"/>
        <v>28978.116000000002</v>
      </c>
      <c r="L248" s="1">
        <f t="shared" si="52"/>
        <v>25545.527000000002</v>
      </c>
      <c r="M248" s="1">
        <f t="shared" si="53"/>
        <v>29509.553000000004</v>
      </c>
      <c r="N248" s="1">
        <f t="shared" si="54"/>
        <v>3353.7469999999994</v>
      </c>
      <c r="O248" s="1">
        <f t="shared" si="55"/>
        <v>1886.2439999999988</v>
      </c>
      <c r="P248" s="1">
        <f t="shared" si="56"/>
        <v>2326.2639999999992</v>
      </c>
      <c r="Q248" s="1">
        <f t="shared" si="57"/>
        <v>2583.7669999999962</v>
      </c>
      <c r="R248" s="1">
        <v>6216.06</v>
      </c>
      <c r="S248" s="1">
        <v>6101.49</v>
      </c>
      <c r="T248" s="1">
        <v>5628.42</v>
      </c>
      <c r="U248" s="1">
        <v>5505.2199999999993</v>
      </c>
      <c r="V248" s="1">
        <v>0</v>
      </c>
      <c r="W248" s="1">
        <v>0</v>
      </c>
      <c r="X248" s="1">
        <v>6216.06</v>
      </c>
      <c r="Y248" s="1">
        <v>0</v>
      </c>
      <c r="Z248" s="1">
        <v>0</v>
      </c>
      <c r="AA248" s="1">
        <v>6101.49</v>
      </c>
      <c r="AB248" s="1">
        <v>0</v>
      </c>
      <c r="AC248" s="1">
        <v>0</v>
      </c>
      <c r="AD248" s="1">
        <v>5628.42</v>
      </c>
      <c r="AE248" s="1">
        <v>0</v>
      </c>
      <c r="AF248" s="1">
        <v>0</v>
      </c>
      <c r="AG248" s="1">
        <v>5505.2199999999993</v>
      </c>
      <c r="AH248" s="1">
        <v>0</v>
      </c>
      <c r="AI248" s="1">
        <v>0</v>
      </c>
      <c r="AJ248" s="1">
        <v>0</v>
      </c>
      <c r="AK248" s="1">
        <v>0</v>
      </c>
      <c r="AL248" s="1">
        <v>0</v>
      </c>
      <c r="AM248" s="1">
        <v>0</v>
      </c>
      <c r="AN248" s="1">
        <v>0</v>
      </c>
      <c r="AO248" s="1">
        <v>0</v>
      </c>
      <c r="AP248" s="1">
        <v>8354.17</v>
      </c>
      <c r="AQ248" s="1">
        <v>8655.5400000000009</v>
      </c>
      <c r="AR248" s="1">
        <v>7413.0499999999993</v>
      </c>
      <c r="AS248" s="1">
        <v>8332.380000000001</v>
      </c>
      <c r="AT248" s="1">
        <v>0</v>
      </c>
      <c r="AU248" s="1">
        <v>8354.17</v>
      </c>
      <c r="AV248" s="1">
        <v>0</v>
      </c>
      <c r="AW248" s="1">
        <v>0</v>
      </c>
      <c r="AX248" s="1">
        <v>0</v>
      </c>
      <c r="AY248" s="1">
        <v>8655.5400000000009</v>
      </c>
      <c r="AZ248" s="1">
        <v>0</v>
      </c>
      <c r="BA248" s="1">
        <v>0</v>
      </c>
      <c r="BB248" s="1">
        <v>0</v>
      </c>
      <c r="BC248" s="1">
        <v>7413.0499999999993</v>
      </c>
      <c r="BD248" s="1">
        <v>0</v>
      </c>
      <c r="BE248" s="1">
        <v>0</v>
      </c>
      <c r="BF248" s="1">
        <v>8332.380000000001</v>
      </c>
      <c r="BG248" s="1">
        <v>0</v>
      </c>
      <c r="BH248" s="1">
        <v>0</v>
      </c>
      <c r="BI248" s="1">
        <v>0</v>
      </c>
      <c r="BJ248" s="1">
        <v>0</v>
      </c>
      <c r="BK248" s="1">
        <v>0</v>
      </c>
      <c r="BL248" s="1">
        <v>0</v>
      </c>
      <c r="BM248" s="1">
        <v>0</v>
      </c>
      <c r="BN248" s="1">
        <v>0</v>
      </c>
      <c r="BO248" s="1">
        <v>0</v>
      </c>
      <c r="BP248" s="1">
        <v>0</v>
      </c>
      <c r="BQ248" s="1">
        <v>0</v>
      </c>
      <c r="BR248" s="1">
        <v>0</v>
      </c>
      <c r="BS248" s="1">
        <v>0</v>
      </c>
      <c r="BT248" s="1">
        <v>0</v>
      </c>
      <c r="BU248" s="1">
        <v>5497.0129999999999</v>
      </c>
      <c r="BV248" s="1">
        <v>5639.0469999999996</v>
      </c>
      <c r="BW248" s="1">
        <v>5059.2669999999998</v>
      </c>
      <c r="BX248" s="1">
        <v>4861.6579999999994</v>
      </c>
      <c r="BY248" s="1">
        <v>5496.0329999999994</v>
      </c>
      <c r="BZ248" s="1">
        <v>5639.0469999999996</v>
      </c>
      <c r="CA248" s="1">
        <v>5059.2669999999998</v>
      </c>
      <c r="CB248" s="1">
        <v>4861.6579999999994</v>
      </c>
      <c r="CC248" s="1">
        <v>0.98</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2066.4839999999999</v>
      </c>
      <c r="CT248" s="1">
        <v>2026.1759999999999</v>
      </c>
      <c r="CU248" s="1">
        <v>2047.11</v>
      </c>
      <c r="CV248" s="1">
        <v>2044.8009999999999</v>
      </c>
      <c r="CW248" s="1">
        <v>2066.4839999999999</v>
      </c>
      <c r="CX248" s="1">
        <v>2026.1759999999999</v>
      </c>
      <c r="CY248" s="1">
        <v>2047.11</v>
      </c>
      <c r="CZ248" s="1">
        <v>2044.8009999999999</v>
      </c>
      <c r="DA248" s="1">
        <v>0</v>
      </c>
      <c r="DB248" s="1">
        <v>0</v>
      </c>
      <c r="DC248" s="1">
        <v>0</v>
      </c>
      <c r="DD248" s="1">
        <v>0</v>
      </c>
      <c r="DE248" s="1">
        <v>0</v>
      </c>
      <c r="DF248" s="1">
        <v>0</v>
      </c>
      <c r="DG248" s="1">
        <v>0</v>
      </c>
      <c r="DH248" s="1">
        <v>0</v>
      </c>
      <c r="DI248" s="1">
        <v>0</v>
      </c>
      <c r="DJ248" s="1">
        <v>0</v>
      </c>
      <c r="DK248" s="1">
        <v>0</v>
      </c>
      <c r="DL248" s="1">
        <v>0</v>
      </c>
      <c r="DM248" s="1">
        <v>5239.2800000000007</v>
      </c>
      <c r="DN248" s="1">
        <v>5023.9400000000014</v>
      </c>
      <c r="DO248" s="1">
        <v>4563.3590000000004</v>
      </c>
      <c r="DP248" s="1">
        <v>4417.38</v>
      </c>
      <c r="DQ248" s="1">
        <v>5239.2800000000007</v>
      </c>
      <c r="DR248" s="1">
        <v>5023.9400000000014</v>
      </c>
      <c r="DS248" s="1">
        <v>4563.3590000000004</v>
      </c>
      <c r="DT248" s="1">
        <v>4417.38</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2060.5340000000001</v>
      </c>
      <c r="EL248" s="1">
        <v>1052.1880000000001</v>
      </c>
      <c r="EM248" s="1">
        <v>325.25700000000001</v>
      </c>
      <c r="EN248" s="1">
        <v>3441.3380000000011</v>
      </c>
      <c r="EO248" s="1">
        <v>2060.5340000000001</v>
      </c>
      <c r="EP248" s="1">
        <v>1052.1880000000001</v>
      </c>
      <c r="EQ248" s="1">
        <v>325.25700000000001</v>
      </c>
      <c r="ER248" s="1">
        <v>3441.3380000000011</v>
      </c>
      <c r="ES248" s="1">
        <v>0</v>
      </c>
      <c r="ET248" s="1">
        <v>0</v>
      </c>
      <c r="EU248" s="1">
        <v>0</v>
      </c>
      <c r="EV248" s="1">
        <v>0</v>
      </c>
      <c r="EW248" s="1">
        <v>0</v>
      </c>
      <c r="EX248" s="1">
        <v>0</v>
      </c>
      <c r="EY248" s="1">
        <v>0</v>
      </c>
      <c r="EZ248" s="1">
        <v>0</v>
      </c>
      <c r="FA248" s="1">
        <v>0</v>
      </c>
      <c r="FB248" s="1">
        <v>0</v>
      </c>
      <c r="FC248" s="1">
        <v>0</v>
      </c>
      <c r="FD248" s="1">
        <v>0</v>
      </c>
      <c r="FE248" s="1">
        <v>537.23099999999999</v>
      </c>
      <c r="FF248" s="1">
        <v>447.34500000000003</v>
      </c>
      <c r="FG248" s="1">
        <v>472.38400000000001</v>
      </c>
      <c r="FH248" s="1">
        <v>868.76600000000008</v>
      </c>
      <c r="FI248" s="1">
        <v>0</v>
      </c>
      <c r="FJ248" s="1">
        <v>0</v>
      </c>
      <c r="FK248" s="1">
        <v>0</v>
      </c>
      <c r="FL248" s="1">
        <v>0</v>
      </c>
      <c r="FM248" s="1">
        <v>537.23099999999999</v>
      </c>
      <c r="FN248" s="1">
        <v>447.34500000000003</v>
      </c>
      <c r="FO248" s="1">
        <v>472.38400000000001</v>
      </c>
      <c r="FP248" s="1">
        <v>868.76600000000008</v>
      </c>
      <c r="FQ248" s="1">
        <v>0</v>
      </c>
      <c r="FR248" s="1">
        <v>0</v>
      </c>
      <c r="FS248" s="1">
        <v>0</v>
      </c>
      <c r="FT248" s="1">
        <v>0</v>
      </c>
      <c r="FU248" s="1">
        <v>0</v>
      </c>
      <c r="FV248" s="1">
        <v>0</v>
      </c>
      <c r="FW248" s="1">
        <v>0</v>
      </c>
      <c r="FX248" s="1">
        <v>0</v>
      </c>
      <c r="FY248" s="1">
        <v>0</v>
      </c>
      <c r="FZ248" s="1">
        <v>0</v>
      </c>
      <c r="GA248" s="1">
        <v>0</v>
      </c>
      <c r="GB248" s="1">
        <v>0</v>
      </c>
      <c r="GC248" s="1">
        <v>20.273</v>
      </c>
      <c r="GD248" s="1">
        <v>13.95</v>
      </c>
      <c r="GE248" s="1">
        <v>21.06</v>
      </c>
      <c r="GF248" s="1">
        <v>20.43</v>
      </c>
      <c r="GG248" s="1">
        <v>20.273</v>
      </c>
      <c r="GH248" s="1">
        <v>13.95</v>
      </c>
      <c r="GI248" s="1">
        <v>21.06</v>
      </c>
      <c r="GJ248" s="1">
        <v>20.43</v>
      </c>
      <c r="GK248" s="1">
        <v>0</v>
      </c>
      <c r="GL248" s="1">
        <v>0</v>
      </c>
      <c r="GM248" s="1">
        <v>0</v>
      </c>
      <c r="GN248" s="1">
        <v>0</v>
      </c>
      <c r="GO248" s="1">
        <v>0</v>
      </c>
      <c r="GP248" s="1">
        <v>0</v>
      </c>
      <c r="GQ248" s="1">
        <v>0</v>
      </c>
      <c r="GR248" s="1">
        <v>0</v>
      </c>
      <c r="GS248" s="1">
        <v>0</v>
      </c>
      <c r="GT248" s="1">
        <v>0</v>
      </c>
      <c r="GU248" s="1">
        <v>0</v>
      </c>
      <c r="GV248" s="1">
        <v>0</v>
      </c>
      <c r="GW248" s="1">
        <v>0</v>
      </c>
      <c r="GX248" s="1">
        <v>0</v>
      </c>
      <c r="GY248" s="1">
        <v>0</v>
      </c>
      <c r="GZ248" s="1">
        <v>0</v>
      </c>
      <c r="HA248" s="1">
        <v>0</v>
      </c>
      <c r="HB248" s="1">
        <v>0</v>
      </c>
      <c r="HC248" s="1">
        <v>0</v>
      </c>
      <c r="HD248" s="1">
        <v>0</v>
      </c>
      <c r="HE248" s="1">
        <v>34.444000000000003</v>
      </c>
      <c r="HF248" s="1">
        <v>18.440000000000001</v>
      </c>
      <c r="HG248" s="1">
        <v>15.62</v>
      </c>
      <c r="HH248" s="1">
        <v>17.579999999999998</v>
      </c>
      <c r="HI248" s="1">
        <v>34.444000000000003</v>
      </c>
      <c r="HJ248" s="1">
        <v>18.440000000000001</v>
      </c>
      <c r="HK248" s="1">
        <v>15.62</v>
      </c>
      <c r="HL248" s="1">
        <v>17.579999999999998</v>
      </c>
      <c r="HM248" s="1">
        <v>0</v>
      </c>
      <c r="HN248" s="1">
        <v>0</v>
      </c>
      <c r="HO248" s="1">
        <v>0</v>
      </c>
      <c r="HP248" s="1">
        <v>0</v>
      </c>
      <c r="HQ248" s="1">
        <v>0</v>
      </c>
      <c r="HR248" s="1">
        <v>0</v>
      </c>
      <c r="HS248" s="1">
        <v>0</v>
      </c>
      <c r="HT248" s="1">
        <v>0</v>
      </c>
      <c r="HU248" s="1">
        <v>0</v>
      </c>
      <c r="HV248" s="1">
        <v>0</v>
      </c>
      <c r="HW248" s="1">
        <v>0</v>
      </c>
      <c r="HX248" s="1">
        <v>0</v>
      </c>
      <c r="HY248" s="1">
        <v>0</v>
      </c>
      <c r="HZ248" s="1">
        <v>0</v>
      </c>
      <c r="IA248" s="1">
        <v>0</v>
      </c>
      <c r="IB248" s="1">
        <v>0</v>
      </c>
      <c r="IC248" s="1">
        <v>0</v>
      </c>
      <c r="ID248" s="1">
        <v>0</v>
      </c>
      <c r="IE248" s="1">
        <v>0</v>
      </c>
      <c r="IF248" s="1">
        <v>0</v>
      </c>
      <c r="IG248" s="1">
        <v>0</v>
      </c>
      <c r="IH248" s="1">
        <v>0</v>
      </c>
      <c r="II248" s="1">
        <v>0</v>
      </c>
      <c r="IJ248" s="1">
        <v>0</v>
      </c>
      <c r="IK248" s="1">
        <v>0</v>
      </c>
      <c r="IL248" s="1">
        <v>0</v>
      </c>
      <c r="IM248" s="1">
        <v>0</v>
      </c>
      <c r="IN248" s="1">
        <v>0</v>
      </c>
      <c r="IO248" s="1">
        <v>0</v>
      </c>
      <c r="IP248" s="1">
        <v>0</v>
      </c>
      <c r="IQ248" s="1">
        <v>0</v>
      </c>
      <c r="IR248" s="1">
        <v>0</v>
      </c>
      <c r="IS248" s="1">
        <v>0</v>
      </c>
      <c r="IT248" s="1">
        <v>0</v>
      </c>
      <c r="IU248" s="1">
        <v>0</v>
      </c>
      <c r="IV248" s="1">
        <v>0</v>
      </c>
      <c r="IW248" s="1">
        <v>0</v>
      </c>
      <c r="IX248" s="1">
        <v>0</v>
      </c>
      <c r="IY248" s="1">
        <v>0</v>
      </c>
      <c r="IZ248" s="1">
        <v>0</v>
      </c>
      <c r="JA248" s="1">
        <v>0</v>
      </c>
      <c r="JB248" s="1">
        <v>0</v>
      </c>
      <c r="JC248" s="1">
        <v>0</v>
      </c>
      <c r="JD248" s="1">
        <v>0</v>
      </c>
      <c r="JE248" s="1">
        <v>0</v>
      </c>
      <c r="JF248" s="1">
        <v>0</v>
      </c>
      <c r="JG248" s="1">
        <v>0</v>
      </c>
      <c r="JH248" s="1">
        <v>0</v>
      </c>
      <c r="JI248" s="1">
        <v>0</v>
      </c>
      <c r="JJ248" s="1">
        <v>0</v>
      </c>
      <c r="JK248" s="1">
        <v>0</v>
      </c>
      <c r="JL248" s="1">
        <v>0</v>
      </c>
      <c r="JM248" s="1">
        <v>0</v>
      </c>
      <c r="JN248" s="1">
        <v>0</v>
      </c>
      <c r="JO248" s="1">
        <v>0</v>
      </c>
      <c r="JP248" s="1">
        <v>0</v>
      </c>
      <c r="JQ248" s="9"/>
      <c r="JR248" s="1">
        <f t="shared" si="48"/>
        <v>905.51168999999993</v>
      </c>
      <c r="JS248" s="1">
        <f t="shared" si="48"/>
        <v>509.28587999999968</v>
      </c>
      <c r="JT248" s="1">
        <f t="shared" si="48"/>
        <v>628.09127999999987</v>
      </c>
      <c r="JU248" s="1">
        <f t="shared" si="48"/>
        <v>697.61708999999905</v>
      </c>
      <c r="JV248" s="1">
        <f t="shared" si="49"/>
        <v>167.68734999999998</v>
      </c>
      <c r="JW248" s="1">
        <f t="shared" si="49"/>
        <v>94.312199999999947</v>
      </c>
      <c r="JX248" s="1">
        <f t="shared" si="49"/>
        <v>116.31319999999997</v>
      </c>
      <c r="JY248" s="1">
        <f t="shared" si="49"/>
        <v>129.18834999999982</v>
      </c>
    </row>
    <row r="249" spans="1:285" x14ac:dyDescent="0.35">
      <c r="A249" s="2" t="s">
        <v>256</v>
      </c>
      <c r="B249" s="1">
        <v>183483</v>
      </c>
      <c r="C249" s="1">
        <v>185857</v>
      </c>
      <c r="D249" s="1">
        <v>189000</v>
      </c>
      <c r="E249" s="1">
        <v>192417</v>
      </c>
      <c r="F249" s="1">
        <v>158075.245</v>
      </c>
      <c r="G249" s="1">
        <v>157796.55100000001</v>
      </c>
      <c r="H249" s="1">
        <v>151205.04300000001</v>
      </c>
      <c r="I249" s="1">
        <v>154853.215</v>
      </c>
      <c r="J249" s="1">
        <f t="shared" si="50"/>
        <v>52269.899000000005</v>
      </c>
      <c r="K249" s="1">
        <f t="shared" si="51"/>
        <v>51497.557999999997</v>
      </c>
      <c r="L249" s="1">
        <f t="shared" si="52"/>
        <v>48176.253000000004</v>
      </c>
      <c r="M249" s="1">
        <f t="shared" si="53"/>
        <v>48541.395000000019</v>
      </c>
      <c r="N249" s="1">
        <f t="shared" si="54"/>
        <v>105805.34599999999</v>
      </c>
      <c r="O249" s="1">
        <f t="shared" si="55"/>
        <v>106298.99300000002</v>
      </c>
      <c r="P249" s="1">
        <f t="shared" si="56"/>
        <v>103028.79000000001</v>
      </c>
      <c r="Q249" s="1">
        <f t="shared" si="57"/>
        <v>106311.81999999998</v>
      </c>
      <c r="R249" s="1">
        <v>5376.7</v>
      </c>
      <c r="S249" s="1">
        <v>5166.21</v>
      </c>
      <c r="T249" s="1">
        <v>4806.16</v>
      </c>
      <c r="U249" s="1">
        <v>4385.7</v>
      </c>
      <c r="V249" s="1">
        <v>0</v>
      </c>
      <c r="W249" s="1">
        <v>0</v>
      </c>
      <c r="X249" s="1">
        <v>5376.7</v>
      </c>
      <c r="Y249" s="1">
        <v>0</v>
      </c>
      <c r="Z249" s="1">
        <v>0</v>
      </c>
      <c r="AA249" s="1">
        <v>5166.21</v>
      </c>
      <c r="AB249" s="1">
        <v>0</v>
      </c>
      <c r="AC249" s="1">
        <v>0</v>
      </c>
      <c r="AD249" s="1">
        <v>4806.16</v>
      </c>
      <c r="AE249" s="1">
        <v>0</v>
      </c>
      <c r="AF249" s="1">
        <v>0</v>
      </c>
      <c r="AG249" s="1">
        <v>4385.7</v>
      </c>
      <c r="AH249" s="1">
        <v>0</v>
      </c>
      <c r="AI249" s="1">
        <v>0</v>
      </c>
      <c r="AJ249" s="1">
        <v>0</v>
      </c>
      <c r="AK249" s="1">
        <v>0</v>
      </c>
      <c r="AL249" s="1">
        <v>0</v>
      </c>
      <c r="AM249" s="1">
        <v>0</v>
      </c>
      <c r="AN249" s="1">
        <v>0</v>
      </c>
      <c r="AO249" s="1">
        <v>0</v>
      </c>
      <c r="AP249" s="1">
        <v>17947.82</v>
      </c>
      <c r="AQ249" s="1">
        <v>18097.64</v>
      </c>
      <c r="AR249" s="1">
        <v>16008.560000000001</v>
      </c>
      <c r="AS249" s="1">
        <v>18073.11</v>
      </c>
      <c r="AT249" s="1">
        <v>0</v>
      </c>
      <c r="AU249" s="1">
        <v>17608.3</v>
      </c>
      <c r="AV249" s="1">
        <v>0</v>
      </c>
      <c r="AW249" s="1">
        <v>0</v>
      </c>
      <c r="AX249" s="1">
        <v>0</v>
      </c>
      <c r="AY249" s="1">
        <v>17957.939999999999</v>
      </c>
      <c r="AZ249" s="1">
        <v>0</v>
      </c>
      <c r="BA249" s="1">
        <v>0</v>
      </c>
      <c r="BB249" s="1">
        <v>0</v>
      </c>
      <c r="BC249" s="1">
        <v>16008.560000000001</v>
      </c>
      <c r="BD249" s="1">
        <v>0</v>
      </c>
      <c r="BE249" s="1">
        <v>0</v>
      </c>
      <c r="BF249" s="1">
        <v>18073.11</v>
      </c>
      <c r="BG249" s="1">
        <v>0</v>
      </c>
      <c r="BH249" s="1">
        <v>0</v>
      </c>
      <c r="BI249" s="1">
        <v>339.52</v>
      </c>
      <c r="BJ249" s="1">
        <v>0</v>
      </c>
      <c r="BK249" s="1">
        <v>0</v>
      </c>
      <c r="BL249" s="1">
        <v>139.69999999999999</v>
      </c>
      <c r="BM249" s="1">
        <v>0</v>
      </c>
      <c r="BN249" s="1">
        <v>0</v>
      </c>
      <c r="BO249" s="1">
        <v>0</v>
      </c>
      <c r="BP249" s="1">
        <v>0</v>
      </c>
      <c r="BQ249" s="1">
        <v>0</v>
      </c>
      <c r="BR249" s="1">
        <v>0</v>
      </c>
      <c r="BS249" s="1">
        <v>0</v>
      </c>
      <c r="BT249" s="1">
        <v>0</v>
      </c>
      <c r="BU249" s="1">
        <v>11820.101000000001</v>
      </c>
      <c r="BV249" s="1">
        <v>11511.928</v>
      </c>
      <c r="BW249" s="1">
        <v>10454.870000000001</v>
      </c>
      <c r="BX249" s="1">
        <v>9423.3100000000013</v>
      </c>
      <c r="BY249" s="1">
        <v>11820.101000000001</v>
      </c>
      <c r="BZ249" s="1">
        <v>11511.928</v>
      </c>
      <c r="CA249" s="1">
        <v>10454.870000000001</v>
      </c>
      <c r="CB249" s="1">
        <v>9423.3100000000013</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1820.62</v>
      </c>
      <c r="CT249" s="1">
        <v>1847.1</v>
      </c>
      <c r="CU249" s="1">
        <v>2679.31</v>
      </c>
      <c r="CV249" s="1">
        <v>2231.4699999999998</v>
      </c>
      <c r="CW249" s="1">
        <v>1820.62</v>
      </c>
      <c r="CX249" s="1">
        <v>1847.1</v>
      </c>
      <c r="CY249" s="1">
        <v>2679.31</v>
      </c>
      <c r="CZ249" s="1">
        <v>2231.4699999999998</v>
      </c>
      <c r="DA249" s="1">
        <v>0</v>
      </c>
      <c r="DB249" s="1">
        <v>0</v>
      </c>
      <c r="DC249" s="1">
        <v>0</v>
      </c>
      <c r="DD249" s="1">
        <v>0</v>
      </c>
      <c r="DE249" s="1">
        <v>0</v>
      </c>
      <c r="DF249" s="1">
        <v>0</v>
      </c>
      <c r="DG249" s="1">
        <v>0</v>
      </c>
      <c r="DH249" s="1">
        <v>0</v>
      </c>
      <c r="DI249" s="1">
        <v>0</v>
      </c>
      <c r="DJ249" s="1">
        <v>0</v>
      </c>
      <c r="DK249" s="1">
        <v>0</v>
      </c>
      <c r="DL249" s="1">
        <v>0</v>
      </c>
      <c r="DM249" s="1">
        <v>6782.02</v>
      </c>
      <c r="DN249" s="1">
        <v>6991.53</v>
      </c>
      <c r="DO249" s="1">
        <v>5496.2</v>
      </c>
      <c r="DP249" s="1">
        <v>5484.19</v>
      </c>
      <c r="DQ249" s="1">
        <v>6782.02</v>
      </c>
      <c r="DR249" s="1">
        <v>6991.53</v>
      </c>
      <c r="DS249" s="1">
        <v>5496.2</v>
      </c>
      <c r="DT249" s="1">
        <v>5484.19</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2422.0230000000001</v>
      </c>
      <c r="EL249" s="1">
        <v>2321.614</v>
      </c>
      <c r="EM249" s="1">
        <v>3013.6210000000001</v>
      </c>
      <c r="EN249" s="1">
        <v>3106.527</v>
      </c>
      <c r="EO249" s="1">
        <v>2407.39</v>
      </c>
      <c r="EP249" s="1">
        <v>2304.94</v>
      </c>
      <c r="EQ249" s="1">
        <v>2997.2</v>
      </c>
      <c r="ER249" s="1">
        <v>3088.6</v>
      </c>
      <c r="ES249" s="1">
        <v>14.632999999999999</v>
      </c>
      <c r="ET249" s="1">
        <v>16.673999999999999</v>
      </c>
      <c r="EU249" s="1">
        <v>16.420999999999999</v>
      </c>
      <c r="EV249" s="1">
        <v>17.927</v>
      </c>
      <c r="EW249" s="1">
        <v>0</v>
      </c>
      <c r="EX249" s="1">
        <v>0</v>
      </c>
      <c r="EY249" s="1">
        <v>0</v>
      </c>
      <c r="EZ249" s="1">
        <v>0</v>
      </c>
      <c r="FA249" s="1">
        <v>0</v>
      </c>
      <c r="FB249" s="1">
        <v>0</v>
      </c>
      <c r="FC249" s="1">
        <v>0</v>
      </c>
      <c r="FD249" s="1">
        <v>0</v>
      </c>
      <c r="FE249" s="1">
        <v>297.04000000000002</v>
      </c>
      <c r="FF249" s="1">
        <v>438</v>
      </c>
      <c r="FG249" s="1">
        <v>331.18</v>
      </c>
      <c r="FH249" s="1">
        <v>206.94</v>
      </c>
      <c r="FI249" s="1">
        <v>297.04000000000002</v>
      </c>
      <c r="FJ249" s="1">
        <v>386.1</v>
      </c>
      <c r="FK249" s="1">
        <v>328.04</v>
      </c>
      <c r="FL249" s="1">
        <v>206.94</v>
      </c>
      <c r="FM249" s="1">
        <v>0</v>
      </c>
      <c r="FN249" s="1">
        <v>0</v>
      </c>
      <c r="FO249" s="1">
        <v>0</v>
      </c>
      <c r="FP249" s="1">
        <v>0</v>
      </c>
      <c r="FQ249" s="1">
        <v>0</v>
      </c>
      <c r="FR249" s="1">
        <v>51.900000000000013</v>
      </c>
      <c r="FS249" s="1">
        <v>3.14</v>
      </c>
      <c r="FT249" s="1">
        <v>0</v>
      </c>
      <c r="FU249" s="1">
        <v>0</v>
      </c>
      <c r="FV249" s="1">
        <v>51.900000000000013</v>
      </c>
      <c r="FW249" s="1">
        <v>3.14</v>
      </c>
      <c r="FX249" s="1">
        <v>0</v>
      </c>
      <c r="FY249" s="1">
        <v>0</v>
      </c>
      <c r="FZ249" s="1">
        <v>0</v>
      </c>
      <c r="GA249" s="1">
        <v>0</v>
      </c>
      <c r="GB249" s="1">
        <v>0</v>
      </c>
      <c r="GC249" s="1">
        <v>958.83</v>
      </c>
      <c r="GD249" s="1">
        <v>1104.385</v>
      </c>
      <c r="GE249" s="1">
        <v>1048.3</v>
      </c>
      <c r="GF249" s="1">
        <v>1102.3979999999999</v>
      </c>
      <c r="GG249" s="1">
        <v>958.83</v>
      </c>
      <c r="GH249" s="1">
        <v>1104.385</v>
      </c>
      <c r="GI249" s="1">
        <v>1048.3</v>
      </c>
      <c r="GJ249" s="1">
        <v>1102.3979999999999</v>
      </c>
      <c r="GK249" s="1">
        <v>0</v>
      </c>
      <c r="GL249" s="1">
        <v>0</v>
      </c>
      <c r="GM249" s="1">
        <v>0</v>
      </c>
      <c r="GN249" s="1">
        <v>0</v>
      </c>
      <c r="GO249" s="1">
        <v>0</v>
      </c>
      <c r="GP249" s="1">
        <v>0</v>
      </c>
      <c r="GQ249" s="1">
        <v>0</v>
      </c>
      <c r="GR249" s="1">
        <v>0</v>
      </c>
      <c r="GS249" s="1">
        <v>0</v>
      </c>
      <c r="GT249" s="1">
        <v>0</v>
      </c>
      <c r="GU249" s="1">
        <v>0</v>
      </c>
      <c r="GV249" s="1">
        <v>0</v>
      </c>
      <c r="GW249" s="1">
        <v>0</v>
      </c>
      <c r="GX249" s="1">
        <v>0</v>
      </c>
      <c r="GY249" s="1">
        <v>0</v>
      </c>
      <c r="GZ249" s="1">
        <v>0</v>
      </c>
      <c r="HA249" s="1">
        <v>0</v>
      </c>
      <c r="HB249" s="1">
        <v>0</v>
      </c>
      <c r="HC249" s="1">
        <v>0</v>
      </c>
      <c r="HD249" s="1">
        <v>0</v>
      </c>
      <c r="HE249" s="1">
        <v>2501.2199999999998</v>
      </c>
      <c r="HF249" s="1">
        <v>2891.52</v>
      </c>
      <c r="HG249" s="1">
        <v>2803.8</v>
      </c>
      <c r="HH249" s="1">
        <v>3054.34</v>
      </c>
      <c r="HI249" s="1">
        <v>2501.2199999999998</v>
      </c>
      <c r="HJ249" s="1">
        <v>2891.52</v>
      </c>
      <c r="HK249" s="1">
        <v>2803.8</v>
      </c>
      <c r="HL249" s="1">
        <v>3054.34</v>
      </c>
      <c r="HM249" s="1">
        <v>0</v>
      </c>
      <c r="HN249" s="1">
        <v>0</v>
      </c>
      <c r="HO249" s="1">
        <v>0</v>
      </c>
      <c r="HP249" s="1">
        <v>0</v>
      </c>
      <c r="HQ249" s="1">
        <v>0</v>
      </c>
      <c r="HR249" s="1">
        <v>0</v>
      </c>
      <c r="HS249" s="1">
        <v>0</v>
      </c>
      <c r="HT249" s="1">
        <v>0</v>
      </c>
      <c r="HU249" s="1">
        <v>0</v>
      </c>
      <c r="HV249" s="1">
        <v>0</v>
      </c>
      <c r="HW249" s="1">
        <v>0</v>
      </c>
      <c r="HX249" s="1">
        <v>0</v>
      </c>
      <c r="HY249" s="1">
        <v>0</v>
      </c>
      <c r="HZ249" s="1">
        <v>0</v>
      </c>
      <c r="IA249" s="1">
        <v>0</v>
      </c>
      <c r="IB249" s="1">
        <v>0</v>
      </c>
      <c r="IC249" s="1">
        <v>0</v>
      </c>
      <c r="ID249" s="1">
        <v>0</v>
      </c>
      <c r="IE249" s="1">
        <v>0</v>
      </c>
      <c r="IF249" s="1">
        <v>0</v>
      </c>
      <c r="IG249" s="1">
        <v>0</v>
      </c>
      <c r="IH249" s="1">
        <v>0</v>
      </c>
      <c r="II249" s="1">
        <v>0</v>
      </c>
      <c r="IJ249" s="1">
        <v>0</v>
      </c>
      <c r="IK249" s="1">
        <v>0</v>
      </c>
      <c r="IL249" s="1">
        <v>0</v>
      </c>
      <c r="IM249" s="1">
        <v>0</v>
      </c>
      <c r="IN249" s="1">
        <v>0</v>
      </c>
      <c r="IO249" s="1">
        <v>2343.5250000000001</v>
      </c>
      <c r="IP249" s="1">
        <v>1127.6310000000001</v>
      </c>
      <c r="IQ249" s="1">
        <v>1534.252</v>
      </c>
      <c r="IR249" s="1">
        <v>1473.41</v>
      </c>
      <c r="IS249" s="1">
        <v>2337.9650000000001</v>
      </c>
      <c r="IT249" s="1">
        <v>1084.5709999999999</v>
      </c>
      <c r="IU249" s="1">
        <v>1425.252</v>
      </c>
      <c r="IV249" s="1">
        <v>1375.31</v>
      </c>
      <c r="IW249" s="1">
        <v>5.56</v>
      </c>
      <c r="IX249" s="1">
        <v>43.06</v>
      </c>
      <c r="IY249" s="1">
        <v>109</v>
      </c>
      <c r="IZ249" s="1">
        <v>98.100000000000009</v>
      </c>
      <c r="JA249" s="1">
        <v>0</v>
      </c>
      <c r="JB249" s="1">
        <v>0</v>
      </c>
      <c r="JC249" s="1">
        <v>0</v>
      </c>
      <c r="JD249" s="1">
        <v>0</v>
      </c>
      <c r="JE249" s="1">
        <v>0</v>
      </c>
      <c r="JF249" s="1">
        <v>0</v>
      </c>
      <c r="JG249" s="1">
        <v>0</v>
      </c>
      <c r="JH249" s="1">
        <v>0</v>
      </c>
      <c r="JI249" s="1">
        <v>0</v>
      </c>
      <c r="JJ249" s="1">
        <v>0</v>
      </c>
      <c r="JK249" s="1">
        <v>0</v>
      </c>
      <c r="JL249" s="1">
        <v>0</v>
      </c>
      <c r="JM249" s="1">
        <v>0</v>
      </c>
      <c r="JN249" s="1">
        <v>0</v>
      </c>
      <c r="JO249" s="1">
        <v>0</v>
      </c>
      <c r="JP249" s="1">
        <v>0</v>
      </c>
      <c r="JQ249" s="9"/>
      <c r="JR249" s="1">
        <f t="shared" si="48"/>
        <v>28567.44342</v>
      </c>
      <c r="JS249" s="1">
        <f t="shared" si="48"/>
        <v>28700.728110000007</v>
      </c>
      <c r="JT249" s="1">
        <f t="shared" si="48"/>
        <v>27817.773300000004</v>
      </c>
      <c r="JU249" s="1">
        <f t="shared" si="48"/>
        <v>28704.191399999996</v>
      </c>
      <c r="JV249" s="1">
        <f t="shared" si="49"/>
        <v>5290.2672999999995</v>
      </c>
      <c r="JW249" s="1">
        <f t="shared" si="49"/>
        <v>5314.9496500000014</v>
      </c>
      <c r="JX249" s="1">
        <f t="shared" si="49"/>
        <v>5151.4395000000004</v>
      </c>
      <c r="JY249" s="1">
        <f t="shared" si="49"/>
        <v>5315.5909999999994</v>
      </c>
    </row>
    <row r="250" spans="1:285" x14ac:dyDescent="0.35">
      <c r="A250" s="2" t="s">
        <v>257</v>
      </c>
      <c r="B250" s="1">
        <v>146255</v>
      </c>
      <c r="C250" s="1">
        <v>148925</v>
      </c>
      <c r="D250" s="1">
        <v>151530</v>
      </c>
      <c r="E250" s="1">
        <v>154321</v>
      </c>
      <c r="F250" s="1">
        <v>22825.649000000001</v>
      </c>
      <c r="G250" s="1">
        <v>24395.981</v>
      </c>
      <c r="H250" s="1">
        <v>22182.856</v>
      </c>
      <c r="I250" s="1">
        <v>23831.848999999998</v>
      </c>
      <c r="J250" s="1">
        <f t="shared" si="50"/>
        <v>20098.465000000004</v>
      </c>
      <c r="K250" s="1">
        <f t="shared" si="51"/>
        <v>21660.799999999999</v>
      </c>
      <c r="L250" s="1">
        <f t="shared" si="52"/>
        <v>19641.860999999997</v>
      </c>
      <c r="M250" s="1">
        <f t="shared" si="53"/>
        <v>21132.535000000003</v>
      </c>
      <c r="N250" s="1">
        <f t="shared" si="54"/>
        <v>2727.1839999999975</v>
      </c>
      <c r="O250" s="1">
        <f t="shared" si="55"/>
        <v>2735.1810000000005</v>
      </c>
      <c r="P250" s="1">
        <f t="shared" si="56"/>
        <v>2540.9950000000026</v>
      </c>
      <c r="Q250" s="1">
        <f t="shared" si="57"/>
        <v>2699.3139999999948</v>
      </c>
      <c r="R250" s="1">
        <v>4466.78</v>
      </c>
      <c r="S250" s="1">
        <v>4421.08</v>
      </c>
      <c r="T250" s="1">
        <v>4016.54</v>
      </c>
      <c r="U250" s="1">
        <v>3825.5</v>
      </c>
      <c r="V250" s="1">
        <v>0</v>
      </c>
      <c r="W250" s="1">
        <v>0</v>
      </c>
      <c r="X250" s="1">
        <v>4466.78</v>
      </c>
      <c r="Y250" s="1">
        <v>0</v>
      </c>
      <c r="Z250" s="1">
        <v>0</v>
      </c>
      <c r="AA250" s="1">
        <v>4421.08</v>
      </c>
      <c r="AB250" s="1">
        <v>0</v>
      </c>
      <c r="AC250" s="1">
        <v>0</v>
      </c>
      <c r="AD250" s="1">
        <v>4016.54</v>
      </c>
      <c r="AE250" s="1">
        <v>0</v>
      </c>
      <c r="AF250" s="1">
        <v>0</v>
      </c>
      <c r="AG250" s="1">
        <v>3825.5</v>
      </c>
      <c r="AH250" s="1">
        <v>0</v>
      </c>
      <c r="AI250" s="1">
        <v>0</v>
      </c>
      <c r="AJ250" s="1">
        <v>0</v>
      </c>
      <c r="AK250" s="1">
        <v>0</v>
      </c>
      <c r="AL250" s="1">
        <v>0</v>
      </c>
      <c r="AM250" s="1">
        <v>0</v>
      </c>
      <c r="AN250" s="1">
        <v>0</v>
      </c>
      <c r="AO250" s="1">
        <v>0</v>
      </c>
      <c r="AP250" s="1">
        <v>4522.26</v>
      </c>
      <c r="AQ250" s="1">
        <v>6152.369999999999</v>
      </c>
      <c r="AR250" s="1">
        <v>5638.02</v>
      </c>
      <c r="AS250" s="1">
        <v>7096.52</v>
      </c>
      <c r="AT250" s="1">
        <v>0</v>
      </c>
      <c r="AU250" s="1">
        <v>4522.26</v>
      </c>
      <c r="AV250" s="1">
        <v>0</v>
      </c>
      <c r="AW250" s="1">
        <v>0</v>
      </c>
      <c r="AX250" s="1">
        <v>0</v>
      </c>
      <c r="AY250" s="1">
        <v>6152.369999999999</v>
      </c>
      <c r="AZ250" s="1">
        <v>0</v>
      </c>
      <c r="BA250" s="1">
        <v>0</v>
      </c>
      <c r="BB250" s="1">
        <v>0</v>
      </c>
      <c r="BC250" s="1">
        <v>5638.02</v>
      </c>
      <c r="BD250" s="1">
        <v>0</v>
      </c>
      <c r="BE250" s="1">
        <v>0</v>
      </c>
      <c r="BF250" s="1">
        <v>7096.52</v>
      </c>
      <c r="BG250" s="1">
        <v>0</v>
      </c>
      <c r="BH250" s="1">
        <v>0</v>
      </c>
      <c r="BI250" s="1">
        <v>0</v>
      </c>
      <c r="BJ250" s="1">
        <v>0</v>
      </c>
      <c r="BK250" s="1">
        <v>0</v>
      </c>
      <c r="BL250" s="1">
        <v>0</v>
      </c>
      <c r="BM250" s="1">
        <v>0</v>
      </c>
      <c r="BN250" s="1">
        <v>0</v>
      </c>
      <c r="BO250" s="1">
        <v>0</v>
      </c>
      <c r="BP250" s="1">
        <v>0</v>
      </c>
      <c r="BQ250" s="1">
        <v>0</v>
      </c>
      <c r="BR250" s="1">
        <v>0</v>
      </c>
      <c r="BS250" s="1">
        <v>0</v>
      </c>
      <c r="BT250" s="1">
        <v>0</v>
      </c>
      <c r="BU250" s="1">
        <v>5302.7790000000005</v>
      </c>
      <c r="BV250" s="1">
        <v>5446.3760000000002</v>
      </c>
      <c r="BW250" s="1">
        <v>4759.4260000000004</v>
      </c>
      <c r="BX250" s="1">
        <v>4816.8650000000007</v>
      </c>
      <c r="BY250" s="1">
        <v>5299.1689999999999</v>
      </c>
      <c r="BZ250" s="1">
        <v>5446.3760000000002</v>
      </c>
      <c r="CA250" s="1">
        <v>4759.4260000000004</v>
      </c>
      <c r="CB250" s="1">
        <v>4816.8650000000007</v>
      </c>
      <c r="CC250" s="1">
        <v>3.61</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1048.992</v>
      </c>
      <c r="CT250" s="1">
        <v>1189.597</v>
      </c>
      <c r="CU250" s="1">
        <v>1129.1500000000001</v>
      </c>
      <c r="CV250" s="1">
        <v>1137.1010000000001</v>
      </c>
      <c r="CW250" s="1">
        <v>1048.992</v>
      </c>
      <c r="CX250" s="1">
        <v>1189.597</v>
      </c>
      <c r="CY250" s="1">
        <v>1129.1500000000001</v>
      </c>
      <c r="CZ250" s="1">
        <v>1137.1010000000001</v>
      </c>
      <c r="DA250" s="1">
        <v>0</v>
      </c>
      <c r="DB250" s="1">
        <v>0</v>
      </c>
      <c r="DC250" s="1">
        <v>0</v>
      </c>
      <c r="DD250" s="1">
        <v>0</v>
      </c>
      <c r="DE250" s="1">
        <v>0</v>
      </c>
      <c r="DF250" s="1">
        <v>0</v>
      </c>
      <c r="DG250" s="1">
        <v>0</v>
      </c>
      <c r="DH250" s="1">
        <v>0</v>
      </c>
      <c r="DI250" s="1">
        <v>0</v>
      </c>
      <c r="DJ250" s="1">
        <v>0</v>
      </c>
      <c r="DK250" s="1">
        <v>0</v>
      </c>
      <c r="DL250" s="1">
        <v>0</v>
      </c>
      <c r="DM250" s="1">
        <v>3076.127</v>
      </c>
      <c r="DN250" s="1">
        <v>2945.81</v>
      </c>
      <c r="DO250" s="1">
        <v>2765.17</v>
      </c>
      <c r="DP250" s="1">
        <v>2805.71</v>
      </c>
      <c r="DQ250" s="1">
        <v>3076.127</v>
      </c>
      <c r="DR250" s="1">
        <v>2945.81</v>
      </c>
      <c r="DS250" s="1">
        <v>2765.17</v>
      </c>
      <c r="DT250" s="1">
        <v>2805.71</v>
      </c>
      <c r="DU250" s="1">
        <v>0</v>
      </c>
      <c r="DV250" s="1">
        <v>0</v>
      </c>
      <c r="DW250" s="1">
        <v>0</v>
      </c>
      <c r="DX250" s="1">
        <v>0</v>
      </c>
      <c r="DY250" s="1">
        <v>0</v>
      </c>
      <c r="DZ250" s="1">
        <v>0</v>
      </c>
      <c r="EA250" s="1">
        <v>0</v>
      </c>
      <c r="EB250" s="1">
        <v>0</v>
      </c>
      <c r="EC250" s="1">
        <v>0</v>
      </c>
      <c r="ED250" s="1">
        <v>0</v>
      </c>
      <c r="EE250" s="1">
        <v>0</v>
      </c>
      <c r="EF250" s="1">
        <v>0</v>
      </c>
      <c r="EG250" s="1">
        <v>0</v>
      </c>
      <c r="EH250" s="1">
        <v>0</v>
      </c>
      <c r="EI250" s="1">
        <v>0</v>
      </c>
      <c r="EJ250" s="1">
        <v>0</v>
      </c>
      <c r="EK250" s="1">
        <v>887.21</v>
      </c>
      <c r="EL250" s="1">
        <v>861.48699999999997</v>
      </c>
      <c r="EM250" s="1">
        <v>817.69</v>
      </c>
      <c r="EN250" s="1">
        <v>823.46900000000005</v>
      </c>
      <c r="EO250" s="1">
        <v>887.21</v>
      </c>
      <c r="EP250" s="1">
        <v>861.48699999999997</v>
      </c>
      <c r="EQ250" s="1">
        <v>817.69</v>
      </c>
      <c r="ER250" s="1">
        <v>823.46900000000005</v>
      </c>
      <c r="ES250" s="1">
        <v>0</v>
      </c>
      <c r="ET250" s="1">
        <v>0</v>
      </c>
      <c r="EU250" s="1">
        <v>0</v>
      </c>
      <c r="EV250" s="1">
        <v>0</v>
      </c>
      <c r="EW250" s="1">
        <v>0</v>
      </c>
      <c r="EX250" s="1">
        <v>0</v>
      </c>
      <c r="EY250" s="1">
        <v>0</v>
      </c>
      <c r="EZ250" s="1">
        <v>0</v>
      </c>
      <c r="FA250" s="1">
        <v>0</v>
      </c>
      <c r="FB250" s="1">
        <v>0</v>
      </c>
      <c r="FC250" s="1">
        <v>0</v>
      </c>
      <c r="FD250" s="1">
        <v>0</v>
      </c>
      <c r="FE250" s="1">
        <v>64.576999999999998</v>
      </c>
      <c r="FF250" s="1">
        <v>54.94</v>
      </c>
      <c r="FG250" s="1">
        <v>48.494999999999997</v>
      </c>
      <c r="FH250" s="1">
        <v>19.54</v>
      </c>
      <c r="FI250" s="1">
        <v>64.576999999999998</v>
      </c>
      <c r="FJ250" s="1">
        <v>54.94</v>
      </c>
      <c r="FK250" s="1">
        <v>48.494999999999997</v>
      </c>
      <c r="FL250" s="1">
        <v>19.54</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v>0</v>
      </c>
      <c r="GC250" s="1">
        <v>0</v>
      </c>
      <c r="GD250" s="1">
        <v>0</v>
      </c>
      <c r="GE250" s="1">
        <v>0</v>
      </c>
      <c r="GF250" s="1">
        <v>0</v>
      </c>
      <c r="GG250" s="1">
        <v>0</v>
      </c>
      <c r="GH250" s="1">
        <v>0</v>
      </c>
      <c r="GI250" s="1">
        <v>0</v>
      </c>
      <c r="GJ250" s="1">
        <v>0</v>
      </c>
      <c r="GK250" s="1">
        <v>0</v>
      </c>
      <c r="GL250" s="1">
        <v>0</v>
      </c>
      <c r="GM250" s="1">
        <v>0</v>
      </c>
      <c r="GN250" s="1">
        <v>0</v>
      </c>
      <c r="GO250" s="1">
        <v>0</v>
      </c>
      <c r="GP250" s="1">
        <v>0</v>
      </c>
      <c r="GQ250" s="1">
        <v>0</v>
      </c>
      <c r="GR250" s="1">
        <v>0</v>
      </c>
      <c r="GS250" s="1">
        <v>0</v>
      </c>
      <c r="GT250" s="1">
        <v>0</v>
      </c>
      <c r="GU250" s="1">
        <v>0</v>
      </c>
      <c r="GV250" s="1">
        <v>0</v>
      </c>
      <c r="GW250" s="1">
        <v>0</v>
      </c>
      <c r="GX250" s="1">
        <v>0</v>
      </c>
      <c r="GY250" s="1">
        <v>0</v>
      </c>
      <c r="GZ250" s="1">
        <v>0</v>
      </c>
      <c r="HA250" s="1">
        <v>0</v>
      </c>
      <c r="HB250" s="1">
        <v>0</v>
      </c>
      <c r="HC250" s="1">
        <v>0</v>
      </c>
      <c r="HD250" s="1">
        <v>0</v>
      </c>
      <c r="HE250" s="1">
        <v>0</v>
      </c>
      <c r="HF250" s="1">
        <v>0</v>
      </c>
      <c r="HG250" s="1">
        <v>0</v>
      </c>
      <c r="HH250" s="1">
        <v>0</v>
      </c>
      <c r="HI250" s="1">
        <v>0</v>
      </c>
      <c r="HJ250" s="1">
        <v>0</v>
      </c>
      <c r="HK250" s="1">
        <v>0</v>
      </c>
      <c r="HL250" s="1">
        <v>0</v>
      </c>
      <c r="HM250" s="1">
        <v>0</v>
      </c>
      <c r="HN250" s="1">
        <v>0</v>
      </c>
      <c r="HO250" s="1">
        <v>0</v>
      </c>
      <c r="HP250" s="1">
        <v>0</v>
      </c>
      <c r="HQ250" s="1">
        <v>0</v>
      </c>
      <c r="HR250" s="1">
        <v>0</v>
      </c>
      <c r="HS250" s="1">
        <v>0</v>
      </c>
      <c r="HT250" s="1">
        <v>0</v>
      </c>
      <c r="HU250" s="1">
        <v>0</v>
      </c>
      <c r="HV250" s="1">
        <v>0</v>
      </c>
      <c r="HW250" s="1">
        <v>0</v>
      </c>
      <c r="HX250" s="1">
        <v>0</v>
      </c>
      <c r="HY250" s="1">
        <v>0</v>
      </c>
      <c r="HZ250" s="1">
        <v>0</v>
      </c>
      <c r="IA250" s="1">
        <v>0</v>
      </c>
      <c r="IB250" s="1">
        <v>0</v>
      </c>
      <c r="IC250" s="1">
        <v>0</v>
      </c>
      <c r="ID250" s="1">
        <v>0</v>
      </c>
      <c r="IE250" s="1">
        <v>0</v>
      </c>
      <c r="IF250" s="1">
        <v>0</v>
      </c>
      <c r="IG250" s="1">
        <v>0</v>
      </c>
      <c r="IH250" s="1">
        <v>0</v>
      </c>
      <c r="II250" s="1">
        <v>0</v>
      </c>
      <c r="IJ250" s="1">
        <v>0</v>
      </c>
      <c r="IK250" s="1">
        <v>0</v>
      </c>
      <c r="IL250" s="1">
        <v>0</v>
      </c>
      <c r="IM250" s="1">
        <v>0</v>
      </c>
      <c r="IN250" s="1">
        <v>0</v>
      </c>
      <c r="IO250" s="1">
        <v>729.74</v>
      </c>
      <c r="IP250" s="1">
        <v>589.14</v>
      </c>
      <c r="IQ250" s="1">
        <v>467.37</v>
      </c>
      <c r="IR250" s="1">
        <v>607.82999999999993</v>
      </c>
      <c r="IS250" s="1">
        <v>729.74</v>
      </c>
      <c r="IT250" s="1">
        <v>589.14</v>
      </c>
      <c r="IU250" s="1">
        <v>467.37</v>
      </c>
      <c r="IV250" s="1">
        <v>607.82999999999993</v>
      </c>
      <c r="IW250" s="1">
        <v>0</v>
      </c>
      <c r="IX250" s="1">
        <v>0</v>
      </c>
      <c r="IY250" s="1">
        <v>0</v>
      </c>
      <c r="IZ250" s="1">
        <v>0</v>
      </c>
      <c r="JA250" s="1">
        <v>0</v>
      </c>
      <c r="JB250" s="1">
        <v>0</v>
      </c>
      <c r="JC250" s="1">
        <v>0</v>
      </c>
      <c r="JD250" s="1">
        <v>0</v>
      </c>
      <c r="JE250" s="1">
        <v>0</v>
      </c>
      <c r="JF250" s="1">
        <v>0</v>
      </c>
      <c r="JG250" s="1">
        <v>0</v>
      </c>
      <c r="JH250" s="1">
        <v>0</v>
      </c>
      <c r="JI250" s="1">
        <v>0</v>
      </c>
      <c r="JJ250" s="1">
        <v>0</v>
      </c>
      <c r="JK250" s="1">
        <v>0</v>
      </c>
      <c r="JL250" s="1">
        <v>0</v>
      </c>
      <c r="JM250" s="1">
        <v>0</v>
      </c>
      <c r="JN250" s="1">
        <v>0</v>
      </c>
      <c r="JO250" s="1">
        <v>0</v>
      </c>
      <c r="JP250" s="1">
        <v>0</v>
      </c>
      <c r="JQ250" s="9"/>
      <c r="JR250" s="1">
        <f t="shared" si="48"/>
        <v>736.33967999999936</v>
      </c>
      <c r="JS250" s="1">
        <f t="shared" si="48"/>
        <v>738.49887000000024</v>
      </c>
      <c r="JT250" s="1">
        <f t="shared" si="48"/>
        <v>686.06865000000073</v>
      </c>
      <c r="JU250" s="1">
        <f t="shared" si="48"/>
        <v>728.81477999999868</v>
      </c>
      <c r="JV250" s="1">
        <f t="shared" si="49"/>
        <v>136.35919999999987</v>
      </c>
      <c r="JW250" s="1">
        <f t="shared" si="49"/>
        <v>136.75905000000003</v>
      </c>
      <c r="JX250" s="1">
        <f t="shared" si="49"/>
        <v>127.04975000000013</v>
      </c>
      <c r="JY250" s="1">
        <f t="shared" si="49"/>
        <v>134.96569999999974</v>
      </c>
    </row>
    <row r="251" spans="1:285" x14ac:dyDescent="0.35">
      <c r="A251" s="2" t="s">
        <v>258</v>
      </c>
      <c r="B251" s="1">
        <v>128858</v>
      </c>
      <c r="C251" s="1">
        <v>131158</v>
      </c>
      <c r="D251" s="1">
        <v>132948</v>
      </c>
      <c r="E251" s="1">
        <v>134336</v>
      </c>
      <c r="F251" s="1">
        <v>39870.190999999999</v>
      </c>
      <c r="G251" s="1">
        <v>43329.760000000002</v>
      </c>
      <c r="H251" s="1">
        <v>40352.32</v>
      </c>
      <c r="I251" s="1">
        <v>39388.81</v>
      </c>
      <c r="J251" s="1">
        <f t="shared" si="50"/>
        <v>26902.280999999999</v>
      </c>
      <c r="K251" s="1">
        <f t="shared" si="51"/>
        <v>30824.01</v>
      </c>
      <c r="L251" s="1">
        <f t="shared" si="52"/>
        <v>28146.020000000004</v>
      </c>
      <c r="M251" s="1">
        <f t="shared" si="53"/>
        <v>27690.06</v>
      </c>
      <c r="N251" s="1">
        <f t="shared" si="54"/>
        <v>12967.91</v>
      </c>
      <c r="O251" s="1">
        <f t="shared" si="55"/>
        <v>12505.750000000004</v>
      </c>
      <c r="P251" s="1">
        <f t="shared" si="56"/>
        <v>12206.299999999996</v>
      </c>
      <c r="Q251" s="1">
        <f t="shared" si="57"/>
        <v>11698.749999999996</v>
      </c>
      <c r="R251" s="1">
        <v>0</v>
      </c>
      <c r="S251" s="1">
        <v>0</v>
      </c>
      <c r="T251" s="1">
        <v>0</v>
      </c>
      <c r="U251" s="1">
        <v>0</v>
      </c>
      <c r="V251" s="1">
        <v>0</v>
      </c>
      <c r="W251" s="1">
        <v>0</v>
      </c>
      <c r="X251" s="1">
        <v>0</v>
      </c>
      <c r="Y251" s="1">
        <v>0</v>
      </c>
      <c r="Z251" s="1">
        <v>0</v>
      </c>
      <c r="AA251" s="1">
        <v>0</v>
      </c>
      <c r="AB251" s="1">
        <v>0</v>
      </c>
      <c r="AC251" s="1">
        <v>0</v>
      </c>
      <c r="AD251" s="1">
        <v>0</v>
      </c>
      <c r="AE251" s="1">
        <v>0</v>
      </c>
      <c r="AF251" s="1">
        <v>0</v>
      </c>
      <c r="AG251" s="1">
        <v>0</v>
      </c>
      <c r="AH251" s="1">
        <v>0</v>
      </c>
      <c r="AI251" s="1">
        <v>0</v>
      </c>
      <c r="AJ251" s="1">
        <v>0</v>
      </c>
      <c r="AK251" s="1">
        <v>0</v>
      </c>
      <c r="AL251" s="1">
        <v>0</v>
      </c>
      <c r="AM251" s="1">
        <v>0</v>
      </c>
      <c r="AN251" s="1">
        <v>0</v>
      </c>
      <c r="AO251" s="1">
        <v>0</v>
      </c>
      <c r="AP251" s="1">
        <v>6066.1399999999994</v>
      </c>
      <c r="AQ251" s="1">
        <v>6548.4599999999991</v>
      </c>
      <c r="AR251" s="1">
        <v>5916.63</v>
      </c>
      <c r="AS251" s="1">
        <v>6918.9000000000005</v>
      </c>
      <c r="AT251" s="1">
        <v>0</v>
      </c>
      <c r="AU251" s="1">
        <v>6066.1399999999994</v>
      </c>
      <c r="AV251" s="1">
        <v>0</v>
      </c>
      <c r="AW251" s="1">
        <v>0</v>
      </c>
      <c r="AX251" s="1">
        <v>0</v>
      </c>
      <c r="AY251" s="1">
        <v>6548.4599999999991</v>
      </c>
      <c r="AZ251" s="1">
        <v>0</v>
      </c>
      <c r="BA251" s="1">
        <v>0</v>
      </c>
      <c r="BB251" s="1">
        <v>0</v>
      </c>
      <c r="BC251" s="1">
        <v>5916.63</v>
      </c>
      <c r="BD251" s="1">
        <v>0</v>
      </c>
      <c r="BE251" s="1">
        <v>0</v>
      </c>
      <c r="BF251" s="1">
        <v>6918.9000000000005</v>
      </c>
      <c r="BG251" s="1">
        <v>0</v>
      </c>
      <c r="BH251" s="1">
        <v>0</v>
      </c>
      <c r="BI251" s="1">
        <v>0</v>
      </c>
      <c r="BJ251" s="1">
        <v>0</v>
      </c>
      <c r="BK251" s="1">
        <v>0</v>
      </c>
      <c r="BL251" s="1">
        <v>0</v>
      </c>
      <c r="BM251" s="1">
        <v>0</v>
      </c>
      <c r="BN251" s="1">
        <v>0</v>
      </c>
      <c r="BO251" s="1">
        <v>0</v>
      </c>
      <c r="BP251" s="1">
        <v>0</v>
      </c>
      <c r="BQ251" s="1">
        <v>0</v>
      </c>
      <c r="BR251" s="1">
        <v>0</v>
      </c>
      <c r="BS251" s="1">
        <v>0</v>
      </c>
      <c r="BT251" s="1">
        <v>0</v>
      </c>
      <c r="BU251" s="1">
        <v>10309.992</v>
      </c>
      <c r="BV251" s="1">
        <v>13834.33</v>
      </c>
      <c r="BW251" s="1">
        <v>11956.93</v>
      </c>
      <c r="BX251" s="1">
        <v>10597.85</v>
      </c>
      <c r="BY251" s="1">
        <v>10309.992</v>
      </c>
      <c r="BZ251" s="1">
        <v>13834.33</v>
      </c>
      <c r="CA251" s="1">
        <v>11956.93</v>
      </c>
      <c r="CB251" s="1">
        <v>10597.85</v>
      </c>
      <c r="CC251" s="1">
        <v>0</v>
      </c>
      <c r="CD251" s="1">
        <v>0</v>
      </c>
      <c r="CE251" s="1">
        <v>0</v>
      </c>
      <c r="CF251" s="1">
        <v>0</v>
      </c>
      <c r="CG251" s="1">
        <v>0</v>
      </c>
      <c r="CH251" s="1">
        <v>0</v>
      </c>
      <c r="CI251" s="1">
        <v>0</v>
      </c>
      <c r="CJ251" s="1">
        <v>0</v>
      </c>
      <c r="CK251" s="1">
        <v>0</v>
      </c>
      <c r="CL251" s="1">
        <v>0</v>
      </c>
      <c r="CM251" s="1">
        <v>0</v>
      </c>
      <c r="CN251" s="1">
        <v>0</v>
      </c>
      <c r="CO251" s="1">
        <v>0</v>
      </c>
      <c r="CP251" s="1">
        <v>0</v>
      </c>
      <c r="CQ251" s="1">
        <v>0</v>
      </c>
      <c r="CR251" s="1">
        <v>0</v>
      </c>
      <c r="CS251" s="1">
        <v>1406.0170000000001</v>
      </c>
      <c r="CT251" s="1">
        <v>1491.41</v>
      </c>
      <c r="CU251" s="1">
        <v>1344.06</v>
      </c>
      <c r="CV251" s="1">
        <v>1285.81</v>
      </c>
      <c r="CW251" s="1">
        <v>1389.607</v>
      </c>
      <c r="CX251" s="1">
        <v>1489.43</v>
      </c>
      <c r="CY251" s="1">
        <v>1250.3399999999999</v>
      </c>
      <c r="CZ251" s="1">
        <v>1156.05</v>
      </c>
      <c r="DA251" s="1">
        <v>0</v>
      </c>
      <c r="DB251" s="1">
        <v>0</v>
      </c>
      <c r="DC251" s="1">
        <v>0</v>
      </c>
      <c r="DD251" s="1">
        <v>0</v>
      </c>
      <c r="DE251" s="1">
        <v>0</v>
      </c>
      <c r="DF251" s="1">
        <v>0</v>
      </c>
      <c r="DG251" s="1">
        <v>0</v>
      </c>
      <c r="DH251" s="1">
        <v>0</v>
      </c>
      <c r="DI251" s="1">
        <v>16.41</v>
      </c>
      <c r="DJ251" s="1">
        <v>1.98</v>
      </c>
      <c r="DK251" s="1">
        <v>93.72</v>
      </c>
      <c r="DL251" s="1">
        <v>129.76</v>
      </c>
      <c r="DM251" s="1">
        <v>7414.3</v>
      </c>
      <c r="DN251" s="1">
        <v>7289.62</v>
      </c>
      <c r="DO251" s="1">
        <v>6984.3600000000006</v>
      </c>
      <c r="DP251" s="1">
        <v>6554.8</v>
      </c>
      <c r="DQ251" s="1">
        <v>7414.3</v>
      </c>
      <c r="DR251" s="1">
        <v>7289.62</v>
      </c>
      <c r="DS251" s="1">
        <v>6984.3600000000006</v>
      </c>
      <c r="DT251" s="1">
        <v>6554.8</v>
      </c>
      <c r="DU251" s="1">
        <v>0</v>
      </c>
      <c r="DV251" s="1">
        <v>0</v>
      </c>
      <c r="DW251" s="1">
        <v>0</v>
      </c>
      <c r="DX251" s="1">
        <v>0</v>
      </c>
      <c r="DY251" s="1">
        <v>0</v>
      </c>
      <c r="DZ251" s="1">
        <v>0</v>
      </c>
      <c r="EA251" s="1">
        <v>0</v>
      </c>
      <c r="EB251" s="1">
        <v>0</v>
      </c>
      <c r="EC251" s="1">
        <v>0</v>
      </c>
      <c r="ED251" s="1">
        <v>0</v>
      </c>
      <c r="EE251" s="1">
        <v>0</v>
      </c>
      <c r="EF251" s="1">
        <v>0</v>
      </c>
      <c r="EG251" s="1">
        <v>0</v>
      </c>
      <c r="EH251" s="1">
        <v>0</v>
      </c>
      <c r="EI251" s="1">
        <v>0</v>
      </c>
      <c r="EJ251" s="1">
        <v>0</v>
      </c>
      <c r="EK251" s="1">
        <v>499.94200000000001</v>
      </c>
      <c r="EL251" s="1">
        <v>572.71</v>
      </c>
      <c r="EM251" s="1">
        <v>718.71</v>
      </c>
      <c r="EN251" s="1">
        <v>482.36999999999989</v>
      </c>
      <c r="EO251" s="1">
        <v>499.94200000000001</v>
      </c>
      <c r="EP251" s="1">
        <v>572.71</v>
      </c>
      <c r="EQ251" s="1">
        <v>718.71</v>
      </c>
      <c r="ER251" s="1">
        <v>482.36999999999989</v>
      </c>
      <c r="ES251" s="1">
        <v>0</v>
      </c>
      <c r="ET251" s="1">
        <v>0</v>
      </c>
      <c r="EU251" s="1">
        <v>0</v>
      </c>
      <c r="EV251" s="1">
        <v>0</v>
      </c>
      <c r="EW251" s="1">
        <v>0</v>
      </c>
      <c r="EX251" s="1">
        <v>0</v>
      </c>
      <c r="EY251" s="1">
        <v>0</v>
      </c>
      <c r="EZ251" s="1">
        <v>0</v>
      </c>
      <c r="FA251" s="1">
        <v>0</v>
      </c>
      <c r="FB251" s="1">
        <v>0</v>
      </c>
      <c r="FC251" s="1">
        <v>0</v>
      </c>
      <c r="FD251" s="1">
        <v>0</v>
      </c>
      <c r="FE251" s="1">
        <v>289.2</v>
      </c>
      <c r="FF251" s="1">
        <v>306.73</v>
      </c>
      <c r="FG251" s="1">
        <v>319.24</v>
      </c>
      <c r="FH251" s="1">
        <v>448.84</v>
      </c>
      <c r="FI251" s="1">
        <v>289.2</v>
      </c>
      <c r="FJ251" s="1">
        <v>306.73</v>
      </c>
      <c r="FK251" s="1">
        <v>319.24</v>
      </c>
      <c r="FL251" s="1">
        <v>448.84</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v>0</v>
      </c>
      <c r="GC251" s="1">
        <v>37.919999999999987</v>
      </c>
      <c r="GD251" s="1">
        <v>35.26</v>
      </c>
      <c r="GE251" s="1">
        <v>31.58</v>
      </c>
      <c r="GF251" s="1">
        <v>28.9</v>
      </c>
      <c r="GG251" s="1">
        <v>37.919999999999987</v>
      </c>
      <c r="GH251" s="1">
        <v>35.26</v>
      </c>
      <c r="GI251" s="1">
        <v>31.58</v>
      </c>
      <c r="GJ251" s="1">
        <v>28.9</v>
      </c>
      <c r="GK251" s="1">
        <v>0</v>
      </c>
      <c r="GL251" s="1">
        <v>0</v>
      </c>
      <c r="GM251" s="1">
        <v>0</v>
      </c>
      <c r="GN251" s="1">
        <v>0</v>
      </c>
      <c r="GO251" s="1">
        <v>0</v>
      </c>
      <c r="GP251" s="1">
        <v>0</v>
      </c>
      <c r="GQ251" s="1">
        <v>0</v>
      </c>
      <c r="GR251" s="1">
        <v>0</v>
      </c>
      <c r="GS251" s="1">
        <v>0</v>
      </c>
      <c r="GT251" s="1">
        <v>0</v>
      </c>
      <c r="GU251" s="1">
        <v>0</v>
      </c>
      <c r="GV251" s="1">
        <v>0</v>
      </c>
      <c r="GW251" s="1">
        <v>0</v>
      </c>
      <c r="GX251" s="1">
        <v>0</v>
      </c>
      <c r="GY251" s="1">
        <v>0</v>
      </c>
      <c r="GZ251" s="1">
        <v>0</v>
      </c>
      <c r="HA251" s="1">
        <v>0</v>
      </c>
      <c r="HB251" s="1">
        <v>0</v>
      </c>
      <c r="HC251" s="1">
        <v>0</v>
      </c>
      <c r="HD251" s="1">
        <v>0</v>
      </c>
      <c r="HE251" s="1">
        <v>0</v>
      </c>
      <c r="HF251" s="1">
        <v>0</v>
      </c>
      <c r="HG251" s="1">
        <v>0</v>
      </c>
      <c r="HH251" s="1">
        <v>0</v>
      </c>
      <c r="HI251" s="1">
        <v>0</v>
      </c>
      <c r="HJ251" s="1">
        <v>0</v>
      </c>
      <c r="HK251" s="1">
        <v>0</v>
      </c>
      <c r="HL251" s="1">
        <v>0</v>
      </c>
      <c r="HM251" s="1">
        <v>0</v>
      </c>
      <c r="HN251" s="1">
        <v>0</v>
      </c>
      <c r="HO251" s="1">
        <v>0</v>
      </c>
      <c r="HP251" s="1">
        <v>0</v>
      </c>
      <c r="HQ251" s="1">
        <v>0</v>
      </c>
      <c r="HR251" s="1">
        <v>0</v>
      </c>
      <c r="HS251" s="1">
        <v>0</v>
      </c>
      <c r="HT251" s="1">
        <v>0</v>
      </c>
      <c r="HU251" s="1">
        <v>0</v>
      </c>
      <c r="HV251" s="1">
        <v>0</v>
      </c>
      <c r="HW251" s="1">
        <v>0</v>
      </c>
      <c r="HX251" s="1">
        <v>0</v>
      </c>
      <c r="HY251" s="1">
        <v>0</v>
      </c>
      <c r="HZ251" s="1">
        <v>0</v>
      </c>
      <c r="IA251" s="1">
        <v>0</v>
      </c>
      <c r="IB251" s="1">
        <v>0</v>
      </c>
      <c r="IC251" s="1">
        <v>0</v>
      </c>
      <c r="ID251" s="1">
        <v>0</v>
      </c>
      <c r="IE251" s="1">
        <v>0</v>
      </c>
      <c r="IF251" s="1">
        <v>0</v>
      </c>
      <c r="IG251" s="1">
        <v>0</v>
      </c>
      <c r="IH251" s="1">
        <v>0</v>
      </c>
      <c r="II251" s="1">
        <v>0</v>
      </c>
      <c r="IJ251" s="1">
        <v>0</v>
      </c>
      <c r="IK251" s="1">
        <v>0</v>
      </c>
      <c r="IL251" s="1">
        <v>0</v>
      </c>
      <c r="IM251" s="1">
        <v>0</v>
      </c>
      <c r="IN251" s="1">
        <v>0</v>
      </c>
      <c r="IO251" s="1">
        <v>878.77</v>
      </c>
      <c r="IP251" s="1">
        <v>745.49</v>
      </c>
      <c r="IQ251" s="1">
        <v>874.51</v>
      </c>
      <c r="IR251" s="1">
        <v>1372.59</v>
      </c>
      <c r="IS251" s="1">
        <v>878.77</v>
      </c>
      <c r="IT251" s="1">
        <v>745.49</v>
      </c>
      <c r="IU251" s="1">
        <v>874.51</v>
      </c>
      <c r="IV251" s="1">
        <v>1372.59</v>
      </c>
      <c r="IW251" s="1">
        <v>0</v>
      </c>
      <c r="IX251" s="1">
        <v>0</v>
      </c>
      <c r="IY251" s="1">
        <v>0</v>
      </c>
      <c r="IZ251" s="1">
        <v>0</v>
      </c>
      <c r="JA251" s="1">
        <v>0</v>
      </c>
      <c r="JB251" s="1">
        <v>0</v>
      </c>
      <c r="JC251" s="1">
        <v>0</v>
      </c>
      <c r="JD251" s="1">
        <v>0</v>
      </c>
      <c r="JE251" s="1">
        <v>0</v>
      </c>
      <c r="JF251" s="1">
        <v>0</v>
      </c>
      <c r="JG251" s="1">
        <v>0</v>
      </c>
      <c r="JH251" s="1">
        <v>0</v>
      </c>
      <c r="JI251" s="1">
        <v>0</v>
      </c>
      <c r="JJ251" s="1">
        <v>0</v>
      </c>
      <c r="JK251" s="1">
        <v>0</v>
      </c>
      <c r="JL251" s="1">
        <v>0</v>
      </c>
      <c r="JM251" s="1">
        <v>0</v>
      </c>
      <c r="JN251" s="1">
        <v>0</v>
      </c>
      <c r="JO251" s="1">
        <v>0</v>
      </c>
      <c r="JP251" s="1">
        <v>0</v>
      </c>
      <c r="JQ251" s="9"/>
      <c r="JR251" s="1">
        <f t="shared" si="48"/>
        <v>3501.3357000000001</v>
      </c>
      <c r="JS251" s="1">
        <f t="shared" si="48"/>
        <v>3376.5525000000011</v>
      </c>
      <c r="JT251" s="1">
        <f t="shared" si="48"/>
        <v>3295.7009999999991</v>
      </c>
      <c r="JU251" s="1">
        <f t="shared" si="48"/>
        <v>3158.662499999999</v>
      </c>
      <c r="JV251" s="1">
        <f t="shared" si="49"/>
        <v>648.39550000000008</v>
      </c>
      <c r="JW251" s="1">
        <f t="shared" si="49"/>
        <v>625.28750000000025</v>
      </c>
      <c r="JX251" s="1">
        <f t="shared" si="49"/>
        <v>610.31499999999983</v>
      </c>
      <c r="JY251" s="1">
        <f t="shared" si="49"/>
        <v>584.93749999999989</v>
      </c>
    </row>
    <row r="252" spans="1:285" x14ac:dyDescent="0.35">
      <c r="A252" s="2" t="s">
        <v>259</v>
      </c>
      <c r="B252" s="1">
        <v>93747</v>
      </c>
      <c r="C252" s="1">
        <v>95400</v>
      </c>
      <c r="D252" s="1">
        <v>97050</v>
      </c>
      <c r="E252" s="1">
        <v>99546</v>
      </c>
      <c r="F252" s="1">
        <v>35470.578999999998</v>
      </c>
      <c r="G252" s="1">
        <v>36111.298999999999</v>
      </c>
      <c r="H252" s="1">
        <v>32710.941999999999</v>
      </c>
      <c r="I252" s="1">
        <v>32682.264999999999</v>
      </c>
      <c r="J252" s="1">
        <f t="shared" si="50"/>
        <v>20515.403999999995</v>
      </c>
      <c r="K252" s="1">
        <f t="shared" si="51"/>
        <v>22176.989000000001</v>
      </c>
      <c r="L252" s="1">
        <f t="shared" si="52"/>
        <v>21667.776999999995</v>
      </c>
      <c r="M252" s="1">
        <f t="shared" si="53"/>
        <v>21748.655000000002</v>
      </c>
      <c r="N252" s="1">
        <f t="shared" si="54"/>
        <v>14955.175000000003</v>
      </c>
      <c r="O252" s="1">
        <f t="shared" si="55"/>
        <v>13934.309999999998</v>
      </c>
      <c r="P252" s="1">
        <f t="shared" si="56"/>
        <v>11043.165000000005</v>
      </c>
      <c r="Q252" s="1">
        <f t="shared" si="57"/>
        <v>10933.609999999997</v>
      </c>
      <c r="R252" s="1">
        <v>3351.18</v>
      </c>
      <c r="S252" s="1">
        <v>3384.24</v>
      </c>
      <c r="T252" s="1">
        <v>3066.5</v>
      </c>
      <c r="U252" s="1">
        <v>2970.8199999999997</v>
      </c>
      <c r="V252" s="1">
        <v>0</v>
      </c>
      <c r="W252" s="1">
        <v>0</v>
      </c>
      <c r="X252" s="1">
        <v>3351.18</v>
      </c>
      <c r="Y252" s="1">
        <v>0</v>
      </c>
      <c r="Z252" s="1">
        <v>0</v>
      </c>
      <c r="AA252" s="1">
        <v>3384.24</v>
      </c>
      <c r="AB252" s="1">
        <v>0</v>
      </c>
      <c r="AC252" s="1">
        <v>0</v>
      </c>
      <c r="AD252" s="1">
        <v>3066.5</v>
      </c>
      <c r="AE252" s="1">
        <v>0</v>
      </c>
      <c r="AF252" s="1">
        <v>0</v>
      </c>
      <c r="AG252" s="1">
        <v>2970.8199999999997</v>
      </c>
      <c r="AH252" s="1">
        <v>0</v>
      </c>
      <c r="AI252" s="1">
        <v>0</v>
      </c>
      <c r="AJ252" s="1">
        <v>0</v>
      </c>
      <c r="AK252" s="1">
        <v>0</v>
      </c>
      <c r="AL252" s="1">
        <v>0</v>
      </c>
      <c r="AM252" s="1">
        <v>0</v>
      </c>
      <c r="AN252" s="1">
        <v>0</v>
      </c>
      <c r="AO252" s="1">
        <v>0</v>
      </c>
      <c r="AP252" s="1">
        <v>6855.96</v>
      </c>
      <c r="AQ252" s="1">
        <v>7330.32</v>
      </c>
      <c r="AR252" s="1">
        <v>6160.44</v>
      </c>
      <c r="AS252" s="1">
        <v>7361</v>
      </c>
      <c r="AT252" s="1">
        <v>0</v>
      </c>
      <c r="AU252" s="1">
        <v>6855.96</v>
      </c>
      <c r="AV252" s="1">
        <v>0</v>
      </c>
      <c r="AW252" s="1">
        <v>0</v>
      </c>
      <c r="AX252" s="1">
        <v>0</v>
      </c>
      <c r="AY252" s="1">
        <v>7330.32</v>
      </c>
      <c r="AZ252" s="1">
        <v>0</v>
      </c>
      <c r="BA252" s="1">
        <v>0</v>
      </c>
      <c r="BB252" s="1">
        <v>0</v>
      </c>
      <c r="BC252" s="1">
        <v>6160.44</v>
      </c>
      <c r="BD252" s="1">
        <v>0</v>
      </c>
      <c r="BE252" s="1">
        <v>0</v>
      </c>
      <c r="BF252" s="1">
        <v>7361</v>
      </c>
      <c r="BG252" s="1">
        <v>0</v>
      </c>
      <c r="BH252" s="1">
        <v>0</v>
      </c>
      <c r="BI252" s="1">
        <v>0</v>
      </c>
      <c r="BJ252" s="1">
        <v>0</v>
      </c>
      <c r="BK252" s="1">
        <v>0</v>
      </c>
      <c r="BL252" s="1">
        <v>0</v>
      </c>
      <c r="BM252" s="1">
        <v>0</v>
      </c>
      <c r="BN252" s="1">
        <v>0</v>
      </c>
      <c r="BO252" s="1">
        <v>0</v>
      </c>
      <c r="BP252" s="1">
        <v>0</v>
      </c>
      <c r="BQ252" s="1">
        <v>0</v>
      </c>
      <c r="BR252" s="1">
        <v>0</v>
      </c>
      <c r="BS252" s="1">
        <v>0</v>
      </c>
      <c r="BT252" s="1">
        <v>0</v>
      </c>
      <c r="BU252" s="1">
        <v>5776.9440000000004</v>
      </c>
      <c r="BV252" s="1">
        <v>6054.6589999999997</v>
      </c>
      <c r="BW252" s="1">
        <v>5886.3040000000001</v>
      </c>
      <c r="BX252" s="1">
        <v>5736.15</v>
      </c>
      <c r="BY252" s="1">
        <v>5775.1740000000009</v>
      </c>
      <c r="BZ252" s="1">
        <v>6051.3739999999998</v>
      </c>
      <c r="CA252" s="1">
        <v>5884.0339999999997</v>
      </c>
      <c r="CB252" s="1">
        <v>5734.94</v>
      </c>
      <c r="CC252" s="1">
        <v>1.77</v>
      </c>
      <c r="CD252" s="1">
        <v>3.2850000000000001</v>
      </c>
      <c r="CE252" s="1">
        <v>2.27</v>
      </c>
      <c r="CF252" s="1">
        <v>1.21</v>
      </c>
      <c r="CG252" s="1">
        <v>0</v>
      </c>
      <c r="CH252" s="1">
        <v>0</v>
      </c>
      <c r="CI252" s="1">
        <v>0</v>
      </c>
      <c r="CJ252" s="1">
        <v>0</v>
      </c>
      <c r="CK252" s="1">
        <v>0</v>
      </c>
      <c r="CL252" s="1">
        <v>0</v>
      </c>
      <c r="CM252" s="1">
        <v>0</v>
      </c>
      <c r="CN252" s="1">
        <v>0</v>
      </c>
      <c r="CO252" s="1">
        <v>0</v>
      </c>
      <c r="CP252" s="1">
        <v>0</v>
      </c>
      <c r="CQ252" s="1">
        <v>0</v>
      </c>
      <c r="CR252" s="1">
        <v>0</v>
      </c>
      <c r="CS252" s="1">
        <v>982.16000000000008</v>
      </c>
      <c r="CT252" s="1">
        <v>1278.289</v>
      </c>
      <c r="CU252" s="1">
        <v>2107.9</v>
      </c>
      <c r="CV252" s="1">
        <v>1701.08</v>
      </c>
      <c r="CW252" s="1">
        <v>982.16000000000008</v>
      </c>
      <c r="CX252" s="1">
        <v>1278.289</v>
      </c>
      <c r="CY252" s="1">
        <v>2107.9</v>
      </c>
      <c r="CZ252" s="1">
        <v>1701.08</v>
      </c>
      <c r="DA252" s="1">
        <v>0</v>
      </c>
      <c r="DB252" s="1">
        <v>0</v>
      </c>
      <c r="DC252" s="1">
        <v>0</v>
      </c>
      <c r="DD252" s="1">
        <v>0</v>
      </c>
      <c r="DE252" s="1">
        <v>0</v>
      </c>
      <c r="DF252" s="1">
        <v>0</v>
      </c>
      <c r="DG252" s="1">
        <v>0</v>
      </c>
      <c r="DH252" s="1">
        <v>0</v>
      </c>
      <c r="DI252" s="1">
        <v>0</v>
      </c>
      <c r="DJ252" s="1">
        <v>0</v>
      </c>
      <c r="DK252" s="1">
        <v>0</v>
      </c>
      <c r="DL252" s="1">
        <v>0</v>
      </c>
      <c r="DM252" s="1">
        <v>2717.7469999999998</v>
      </c>
      <c r="DN252" s="1">
        <v>3137.835</v>
      </c>
      <c r="DO252" s="1">
        <v>3198.99</v>
      </c>
      <c r="DP252" s="1">
        <v>2835.46</v>
      </c>
      <c r="DQ252" s="1">
        <v>2717.7469999999998</v>
      </c>
      <c r="DR252" s="1">
        <v>3137.835</v>
      </c>
      <c r="DS252" s="1">
        <v>3198.99</v>
      </c>
      <c r="DT252" s="1">
        <v>2835.46</v>
      </c>
      <c r="DU252" s="1">
        <v>0</v>
      </c>
      <c r="DV252" s="1">
        <v>0</v>
      </c>
      <c r="DW252" s="1">
        <v>0</v>
      </c>
      <c r="DX252" s="1">
        <v>0</v>
      </c>
      <c r="DY252" s="1">
        <v>0</v>
      </c>
      <c r="DZ252" s="1">
        <v>0</v>
      </c>
      <c r="EA252" s="1">
        <v>0</v>
      </c>
      <c r="EB252" s="1">
        <v>0</v>
      </c>
      <c r="EC252" s="1">
        <v>0</v>
      </c>
      <c r="ED252" s="1">
        <v>0</v>
      </c>
      <c r="EE252" s="1">
        <v>0</v>
      </c>
      <c r="EF252" s="1">
        <v>0</v>
      </c>
      <c r="EG252" s="1">
        <v>0</v>
      </c>
      <c r="EH252" s="1">
        <v>0</v>
      </c>
      <c r="EI252" s="1">
        <v>0</v>
      </c>
      <c r="EJ252" s="1">
        <v>0</v>
      </c>
      <c r="EK252" s="1">
        <v>503.90499999999997</v>
      </c>
      <c r="EL252" s="1">
        <v>663.77400000000011</v>
      </c>
      <c r="EM252" s="1">
        <v>851.97800000000007</v>
      </c>
      <c r="EN252" s="1">
        <v>677.9</v>
      </c>
      <c r="EO252" s="1">
        <v>502.86500000000001</v>
      </c>
      <c r="EP252" s="1">
        <v>663.69399999999996</v>
      </c>
      <c r="EQ252" s="1">
        <v>851.86800000000005</v>
      </c>
      <c r="ER252" s="1">
        <v>677.88</v>
      </c>
      <c r="ES252" s="1">
        <v>1.04</v>
      </c>
      <c r="ET252" s="1">
        <v>0.08</v>
      </c>
      <c r="EU252" s="1">
        <v>0.11</v>
      </c>
      <c r="EV252" s="1">
        <v>0.02</v>
      </c>
      <c r="EW252" s="1">
        <v>0</v>
      </c>
      <c r="EX252" s="1">
        <v>0</v>
      </c>
      <c r="EY252" s="1">
        <v>0</v>
      </c>
      <c r="EZ252" s="1">
        <v>0</v>
      </c>
      <c r="FA252" s="1">
        <v>0</v>
      </c>
      <c r="FB252" s="1">
        <v>0</v>
      </c>
      <c r="FC252" s="1">
        <v>0</v>
      </c>
      <c r="FD252" s="1">
        <v>0</v>
      </c>
      <c r="FE252" s="1">
        <v>256.44799999999998</v>
      </c>
      <c r="FF252" s="1">
        <v>267.63200000000001</v>
      </c>
      <c r="FG252" s="1">
        <v>338.73</v>
      </c>
      <c r="FH252" s="1">
        <v>300.99</v>
      </c>
      <c r="FI252" s="1">
        <v>191.13</v>
      </c>
      <c r="FJ252" s="1">
        <v>204.29</v>
      </c>
      <c r="FK252" s="1">
        <v>244.14</v>
      </c>
      <c r="FL252" s="1">
        <v>189.37</v>
      </c>
      <c r="FM252" s="1">
        <v>65.318000000000012</v>
      </c>
      <c r="FN252" s="1">
        <v>63.341999999999999</v>
      </c>
      <c r="FO252" s="1">
        <v>94.589999999999989</v>
      </c>
      <c r="FP252" s="1">
        <v>111.62</v>
      </c>
      <c r="FQ252" s="1">
        <v>0</v>
      </c>
      <c r="FR252" s="1">
        <v>0</v>
      </c>
      <c r="FS252" s="1">
        <v>0</v>
      </c>
      <c r="FT252" s="1">
        <v>0</v>
      </c>
      <c r="FU252" s="1">
        <v>0</v>
      </c>
      <c r="FV252" s="1">
        <v>0</v>
      </c>
      <c r="FW252" s="1">
        <v>0</v>
      </c>
      <c r="FX252" s="1">
        <v>0</v>
      </c>
      <c r="FY252" s="1">
        <v>0</v>
      </c>
      <c r="FZ252" s="1">
        <v>0</v>
      </c>
      <c r="GA252" s="1">
        <v>0</v>
      </c>
      <c r="GB252" s="1">
        <v>0</v>
      </c>
      <c r="GC252" s="1">
        <v>57.3</v>
      </c>
      <c r="GD252" s="1">
        <v>47.74</v>
      </c>
      <c r="GE252" s="1">
        <v>39.619999999999997</v>
      </c>
      <c r="GF252" s="1">
        <v>40.150000000000013</v>
      </c>
      <c r="GG252" s="1">
        <v>57.3</v>
      </c>
      <c r="GH252" s="1">
        <v>47.74</v>
      </c>
      <c r="GI252" s="1">
        <v>39.619999999999997</v>
      </c>
      <c r="GJ252" s="1">
        <v>40.150000000000013</v>
      </c>
      <c r="GK252" s="1">
        <v>0</v>
      </c>
      <c r="GL252" s="1">
        <v>0</v>
      </c>
      <c r="GM252" s="1">
        <v>0</v>
      </c>
      <c r="GN252" s="1">
        <v>0</v>
      </c>
      <c r="GO252" s="1">
        <v>0</v>
      </c>
      <c r="GP252" s="1">
        <v>0</v>
      </c>
      <c r="GQ252" s="1">
        <v>0</v>
      </c>
      <c r="GR252" s="1">
        <v>0</v>
      </c>
      <c r="GS252" s="1">
        <v>0</v>
      </c>
      <c r="GT252" s="1">
        <v>0</v>
      </c>
      <c r="GU252" s="1">
        <v>0</v>
      </c>
      <c r="GV252" s="1">
        <v>0</v>
      </c>
      <c r="GW252" s="1">
        <v>0</v>
      </c>
      <c r="GX252" s="1">
        <v>0</v>
      </c>
      <c r="GY252" s="1">
        <v>0</v>
      </c>
      <c r="GZ252" s="1">
        <v>0</v>
      </c>
      <c r="HA252" s="1">
        <v>0</v>
      </c>
      <c r="HB252" s="1">
        <v>0</v>
      </c>
      <c r="HC252" s="1">
        <v>0</v>
      </c>
      <c r="HD252" s="1">
        <v>0</v>
      </c>
      <c r="HE252" s="1">
        <v>0</v>
      </c>
      <c r="HF252" s="1">
        <v>0</v>
      </c>
      <c r="HG252" s="1">
        <v>0</v>
      </c>
      <c r="HH252" s="1">
        <v>0</v>
      </c>
      <c r="HI252" s="1">
        <v>0</v>
      </c>
      <c r="HJ252" s="1">
        <v>0</v>
      </c>
      <c r="HK252" s="1">
        <v>0</v>
      </c>
      <c r="HL252" s="1">
        <v>0</v>
      </c>
      <c r="HM252" s="1">
        <v>0</v>
      </c>
      <c r="HN252" s="1">
        <v>0</v>
      </c>
      <c r="HO252" s="1">
        <v>0</v>
      </c>
      <c r="HP252" s="1">
        <v>0</v>
      </c>
      <c r="HQ252" s="1">
        <v>0</v>
      </c>
      <c r="HR252" s="1">
        <v>0</v>
      </c>
      <c r="HS252" s="1">
        <v>0</v>
      </c>
      <c r="HT252" s="1">
        <v>0</v>
      </c>
      <c r="HU252" s="1">
        <v>0</v>
      </c>
      <c r="HV252" s="1">
        <v>0</v>
      </c>
      <c r="HW252" s="1">
        <v>0</v>
      </c>
      <c r="HX252" s="1">
        <v>0</v>
      </c>
      <c r="HY252" s="1">
        <v>0</v>
      </c>
      <c r="HZ252" s="1">
        <v>0</v>
      </c>
      <c r="IA252" s="1">
        <v>0</v>
      </c>
      <c r="IB252" s="1">
        <v>0</v>
      </c>
      <c r="IC252" s="1">
        <v>0</v>
      </c>
      <c r="ID252" s="1">
        <v>0</v>
      </c>
      <c r="IE252" s="1">
        <v>0</v>
      </c>
      <c r="IF252" s="1">
        <v>0</v>
      </c>
      <c r="IG252" s="1">
        <v>0</v>
      </c>
      <c r="IH252" s="1">
        <v>0</v>
      </c>
      <c r="II252" s="1">
        <v>0</v>
      </c>
      <c r="IJ252" s="1">
        <v>0</v>
      </c>
      <c r="IK252" s="1">
        <v>0</v>
      </c>
      <c r="IL252" s="1">
        <v>0</v>
      </c>
      <c r="IM252" s="1">
        <v>0</v>
      </c>
      <c r="IN252" s="1">
        <v>0</v>
      </c>
      <c r="IO252" s="1">
        <v>13.76</v>
      </c>
      <c r="IP252" s="1">
        <v>12.5</v>
      </c>
      <c r="IQ252" s="1">
        <v>17.315000000000001</v>
      </c>
      <c r="IR252" s="1">
        <v>125.105</v>
      </c>
      <c r="IS252" s="1">
        <v>13.76</v>
      </c>
      <c r="IT252" s="1">
        <v>12.5</v>
      </c>
      <c r="IU252" s="1">
        <v>17.315000000000001</v>
      </c>
      <c r="IV252" s="1">
        <v>125.105</v>
      </c>
      <c r="IW252" s="1">
        <v>0</v>
      </c>
      <c r="IX252" s="1">
        <v>0</v>
      </c>
      <c r="IY252" s="1">
        <v>0</v>
      </c>
      <c r="IZ252" s="1">
        <v>0</v>
      </c>
      <c r="JA252" s="1">
        <v>0</v>
      </c>
      <c r="JB252" s="1">
        <v>0</v>
      </c>
      <c r="JC252" s="1">
        <v>0</v>
      </c>
      <c r="JD252" s="1">
        <v>0</v>
      </c>
      <c r="JE252" s="1">
        <v>0</v>
      </c>
      <c r="JF252" s="1">
        <v>0</v>
      </c>
      <c r="JG252" s="1">
        <v>0</v>
      </c>
      <c r="JH252" s="1">
        <v>0</v>
      </c>
      <c r="JI252" s="1">
        <v>0</v>
      </c>
      <c r="JJ252" s="1">
        <v>0</v>
      </c>
      <c r="JK252" s="1">
        <v>0</v>
      </c>
      <c r="JL252" s="1">
        <v>0</v>
      </c>
      <c r="JM252" s="1">
        <v>0</v>
      </c>
      <c r="JN252" s="1">
        <v>0</v>
      </c>
      <c r="JO252" s="1">
        <v>0</v>
      </c>
      <c r="JP252" s="1">
        <v>0</v>
      </c>
      <c r="JQ252" s="9"/>
      <c r="JR252" s="1">
        <f t="shared" si="48"/>
        <v>4037.8972500000009</v>
      </c>
      <c r="JS252" s="1">
        <f t="shared" si="48"/>
        <v>3762.2636999999995</v>
      </c>
      <c r="JT252" s="1">
        <f t="shared" si="48"/>
        <v>2981.6545500000016</v>
      </c>
      <c r="JU252" s="1">
        <f t="shared" si="48"/>
        <v>2952.0746999999992</v>
      </c>
      <c r="JV252" s="1">
        <f t="shared" si="49"/>
        <v>747.75875000000019</v>
      </c>
      <c r="JW252" s="1">
        <f t="shared" si="49"/>
        <v>696.71549999999991</v>
      </c>
      <c r="JX252" s="1">
        <f t="shared" si="49"/>
        <v>552.15825000000029</v>
      </c>
      <c r="JY252" s="1">
        <f t="shared" si="49"/>
        <v>546.68049999999982</v>
      </c>
    </row>
    <row r="253" spans="1:285" x14ac:dyDescent="0.35">
      <c r="A253" s="2" t="s">
        <v>260</v>
      </c>
      <c r="B253" s="1">
        <v>139945</v>
      </c>
      <c r="C253" s="1">
        <v>140658</v>
      </c>
      <c r="D253" s="1">
        <v>140699</v>
      </c>
      <c r="E253" s="1">
        <v>141049</v>
      </c>
      <c r="F253" s="1">
        <v>29489.399000000001</v>
      </c>
      <c r="G253" s="1">
        <v>31024.16</v>
      </c>
      <c r="H253" s="1">
        <v>30672.21</v>
      </c>
      <c r="I253" s="1">
        <v>28578.09</v>
      </c>
      <c r="J253" s="1">
        <f t="shared" si="50"/>
        <v>20878.289000000001</v>
      </c>
      <c r="K253" s="1">
        <f t="shared" si="51"/>
        <v>22537.18</v>
      </c>
      <c r="L253" s="1">
        <f t="shared" si="52"/>
        <v>21709.43</v>
      </c>
      <c r="M253" s="1">
        <f t="shared" si="53"/>
        <v>20311.310000000001</v>
      </c>
      <c r="N253" s="1">
        <f t="shared" si="54"/>
        <v>8611.11</v>
      </c>
      <c r="O253" s="1">
        <f t="shared" si="55"/>
        <v>8486.98</v>
      </c>
      <c r="P253" s="1">
        <f t="shared" si="56"/>
        <v>8962.7799999999988</v>
      </c>
      <c r="Q253" s="1">
        <f t="shared" si="57"/>
        <v>8266.7799999999988</v>
      </c>
      <c r="R253" s="1">
        <v>2635.68</v>
      </c>
      <c r="S253" s="1">
        <v>3211.04</v>
      </c>
      <c r="T253" s="1">
        <v>2224.1999999999998</v>
      </c>
      <c r="U253" s="1">
        <v>1993.7800000000002</v>
      </c>
      <c r="V253" s="1">
        <v>2635.68</v>
      </c>
      <c r="W253" s="1">
        <v>0</v>
      </c>
      <c r="X253" s="1">
        <v>0</v>
      </c>
      <c r="Y253" s="1">
        <v>659.68</v>
      </c>
      <c r="Z253" s="1">
        <v>0</v>
      </c>
      <c r="AA253" s="1">
        <v>2551.36</v>
      </c>
      <c r="AB253" s="1">
        <v>0</v>
      </c>
      <c r="AC253" s="1">
        <v>0</v>
      </c>
      <c r="AD253" s="1">
        <v>2224.1999999999998</v>
      </c>
      <c r="AE253" s="1">
        <v>0</v>
      </c>
      <c r="AF253" s="1">
        <v>0</v>
      </c>
      <c r="AG253" s="1">
        <v>1993.7800000000002</v>
      </c>
      <c r="AH253" s="1">
        <v>0</v>
      </c>
      <c r="AI253" s="1">
        <v>0</v>
      </c>
      <c r="AJ253" s="1">
        <v>0</v>
      </c>
      <c r="AK253" s="1">
        <v>0</v>
      </c>
      <c r="AL253" s="1">
        <v>0</v>
      </c>
      <c r="AM253" s="1">
        <v>0</v>
      </c>
      <c r="AN253" s="1">
        <v>0</v>
      </c>
      <c r="AO253" s="1">
        <v>0</v>
      </c>
      <c r="AP253" s="1">
        <v>3800.98</v>
      </c>
      <c r="AQ253" s="1">
        <v>4326.7199999999993</v>
      </c>
      <c r="AR253" s="1">
        <v>3710.7599999999998</v>
      </c>
      <c r="AS253" s="1">
        <v>4620.2</v>
      </c>
      <c r="AT253" s="1">
        <v>0</v>
      </c>
      <c r="AU253" s="1">
        <v>3800.98</v>
      </c>
      <c r="AV253" s="1">
        <v>0</v>
      </c>
      <c r="AW253" s="1">
        <v>0</v>
      </c>
      <c r="AX253" s="1">
        <v>0</v>
      </c>
      <c r="AY253" s="1">
        <v>4326.7199999999993</v>
      </c>
      <c r="AZ253" s="1">
        <v>0</v>
      </c>
      <c r="BA253" s="1">
        <v>0</v>
      </c>
      <c r="BB253" s="1">
        <v>0</v>
      </c>
      <c r="BC253" s="1">
        <v>3710.7599999999998</v>
      </c>
      <c r="BD253" s="1">
        <v>0</v>
      </c>
      <c r="BE253" s="1">
        <v>0</v>
      </c>
      <c r="BF253" s="1">
        <v>4620.2</v>
      </c>
      <c r="BG253" s="1">
        <v>0</v>
      </c>
      <c r="BH253" s="1">
        <v>0</v>
      </c>
      <c r="BI253" s="1">
        <v>0</v>
      </c>
      <c r="BJ253" s="1">
        <v>0</v>
      </c>
      <c r="BK253" s="1">
        <v>0</v>
      </c>
      <c r="BL253" s="1">
        <v>0</v>
      </c>
      <c r="BM253" s="1">
        <v>0</v>
      </c>
      <c r="BN253" s="1">
        <v>0</v>
      </c>
      <c r="BO253" s="1">
        <v>0</v>
      </c>
      <c r="BP253" s="1">
        <v>0</v>
      </c>
      <c r="BQ253" s="1">
        <v>0</v>
      </c>
      <c r="BR253" s="1">
        <v>0</v>
      </c>
      <c r="BS253" s="1">
        <v>0</v>
      </c>
      <c r="BT253" s="1">
        <v>0</v>
      </c>
      <c r="BU253" s="1">
        <v>5125.13</v>
      </c>
      <c r="BV253" s="1">
        <v>5443.51</v>
      </c>
      <c r="BW253" s="1">
        <v>4888.78</v>
      </c>
      <c r="BX253" s="1">
        <v>4809.92</v>
      </c>
      <c r="BY253" s="1">
        <v>5125.13</v>
      </c>
      <c r="BZ253" s="1">
        <v>5443.51</v>
      </c>
      <c r="CA253" s="1">
        <v>4888.78</v>
      </c>
      <c r="CB253" s="1">
        <v>4809.92</v>
      </c>
      <c r="CC253" s="1">
        <v>0</v>
      </c>
      <c r="CD253" s="1">
        <v>0</v>
      </c>
      <c r="CE253" s="1">
        <v>0</v>
      </c>
      <c r="CF253" s="1">
        <v>0</v>
      </c>
      <c r="CG253" s="1">
        <v>0</v>
      </c>
      <c r="CH253" s="1">
        <v>0</v>
      </c>
      <c r="CI253" s="1">
        <v>0</v>
      </c>
      <c r="CJ253" s="1">
        <v>0</v>
      </c>
      <c r="CK253" s="1">
        <v>0</v>
      </c>
      <c r="CL253" s="1">
        <v>0</v>
      </c>
      <c r="CM253" s="1">
        <v>0</v>
      </c>
      <c r="CN253" s="1">
        <v>0</v>
      </c>
      <c r="CO253" s="1">
        <v>0</v>
      </c>
      <c r="CP253" s="1">
        <v>0</v>
      </c>
      <c r="CQ253" s="1">
        <v>0</v>
      </c>
      <c r="CR253" s="1">
        <v>0</v>
      </c>
      <c r="CS253" s="1">
        <v>1973.45</v>
      </c>
      <c r="CT253" s="1">
        <v>1963.63</v>
      </c>
      <c r="CU253" s="1">
        <v>1754.8</v>
      </c>
      <c r="CV253" s="1">
        <v>1847.03</v>
      </c>
      <c r="CW253" s="1">
        <v>1973.45</v>
      </c>
      <c r="CX253" s="1">
        <v>1963.63</v>
      </c>
      <c r="CY253" s="1">
        <v>1754.8</v>
      </c>
      <c r="CZ253" s="1">
        <v>1847.03</v>
      </c>
      <c r="DA253" s="1">
        <v>0</v>
      </c>
      <c r="DB253" s="1">
        <v>0</v>
      </c>
      <c r="DC253" s="1">
        <v>0</v>
      </c>
      <c r="DD253" s="1">
        <v>0</v>
      </c>
      <c r="DE253" s="1">
        <v>0</v>
      </c>
      <c r="DF253" s="1">
        <v>0</v>
      </c>
      <c r="DG253" s="1">
        <v>0</v>
      </c>
      <c r="DH253" s="1">
        <v>0</v>
      </c>
      <c r="DI253" s="1">
        <v>0</v>
      </c>
      <c r="DJ253" s="1">
        <v>0</v>
      </c>
      <c r="DK253" s="1">
        <v>0</v>
      </c>
      <c r="DL253" s="1">
        <v>0</v>
      </c>
      <c r="DM253" s="1">
        <v>4200.6059999999998</v>
      </c>
      <c r="DN253" s="1">
        <v>4644.7</v>
      </c>
      <c r="DO253" s="1">
        <v>4365.5</v>
      </c>
      <c r="DP253" s="1">
        <v>4266.82</v>
      </c>
      <c r="DQ253" s="1">
        <v>4200.6059999999998</v>
      </c>
      <c r="DR253" s="1">
        <v>4644.7</v>
      </c>
      <c r="DS253" s="1">
        <v>4365.5</v>
      </c>
      <c r="DT253" s="1">
        <v>4266.82</v>
      </c>
      <c r="DU253" s="1">
        <v>0</v>
      </c>
      <c r="DV253" s="1">
        <v>0</v>
      </c>
      <c r="DW253" s="1">
        <v>0</v>
      </c>
      <c r="DX253" s="1">
        <v>0</v>
      </c>
      <c r="DY253" s="1">
        <v>0</v>
      </c>
      <c r="DZ253" s="1">
        <v>0</v>
      </c>
      <c r="EA253" s="1">
        <v>0</v>
      </c>
      <c r="EB253" s="1">
        <v>0</v>
      </c>
      <c r="EC253" s="1">
        <v>0</v>
      </c>
      <c r="ED253" s="1">
        <v>0</v>
      </c>
      <c r="EE253" s="1">
        <v>0</v>
      </c>
      <c r="EF253" s="1">
        <v>0</v>
      </c>
      <c r="EG253" s="1">
        <v>0</v>
      </c>
      <c r="EH253" s="1">
        <v>0</v>
      </c>
      <c r="EI253" s="1">
        <v>0</v>
      </c>
      <c r="EJ253" s="1">
        <v>0</v>
      </c>
      <c r="EK253" s="1">
        <v>2310.36</v>
      </c>
      <c r="EL253" s="1">
        <v>1776.55</v>
      </c>
      <c r="EM253" s="1">
        <v>2334.21</v>
      </c>
      <c r="EN253" s="1">
        <v>1758.8</v>
      </c>
      <c r="EO253" s="1">
        <v>2310.36</v>
      </c>
      <c r="EP253" s="1">
        <v>1776.55</v>
      </c>
      <c r="EQ253" s="1">
        <v>2334.21</v>
      </c>
      <c r="ER253" s="1">
        <v>1758.8</v>
      </c>
      <c r="ES253" s="1">
        <v>0</v>
      </c>
      <c r="ET253" s="1">
        <v>0</v>
      </c>
      <c r="EU253" s="1">
        <v>0</v>
      </c>
      <c r="EV253" s="1">
        <v>0</v>
      </c>
      <c r="EW253" s="1">
        <v>0</v>
      </c>
      <c r="EX253" s="1">
        <v>0</v>
      </c>
      <c r="EY253" s="1">
        <v>0</v>
      </c>
      <c r="EZ253" s="1">
        <v>0</v>
      </c>
      <c r="FA253" s="1">
        <v>0</v>
      </c>
      <c r="FB253" s="1">
        <v>0</v>
      </c>
      <c r="FC253" s="1">
        <v>0</v>
      </c>
      <c r="FD253" s="1">
        <v>0</v>
      </c>
      <c r="FE253" s="1">
        <v>113.733</v>
      </c>
      <c r="FF253" s="1">
        <v>192.85</v>
      </c>
      <c r="FG253" s="1">
        <v>189.24</v>
      </c>
      <c r="FH253" s="1">
        <v>151.79</v>
      </c>
      <c r="FI253" s="1">
        <v>113.733</v>
      </c>
      <c r="FJ253" s="1">
        <v>192.85</v>
      </c>
      <c r="FK253" s="1">
        <v>189.24</v>
      </c>
      <c r="FL253" s="1">
        <v>151.79</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v>0</v>
      </c>
      <c r="GC253" s="1">
        <v>217.12</v>
      </c>
      <c r="GD253" s="1">
        <v>421.3</v>
      </c>
      <c r="GE253" s="1">
        <v>1504.98</v>
      </c>
      <c r="GF253" s="1">
        <v>147.25</v>
      </c>
      <c r="GG253" s="1">
        <v>217.12</v>
      </c>
      <c r="GH253" s="1">
        <v>421.3</v>
      </c>
      <c r="GI253" s="1">
        <v>1504.98</v>
      </c>
      <c r="GJ253" s="1">
        <v>147.25</v>
      </c>
      <c r="GK253" s="1">
        <v>0</v>
      </c>
      <c r="GL253" s="1">
        <v>0</v>
      </c>
      <c r="GM253" s="1">
        <v>0</v>
      </c>
      <c r="GN253" s="1">
        <v>0</v>
      </c>
      <c r="GO253" s="1">
        <v>0</v>
      </c>
      <c r="GP253" s="1">
        <v>0</v>
      </c>
      <c r="GQ253" s="1">
        <v>0</v>
      </c>
      <c r="GR253" s="1">
        <v>0</v>
      </c>
      <c r="GS253" s="1">
        <v>0</v>
      </c>
      <c r="GT253" s="1">
        <v>0</v>
      </c>
      <c r="GU253" s="1">
        <v>0</v>
      </c>
      <c r="GV253" s="1">
        <v>0</v>
      </c>
      <c r="GW253" s="1">
        <v>0</v>
      </c>
      <c r="GX253" s="1">
        <v>0</v>
      </c>
      <c r="GY253" s="1">
        <v>0</v>
      </c>
      <c r="GZ253" s="1">
        <v>0</v>
      </c>
      <c r="HA253" s="1">
        <v>0</v>
      </c>
      <c r="HB253" s="1">
        <v>0</v>
      </c>
      <c r="HC253" s="1">
        <v>0</v>
      </c>
      <c r="HD253" s="1">
        <v>0</v>
      </c>
      <c r="HE253" s="1">
        <v>0</v>
      </c>
      <c r="HF253" s="1">
        <v>0</v>
      </c>
      <c r="HG253" s="1">
        <v>15.4</v>
      </c>
      <c r="HH253" s="1">
        <v>0</v>
      </c>
      <c r="HI253" s="1">
        <v>0</v>
      </c>
      <c r="HJ253" s="1">
        <v>0</v>
      </c>
      <c r="HK253" s="1">
        <v>15.4</v>
      </c>
      <c r="HL253" s="1">
        <v>0</v>
      </c>
      <c r="HM253" s="1">
        <v>0</v>
      </c>
      <c r="HN253" s="1">
        <v>0</v>
      </c>
      <c r="HO253" s="1">
        <v>0</v>
      </c>
      <c r="HP253" s="1">
        <v>0</v>
      </c>
      <c r="HQ253" s="1">
        <v>0</v>
      </c>
      <c r="HR253" s="1">
        <v>0</v>
      </c>
      <c r="HS253" s="1">
        <v>0</v>
      </c>
      <c r="HT253" s="1">
        <v>0</v>
      </c>
      <c r="HU253" s="1">
        <v>0</v>
      </c>
      <c r="HV253" s="1">
        <v>0</v>
      </c>
      <c r="HW253" s="1">
        <v>0</v>
      </c>
      <c r="HX253" s="1">
        <v>0</v>
      </c>
      <c r="HY253" s="1">
        <v>0</v>
      </c>
      <c r="HZ253" s="1">
        <v>0</v>
      </c>
      <c r="IA253" s="1">
        <v>0</v>
      </c>
      <c r="IB253" s="1">
        <v>0</v>
      </c>
      <c r="IC253" s="1">
        <v>0</v>
      </c>
      <c r="ID253" s="1">
        <v>0</v>
      </c>
      <c r="IE253" s="1">
        <v>0</v>
      </c>
      <c r="IF253" s="1">
        <v>0</v>
      </c>
      <c r="IG253" s="1">
        <v>0</v>
      </c>
      <c r="IH253" s="1">
        <v>0</v>
      </c>
      <c r="II253" s="1">
        <v>0</v>
      </c>
      <c r="IJ253" s="1">
        <v>0</v>
      </c>
      <c r="IK253" s="1">
        <v>0</v>
      </c>
      <c r="IL253" s="1">
        <v>0</v>
      </c>
      <c r="IM253" s="1">
        <v>0</v>
      </c>
      <c r="IN253" s="1">
        <v>0</v>
      </c>
      <c r="IO253" s="1">
        <v>501.23</v>
      </c>
      <c r="IP253" s="1">
        <v>556.88</v>
      </c>
      <c r="IQ253" s="1">
        <v>721.56</v>
      </c>
      <c r="IR253" s="1">
        <v>715.72</v>
      </c>
      <c r="IS253" s="1">
        <v>501.23</v>
      </c>
      <c r="IT253" s="1">
        <v>556.88</v>
      </c>
      <c r="IU253" s="1">
        <v>721.56</v>
      </c>
      <c r="IV253" s="1">
        <v>715.72</v>
      </c>
      <c r="IW253" s="1">
        <v>0</v>
      </c>
      <c r="IX253" s="1">
        <v>0</v>
      </c>
      <c r="IY253" s="1">
        <v>0</v>
      </c>
      <c r="IZ253" s="1">
        <v>0</v>
      </c>
      <c r="JA253" s="1">
        <v>0</v>
      </c>
      <c r="JB253" s="1">
        <v>0</v>
      </c>
      <c r="JC253" s="1">
        <v>0</v>
      </c>
      <c r="JD253" s="1">
        <v>0</v>
      </c>
      <c r="JE253" s="1">
        <v>0</v>
      </c>
      <c r="JF253" s="1">
        <v>0</v>
      </c>
      <c r="JG253" s="1">
        <v>0</v>
      </c>
      <c r="JH253" s="1">
        <v>0</v>
      </c>
      <c r="JI253" s="1">
        <v>0</v>
      </c>
      <c r="JJ253" s="1">
        <v>0</v>
      </c>
      <c r="JK253" s="1">
        <v>0</v>
      </c>
      <c r="JL253" s="1">
        <v>0</v>
      </c>
      <c r="JM253" s="1">
        <v>0</v>
      </c>
      <c r="JN253" s="1">
        <v>0</v>
      </c>
      <c r="JO253" s="1">
        <v>0</v>
      </c>
      <c r="JP253" s="1">
        <v>0</v>
      </c>
      <c r="JQ253" s="9"/>
      <c r="JR253" s="1">
        <f t="shared" si="48"/>
        <v>2324.9997000000003</v>
      </c>
      <c r="JS253" s="1">
        <f t="shared" si="48"/>
        <v>2291.4846000000002</v>
      </c>
      <c r="JT253" s="1">
        <f t="shared" si="48"/>
        <v>2419.9505999999997</v>
      </c>
      <c r="JU253" s="1">
        <f t="shared" si="48"/>
        <v>2232.0306</v>
      </c>
      <c r="JV253" s="1">
        <f t="shared" si="49"/>
        <v>430.55550000000005</v>
      </c>
      <c r="JW253" s="1">
        <f t="shared" si="49"/>
        <v>424.34899999999999</v>
      </c>
      <c r="JX253" s="1">
        <f t="shared" si="49"/>
        <v>448.13899999999995</v>
      </c>
      <c r="JY253" s="1">
        <f t="shared" si="49"/>
        <v>413.33899999999994</v>
      </c>
    </row>
    <row r="254" spans="1:285" x14ac:dyDescent="0.35">
      <c r="A254" s="2" t="s">
        <v>261</v>
      </c>
      <c r="B254" s="1">
        <v>93795</v>
      </c>
      <c r="C254" s="1">
        <v>93934</v>
      </c>
      <c r="D254" s="1">
        <v>94231</v>
      </c>
      <c r="E254" s="1">
        <v>95093</v>
      </c>
      <c r="F254" s="1">
        <v>51398.369000000013</v>
      </c>
      <c r="G254" s="1">
        <v>41944.557999999997</v>
      </c>
      <c r="H254" s="1">
        <v>35103.127999999997</v>
      </c>
      <c r="I254" s="1">
        <v>35232.482000000004</v>
      </c>
      <c r="J254" s="1">
        <f t="shared" si="50"/>
        <v>38492.359000000004</v>
      </c>
      <c r="K254" s="1">
        <f t="shared" si="51"/>
        <v>28443.398000000001</v>
      </c>
      <c r="L254" s="1">
        <f t="shared" si="52"/>
        <v>22620.857999999997</v>
      </c>
      <c r="M254" s="1">
        <f t="shared" si="53"/>
        <v>22439.41</v>
      </c>
      <c r="N254" s="1">
        <f t="shared" si="54"/>
        <v>12906.010000000009</v>
      </c>
      <c r="O254" s="1">
        <f t="shared" si="55"/>
        <v>13501.159999999996</v>
      </c>
      <c r="P254" s="1">
        <f t="shared" si="56"/>
        <v>12482.27</v>
      </c>
      <c r="Q254" s="1">
        <f t="shared" si="57"/>
        <v>12793.072000000004</v>
      </c>
      <c r="R254" s="1">
        <v>3064.73</v>
      </c>
      <c r="S254" s="1">
        <v>3246.53</v>
      </c>
      <c r="T254" s="1">
        <v>2805.59</v>
      </c>
      <c r="U254" s="1">
        <v>2753.12</v>
      </c>
      <c r="V254" s="1">
        <v>0</v>
      </c>
      <c r="W254" s="1">
        <v>0</v>
      </c>
      <c r="X254" s="1">
        <v>3064.73</v>
      </c>
      <c r="Y254" s="1">
        <v>0</v>
      </c>
      <c r="Z254" s="1">
        <v>0</v>
      </c>
      <c r="AA254" s="1">
        <v>3246.53</v>
      </c>
      <c r="AB254" s="1">
        <v>0</v>
      </c>
      <c r="AC254" s="1">
        <v>0</v>
      </c>
      <c r="AD254" s="1">
        <v>2805.59</v>
      </c>
      <c r="AE254" s="1">
        <v>0</v>
      </c>
      <c r="AF254" s="1">
        <v>0</v>
      </c>
      <c r="AG254" s="1">
        <v>2753.12</v>
      </c>
      <c r="AH254" s="1">
        <v>0</v>
      </c>
      <c r="AI254" s="1">
        <v>0</v>
      </c>
      <c r="AJ254" s="1">
        <v>0</v>
      </c>
      <c r="AK254" s="1">
        <v>0</v>
      </c>
      <c r="AL254" s="1">
        <v>0</v>
      </c>
      <c r="AM254" s="1">
        <v>0</v>
      </c>
      <c r="AN254" s="1">
        <v>0</v>
      </c>
      <c r="AO254" s="1">
        <v>0</v>
      </c>
      <c r="AP254" s="1">
        <v>7552.8200000000006</v>
      </c>
      <c r="AQ254" s="1">
        <v>8139.880000000001</v>
      </c>
      <c r="AR254" s="1">
        <v>6837.2799999999988</v>
      </c>
      <c r="AS254" s="1">
        <v>7475.78</v>
      </c>
      <c r="AT254" s="1">
        <v>7552.8200000000006</v>
      </c>
      <c r="AU254" s="1">
        <v>0</v>
      </c>
      <c r="AV254" s="1">
        <v>0</v>
      </c>
      <c r="AW254" s="1">
        <v>0</v>
      </c>
      <c r="AX254" s="1">
        <v>8139.880000000001</v>
      </c>
      <c r="AY254" s="1">
        <v>0</v>
      </c>
      <c r="AZ254" s="1">
        <v>0</v>
      </c>
      <c r="BA254" s="1">
        <v>0</v>
      </c>
      <c r="BB254" s="1">
        <v>6837.2799999999988</v>
      </c>
      <c r="BC254" s="1">
        <v>0</v>
      </c>
      <c r="BD254" s="1">
        <v>0</v>
      </c>
      <c r="BE254" s="1">
        <v>7475.78</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14295.71</v>
      </c>
      <c r="BV254" s="1">
        <v>11097.26</v>
      </c>
      <c r="BW254" s="1">
        <v>7152.2010000000009</v>
      </c>
      <c r="BX254" s="1">
        <v>6343.2800000000007</v>
      </c>
      <c r="BY254" s="1">
        <v>14295.71</v>
      </c>
      <c r="BZ254" s="1">
        <v>11097.26</v>
      </c>
      <c r="CA254" s="1">
        <v>7152.2010000000009</v>
      </c>
      <c r="CB254" s="1">
        <v>6343.2800000000007</v>
      </c>
      <c r="CC254" s="1">
        <v>0</v>
      </c>
      <c r="CD254" s="1">
        <v>0</v>
      </c>
      <c r="CE254" s="1">
        <v>0</v>
      </c>
      <c r="CF254" s="1">
        <v>0</v>
      </c>
      <c r="CG254" s="1">
        <v>0</v>
      </c>
      <c r="CH254" s="1">
        <v>0</v>
      </c>
      <c r="CI254" s="1">
        <v>0</v>
      </c>
      <c r="CJ254" s="1">
        <v>0</v>
      </c>
      <c r="CK254" s="1">
        <v>0</v>
      </c>
      <c r="CL254" s="1">
        <v>0</v>
      </c>
      <c r="CM254" s="1">
        <v>0</v>
      </c>
      <c r="CN254" s="1">
        <v>0</v>
      </c>
      <c r="CO254" s="1">
        <v>0</v>
      </c>
      <c r="CP254" s="1">
        <v>0</v>
      </c>
      <c r="CQ254" s="1">
        <v>0</v>
      </c>
      <c r="CR254" s="1">
        <v>0</v>
      </c>
      <c r="CS254" s="1">
        <v>10133.959999999999</v>
      </c>
      <c r="CT254" s="1">
        <v>2664.16</v>
      </c>
      <c r="CU254" s="1">
        <v>2701.0340000000001</v>
      </c>
      <c r="CV254" s="1">
        <v>2596.748</v>
      </c>
      <c r="CW254" s="1">
        <v>10133.959999999999</v>
      </c>
      <c r="CX254" s="1">
        <v>2664.16</v>
      </c>
      <c r="CY254" s="1">
        <v>2701.0340000000001</v>
      </c>
      <c r="CZ254" s="1">
        <v>2596.748</v>
      </c>
      <c r="DA254" s="1">
        <v>0</v>
      </c>
      <c r="DB254" s="1">
        <v>0</v>
      </c>
      <c r="DC254" s="1">
        <v>0</v>
      </c>
      <c r="DD254" s="1">
        <v>0</v>
      </c>
      <c r="DE254" s="1">
        <v>0</v>
      </c>
      <c r="DF254" s="1">
        <v>0</v>
      </c>
      <c r="DG254" s="1">
        <v>0</v>
      </c>
      <c r="DH254" s="1">
        <v>0</v>
      </c>
      <c r="DI254" s="1">
        <v>0</v>
      </c>
      <c r="DJ254" s="1">
        <v>0</v>
      </c>
      <c r="DK254" s="1">
        <v>0</v>
      </c>
      <c r="DL254" s="1">
        <v>0</v>
      </c>
      <c r="DM254" s="1">
        <v>2540.11</v>
      </c>
      <c r="DN254" s="1">
        <v>2395.5700000000002</v>
      </c>
      <c r="DO254" s="1">
        <v>2362.87</v>
      </c>
      <c r="DP254" s="1">
        <v>2437.6819999999998</v>
      </c>
      <c r="DQ254" s="1">
        <v>2540.11</v>
      </c>
      <c r="DR254" s="1">
        <v>2395.5700000000002</v>
      </c>
      <c r="DS254" s="1">
        <v>2362.87</v>
      </c>
      <c r="DT254" s="1">
        <v>2437.6819999999998</v>
      </c>
      <c r="DU254" s="1">
        <v>0</v>
      </c>
      <c r="DV254" s="1">
        <v>0</v>
      </c>
      <c r="DW254" s="1">
        <v>0</v>
      </c>
      <c r="DX254" s="1">
        <v>0</v>
      </c>
      <c r="DY254" s="1">
        <v>0</v>
      </c>
      <c r="DZ254" s="1">
        <v>0</v>
      </c>
      <c r="EA254" s="1">
        <v>0</v>
      </c>
      <c r="EB254" s="1">
        <v>0</v>
      </c>
      <c r="EC254" s="1">
        <v>0</v>
      </c>
      <c r="ED254" s="1">
        <v>0</v>
      </c>
      <c r="EE254" s="1">
        <v>0</v>
      </c>
      <c r="EF254" s="1">
        <v>0</v>
      </c>
      <c r="EG254" s="1">
        <v>0</v>
      </c>
      <c r="EH254" s="1">
        <v>0</v>
      </c>
      <c r="EI254" s="1">
        <v>0</v>
      </c>
      <c r="EJ254" s="1">
        <v>0</v>
      </c>
      <c r="EK254" s="1">
        <v>441.78</v>
      </c>
      <c r="EL254" s="1">
        <v>545.17000000000007</v>
      </c>
      <c r="EM254" s="1">
        <v>489.29899999999998</v>
      </c>
      <c r="EN254" s="1">
        <v>479.23399999999998</v>
      </c>
      <c r="EO254" s="1">
        <v>441.78</v>
      </c>
      <c r="EP254" s="1">
        <v>545.17000000000007</v>
      </c>
      <c r="EQ254" s="1">
        <v>489.29899999999998</v>
      </c>
      <c r="ER254" s="1">
        <v>479.23399999999998</v>
      </c>
      <c r="ES254" s="1">
        <v>0</v>
      </c>
      <c r="ET254" s="1">
        <v>0</v>
      </c>
      <c r="EU254" s="1">
        <v>0</v>
      </c>
      <c r="EV254" s="1">
        <v>0</v>
      </c>
      <c r="EW254" s="1">
        <v>0</v>
      </c>
      <c r="EX254" s="1">
        <v>0</v>
      </c>
      <c r="EY254" s="1">
        <v>0</v>
      </c>
      <c r="EZ254" s="1">
        <v>0</v>
      </c>
      <c r="FA254" s="1">
        <v>0</v>
      </c>
      <c r="FB254" s="1">
        <v>0</v>
      </c>
      <c r="FC254" s="1">
        <v>0</v>
      </c>
      <c r="FD254" s="1">
        <v>0</v>
      </c>
      <c r="FE254" s="1">
        <v>34.479999999999997</v>
      </c>
      <c r="FF254" s="1">
        <v>52.444000000000003</v>
      </c>
      <c r="FG254" s="1">
        <v>44.941000000000003</v>
      </c>
      <c r="FH254" s="1">
        <v>43.034999999999997</v>
      </c>
      <c r="FI254" s="1">
        <v>16.55</v>
      </c>
      <c r="FJ254" s="1">
        <v>16.632999999999999</v>
      </c>
      <c r="FK254" s="1">
        <v>12.721</v>
      </c>
      <c r="FL254" s="1">
        <v>3.8769999999999998</v>
      </c>
      <c r="FM254" s="1">
        <v>17.93</v>
      </c>
      <c r="FN254" s="1">
        <v>35.811000000000007</v>
      </c>
      <c r="FO254" s="1">
        <v>32.22</v>
      </c>
      <c r="FP254" s="1">
        <v>39.158000000000001</v>
      </c>
      <c r="FQ254" s="1">
        <v>0</v>
      </c>
      <c r="FR254" s="1">
        <v>0</v>
      </c>
      <c r="FS254" s="1">
        <v>0</v>
      </c>
      <c r="FT254" s="1">
        <v>0</v>
      </c>
      <c r="FU254" s="1">
        <v>0</v>
      </c>
      <c r="FV254" s="1">
        <v>0</v>
      </c>
      <c r="FW254" s="1">
        <v>0</v>
      </c>
      <c r="FX254" s="1">
        <v>0</v>
      </c>
      <c r="FY254" s="1">
        <v>0</v>
      </c>
      <c r="FZ254" s="1">
        <v>0</v>
      </c>
      <c r="GA254" s="1">
        <v>0</v>
      </c>
      <c r="GB254" s="1">
        <v>0</v>
      </c>
      <c r="GC254" s="1">
        <v>26.798999999999999</v>
      </c>
      <c r="GD254" s="1">
        <v>22.184000000000001</v>
      </c>
      <c r="GE254" s="1">
        <v>23.222999999999999</v>
      </c>
      <c r="GF254" s="1">
        <v>14.051</v>
      </c>
      <c r="GG254" s="1">
        <v>26.798999999999999</v>
      </c>
      <c r="GH254" s="1">
        <v>22.184000000000001</v>
      </c>
      <c r="GI254" s="1">
        <v>23.222999999999999</v>
      </c>
      <c r="GJ254" s="1">
        <v>14.051</v>
      </c>
      <c r="GK254" s="1">
        <v>0</v>
      </c>
      <c r="GL254" s="1">
        <v>0</v>
      </c>
      <c r="GM254" s="1">
        <v>0</v>
      </c>
      <c r="GN254" s="1">
        <v>0</v>
      </c>
      <c r="GO254" s="1">
        <v>0</v>
      </c>
      <c r="GP254" s="1">
        <v>0</v>
      </c>
      <c r="GQ254" s="1">
        <v>0</v>
      </c>
      <c r="GR254" s="1">
        <v>0</v>
      </c>
      <c r="GS254" s="1">
        <v>0</v>
      </c>
      <c r="GT254" s="1">
        <v>0</v>
      </c>
      <c r="GU254" s="1">
        <v>0</v>
      </c>
      <c r="GV254" s="1">
        <v>0</v>
      </c>
      <c r="GW254" s="1">
        <v>0</v>
      </c>
      <c r="GX254" s="1">
        <v>0</v>
      </c>
      <c r="GY254" s="1">
        <v>0</v>
      </c>
      <c r="GZ254" s="1">
        <v>0</v>
      </c>
      <c r="HA254" s="1">
        <v>0</v>
      </c>
      <c r="HB254" s="1">
        <v>0</v>
      </c>
      <c r="HC254" s="1">
        <v>0</v>
      </c>
      <c r="HD254" s="1">
        <v>0</v>
      </c>
      <c r="HE254" s="1">
        <v>0</v>
      </c>
      <c r="HF254" s="1">
        <v>0</v>
      </c>
      <c r="HG254" s="1">
        <v>0</v>
      </c>
      <c r="HH254" s="1">
        <v>0</v>
      </c>
      <c r="HI254" s="1">
        <v>0</v>
      </c>
      <c r="HJ254" s="1">
        <v>0</v>
      </c>
      <c r="HK254" s="1">
        <v>0</v>
      </c>
      <c r="HL254" s="1">
        <v>0</v>
      </c>
      <c r="HM254" s="1">
        <v>0</v>
      </c>
      <c r="HN254" s="1">
        <v>0</v>
      </c>
      <c r="HO254" s="1">
        <v>0</v>
      </c>
      <c r="HP254" s="1">
        <v>0</v>
      </c>
      <c r="HQ254" s="1">
        <v>0</v>
      </c>
      <c r="HR254" s="1">
        <v>0</v>
      </c>
      <c r="HS254" s="1">
        <v>0</v>
      </c>
      <c r="HT254" s="1">
        <v>0</v>
      </c>
      <c r="HU254" s="1">
        <v>0</v>
      </c>
      <c r="HV254" s="1">
        <v>0</v>
      </c>
      <c r="HW254" s="1">
        <v>0</v>
      </c>
      <c r="HX254" s="1">
        <v>0</v>
      </c>
      <c r="HY254" s="1">
        <v>0</v>
      </c>
      <c r="HZ254" s="1">
        <v>0</v>
      </c>
      <c r="IA254" s="1">
        <v>0</v>
      </c>
      <c r="IB254" s="1">
        <v>0</v>
      </c>
      <c r="IC254" s="1">
        <v>0</v>
      </c>
      <c r="ID254" s="1">
        <v>0</v>
      </c>
      <c r="IE254" s="1">
        <v>0</v>
      </c>
      <c r="IF254" s="1">
        <v>0</v>
      </c>
      <c r="IG254" s="1">
        <v>0</v>
      </c>
      <c r="IH254" s="1">
        <v>0</v>
      </c>
      <c r="II254" s="1">
        <v>0</v>
      </c>
      <c r="IJ254" s="1">
        <v>0</v>
      </c>
      <c r="IK254" s="1">
        <v>0</v>
      </c>
      <c r="IL254" s="1">
        <v>0</v>
      </c>
      <c r="IM254" s="1">
        <v>0</v>
      </c>
      <c r="IN254" s="1">
        <v>0</v>
      </c>
      <c r="IO254" s="1">
        <v>401.97</v>
      </c>
      <c r="IP254" s="1">
        <v>280.2</v>
      </c>
      <c r="IQ254" s="1">
        <v>204.42</v>
      </c>
      <c r="IR254" s="1">
        <v>296.48</v>
      </c>
      <c r="IS254" s="1">
        <v>401.97</v>
      </c>
      <c r="IT254" s="1">
        <v>280.2</v>
      </c>
      <c r="IU254" s="1">
        <v>204.42</v>
      </c>
      <c r="IV254" s="1">
        <v>296.48</v>
      </c>
      <c r="IW254" s="1">
        <v>0</v>
      </c>
      <c r="IX254" s="1">
        <v>0</v>
      </c>
      <c r="IY254" s="1">
        <v>0</v>
      </c>
      <c r="IZ254" s="1">
        <v>0</v>
      </c>
      <c r="JA254" s="1">
        <v>0</v>
      </c>
      <c r="JB254" s="1">
        <v>0</v>
      </c>
      <c r="JC254" s="1">
        <v>0</v>
      </c>
      <c r="JD254" s="1">
        <v>0</v>
      </c>
      <c r="JE254" s="1">
        <v>0</v>
      </c>
      <c r="JF254" s="1">
        <v>0</v>
      </c>
      <c r="JG254" s="1">
        <v>0</v>
      </c>
      <c r="JH254" s="1">
        <v>0</v>
      </c>
      <c r="JI254" s="1">
        <v>0</v>
      </c>
      <c r="JJ254" s="1">
        <v>0</v>
      </c>
      <c r="JK254" s="1">
        <v>0</v>
      </c>
      <c r="JL254" s="1">
        <v>0</v>
      </c>
      <c r="JM254" s="1">
        <v>0</v>
      </c>
      <c r="JN254" s="1">
        <v>0</v>
      </c>
      <c r="JO254" s="1">
        <v>0</v>
      </c>
      <c r="JP254" s="1">
        <v>0</v>
      </c>
      <c r="JQ254" s="9"/>
      <c r="JR254" s="1">
        <f t="shared" si="48"/>
        <v>3484.6227000000026</v>
      </c>
      <c r="JS254" s="1">
        <f t="shared" si="48"/>
        <v>3645.3131999999991</v>
      </c>
      <c r="JT254" s="1">
        <f t="shared" si="48"/>
        <v>3370.2129000000004</v>
      </c>
      <c r="JU254" s="1">
        <f t="shared" si="48"/>
        <v>3454.1294400000011</v>
      </c>
      <c r="JV254" s="1">
        <f t="shared" si="49"/>
        <v>645.30050000000051</v>
      </c>
      <c r="JW254" s="1">
        <f t="shared" si="49"/>
        <v>675.05799999999988</v>
      </c>
      <c r="JX254" s="1">
        <f t="shared" si="49"/>
        <v>624.11350000000004</v>
      </c>
      <c r="JY254" s="1">
        <f t="shared" si="49"/>
        <v>639.65360000000021</v>
      </c>
    </row>
    <row r="255" spans="1:285" x14ac:dyDescent="0.35">
      <c r="A255" s="2" t="s">
        <v>262</v>
      </c>
      <c r="B255" s="1">
        <v>175803</v>
      </c>
      <c r="C255" s="1">
        <v>175933</v>
      </c>
      <c r="D255" s="1">
        <v>176778</v>
      </c>
      <c r="E255" s="1">
        <v>179280</v>
      </c>
      <c r="F255" s="1">
        <v>245079.639</v>
      </c>
      <c r="G255" s="1">
        <v>171601.193</v>
      </c>
      <c r="H255" s="1">
        <v>158350.67199999999</v>
      </c>
      <c r="I255" s="1">
        <v>223317.152</v>
      </c>
      <c r="J255" s="1">
        <f t="shared" si="50"/>
        <v>109630.09699999999</v>
      </c>
      <c r="K255" s="1">
        <f t="shared" si="51"/>
        <v>35930.618999999999</v>
      </c>
      <c r="L255" s="1">
        <f t="shared" si="52"/>
        <v>27591.19</v>
      </c>
      <c r="M255" s="1">
        <f t="shared" si="53"/>
        <v>92823.304999999993</v>
      </c>
      <c r="N255" s="1">
        <f t="shared" si="54"/>
        <v>135449.54200000002</v>
      </c>
      <c r="O255" s="1">
        <f t="shared" si="55"/>
        <v>135670.57399999999</v>
      </c>
      <c r="P255" s="1">
        <f t="shared" si="56"/>
        <v>130759.48199999999</v>
      </c>
      <c r="Q255" s="1">
        <f t="shared" si="57"/>
        <v>130493.84700000001</v>
      </c>
      <c r="R255" s="1">
        <v>0</v>
      </c>
      <c r="S255" s="1">
        <v>0</v>
      </c>
      <c r="T255" s="1">
        <v>0</v>
      </c>
      <c r="U255" s="1">
        <v>114.68</v>
      </c>
      <c r="V255" s="1">
        <v>0</v>
      </c>
      <c r="W255" s="1">
        <v>0</v>
      </c>
      <c r="X255" s="1">
        <v>0</v>
      </c>
      <c r="Y255" s="1">
        <v>0</v>
      </c>
      <c r="Z255" s="1">
        <v>0</v>
      </c>
      <c r="AA255" s="1">
        <v>0</v>
      </c>
      <c r="AB255" s="1">
        <v>0</v>
      </c>
      <c r="AC255" s="1">
        <v>0</v>
      </c>
      <c r="AD255" s="1">
        <v>0</v>
      </c>
      <c r="AE255" s="1">
        <v>114.68</v>
      </c>
      <c r="AF255" s="1">
        <v>0</v>
      </c>
      <c r="AG255" s="1">
        <v>0</v>
      </c>
      <c r="AH255" s="1">
        <v>0</v>
      </c>
      <c r="AI255" s="1">
        <v>0</v>
      </c>
      <c r="AJ255" s="1">
        <v>0</v>
      </c>
      <c r="AK255" s="1">
        <v>0</v>
      </c>
      <c r="AL255" s="1">
        <v>0</v>
      </c>
      <c r="AM255" s="1">
        <v>0</v>
      </c>
      <c r="AN255" s="1">
        <v>0</v>
      </c>
      <c r="AO255" s="1">
        <v>0</v>
      </c>
      <c r="AP255" s="1">
        <v>9304.2199999999993</v>
      </c>
      <c r="AQ255" s="1">
        <v>7878.56</v>
      </c>
      <c r="AR255" s="1">
        <v>6978.3200000000006</v>
      </c>
      <c r="AS255" s="1">
        <v>6652.26</v>
      </c>
      <c r="AT255" s="1">
        <v>8913.56</v>
      </c>
      <c r="AU255" s="1">
        <v>390.65999999999985</v>
      </c>
      <c r="AV255" s="1">
        <v>0</v>
      </c>
      <c r="AW255" s="1">
        <v>0</v>
      </c>
      <c r="AX255" s="1">
        <v>7368.08</v>
      </c>
      <c r="AY255" s="1">
        <v>510.48000000000047</v>
      </c>
      <c r="AZ255" s="1">
        <v>0</v>
      </c>
      <c r="BA255" s="1">
        <v>0</v>
      </c>
      <c r="BB255" s="1">
        <v>6591.28</v>
      </c>
      <c r="BC255" s="1">
        <v>387.04000000000087</v>
      </c>
      <c r="BD255" s="1">
        <v>0</v>
      </c>
      <c r="BE255" s="1">
        <v>2983.12</v>
      </c>
      <c r="BF255" s="1">
        <v>3669.1400000000003</v>
      </c>
      <c r="BG255" s="1">
        <v>0</v>
      </c>
      <c r="BH255" s="1">
        <v>0</v>
      </c>
      <c r="BI255" s="1">
        <v>0</v>
      </c>
      <c r="BJ255" s="1">
        <v>0</v>
      </c>
      <c r="BK255" s="1">
        <v>0</v>
      </c>
      <c r="BL255" s="1">
        <v>0</v>
      </c>
      <c r="BM255" s="1">
        <v>0</v>
      </c>
      <c r="BN255" s="1">
        <v>0</v>
      </c>
      <c r="BO255" s="1">
        <v>0</v>
      </c>
      <c r="BP255" s="1">
        <v>0</v>
      </c>
      <c r="BQ255" s="1">
        <v>0</v>
      </c>
      <c r="BR255" s="1">
        <v>0</v>
      </c>
      <c r="BS255" s="1">
        <v>0</v>
      </c>
      <c r="BT255" s="1">
        <v>0</v>
      </c>
      <c r="BU255" s="1">
        <v>21084.26</v>
      </c>
      <c r="BV255" s="1">
        <v>10015.120000000001</v>
      </c>
      <c r="BW255" s="1">
        <v>6034.91</v>
      </c>
      <c r="BX255" s="1">
        <v>18013.609</v>
      </c>
      <c r="BY255" s="1">
        <v>21084.26</v>
      </c>
      <c r="BZ255" s="1">
        <v>10015.120000000001</v>
      </c>
      <c r="CA255" s="1">
        <v>6034.91</v>
      </c>
      <c r="CB255" s="1">
        <v>18013.609</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36632.156999999999</v>
      </c>
      <c r="CT255" s="1">
        <v>8480.52</v>
      </c>
      <c r="CU255" s="1">
        <v>2571.04</v>
      </c>
      <c r="CV255" s="1">
        <v>30507.47</v>
      </c>
      <c r="CW255" s="1">
        <v>36632.156999999999</v>
      </c>
      <c r="CX255" s="1">
        <v>8480.52</v>
      </c>
      <c r="CY255" s="1">
        <v>2571.04</v>
      </c>
      <c r="CZ255" s="1">
        <v>30507.47</v>
      </c>
      <c r="DA255" s="1">
        <v>0</v>
      </c>
      <c r="DB255" s="1">
        <v>0</v>
      </c>
      <c r="DC255" s="1">
        <v>0</v>
      </c>
      <c r="DD255" s="1">
        <v>0</v>
      </c>
      <c r="DE255" s="1">
        <v>0</v>
      </c>
      <c r="DF255" s="1">
        <v>0</v>
      </c>
      <c r="DG255" s="1">
        <v>0</v>
      </c>
      <c r="DH255" s="1">
        <v>0</v>
      </c>
      <c r="DI255" s="1">
        <v>0</v>
      </c>
      <c r="DJ255" s="1">
        <v>0</v>
      </c>
      <c r="DK255" s="1">
        <v>0</v>
      </c>
      <c r="DL255" s="1">
        <v>0</v>
      </c>
      <c r="DM255" s="1">
        <v>8838.7609999999986</v>
      </c>
      <c r="DN255" s="1">
        <v>3275.05</v>
      </c>
      <c r="DO255" s="1">
        <v>3805.1</v>
      </c>
      <c r="DP255" s="1">
        <v>7965.3040000000001</v>
      </c>
      <c r="DQ255" s="1">
        <v>8838.7609999999986</v>
      </c>
      <c r="DR255" s="1">
        <v>3275.05</v>
      </c>
      <c r="DS255" s="1">
        <v>3805.1</v>
      </c>
      <c r="DT255" s="1">
        <v>7965.3040000000001</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19421.258000000002</v>
      </c>
      <c r="EL255" s="1">
        <v>2668.46</v>
      </c>
      <c r="EM255" s="1">
        <v>2668.37</v>
      </c>
      <c r="EN255" s="1">
        <v>16689.257000000001</v>
      </c>
      <c r="EO255" s="1">
        <v>19421.258000000002</v>
      </c>
      <c r="EP255" s="1">
        <v>2668.46</v>
      </c>
      <c r="EQ255" s="1">
        <v>2657.93</v>
      </c>
      <c r="ER255" s="1">
        <v>16689.257000000001</v>
      </c>
      <c r="ES255" s="1">
        <v>0</v>
      </c>
      <c r="ET255" s="1">
        <v>0</v>
      </c>
      <c r="EU255" s="1">
        <v>10.44</v>
      </c>
      <c r="EV255" s="1">
        <v>0</v>
      </c>
      <c r="EW255" s="1">
        <v>0</v>
      </c>
      <c r="EX255" s="1">
        <v>0</v>
      </c>
      <c r="EY255" s="1">
        <v>0</v>
      </c>
      <c r="EZ255" s="1">
        <v>0</v>
      </c>
      <c r="FA255" s="1">
        <v>0</v>
      </c>
      <c r="FB255" s="1">
        <v>0</v>
      </c>
      <c r="FC255" s="1">
        <v>0</v>
      </c>
      <c r="FD255" s="1">
        <v>0</v>
      </c>
      <c r="FE255" s="1">
        <v>98.47999999999999</v>
      </c>
      <c r="FF255" s="1">
        <v>113.49</v>
      </c>
      <c r="FG255" s="1">
        <v>109.9</v>
      </c>
      <c r="FH255" s="1">
        <v>319.18400000000003</v>
      </c>
      <c r="FI255" s="1">
        <v>65.58</v>
      </c>
      <c r="FJ255" s="1">
        <v>113.49</v>
      </c>
      <c r="FK255" s="1">
        <v>109.9</v>
      </c>
      <c r="FL255" s="1">
        <v>319.18400000000003</v>
      </c>
      <c r="FM255" s="1">
        <v>32.9</v>
      </c>
      <c r="FN255" s="1">
        <v>0</v>
      </c>
      <c r="FO255" s="1">
        <v>0</v>
      </c>
      <c r="FP255" s="1">
        <v>0</v>
      </c>
      <c r="FQ255" s="1">
        <v>0</v>
      </c>
      <c r="FR255" s="1">
        <v>0</v>
      </c>
      <c r="FS255" s="1">
        <v>0</v>
      </c>
      <c r="FT255" s="1">
        <v>0</v>
      </c>
      <c r="FU255" s="1">
        <v>0</v>
      </c>
      <c r="FV255" s="1">
        <v>0</v>
      </c>
      <c r="FW255" s="1">
        <v>0</v>
      </c>
      <c r="FX255" s="1">
        <v>0</v>
      </c>
      <c r="FY255" s="1">
        <v>0</v>
      </c>
      <c r="FZ255" s="1">
        <v>0</v>
      </c>
      <c r="GA255" s="1">
        <v>0</v>
      </c>
      <c r="GB255" s="1">
        <v>0</v>
      </c>
      <c r="GC255" s="1">
        <v>1559.452</v>
      </c>
      <c r="GD255" s="1">
        <v>1836.7429999999999</v>
      </c>
      <c r="GE255" s="1">
        <v>1780.252</v>
      </c>
      <c r="GF255" s="1">
        <v>1938.605</v>
      </c>
      <c r="GG255" s="1">
        <v>1559.452</v>
      </c>
      <c r="GH255" s="1">
        <v>1836.7429999999999</v>
      </c>
      <c r="GI255" s="1">
        <v>1780.252</v>
      </c>
      <c r="GJ255" s="1">
        <v>1938.605</v>
      </c>
      <c r="GK255" s="1">
        <v>0</v>
      </c>
      <c r="GL255" s="1">
        <v>0</v>
      </c>
      <c r="GM255" s="1">
        <v>0</v>
      </c>
      <c r="GN255" s="1">
        <v>0</v>
      </c>
      <c r="GO255" s="1">
        <v>0</v>
      </c>
      <c r="GP255" s="1">
        <v>0</v>
      </c>
      <c r="GQ255" s="1">
        <v>0</v>
      </c>
      <c r="GR255" s="1">
        <v>0</v>
      </c>
      <c r="GS255" s="1">
        <v>0</v>
      </c>
      <c r="GT255" s="1">
        <v>0</v>
      </c>
      <c r="GU255" s="1">
        <v>0</v>
      </c>
      <c r="GV255" s="1">
        <v>0</v>
      </c>
      <c r="GW255" s="1">
        <v>0</v>
      </c>
      <c r="GX255" s="1">
        <v>0</v>
      </c>
      <c r="GY255" s="1">
        <v>0</v>
      </c>
      <c r="GZ255" s="1">
        <v>0</v>
      </c>
      <c r="HA255" s="1">
        <v>0</v>
      </c>
      <c r="HB255" s="1">
        <v>0</v>
      </c>
      <c r="HC255" s="1">
        <v>0</v>
      </c>
      <c r="HD255" s="1">
        <v>0</v>
      </c>
      <c r="HE255" s="1">
        <v>2350.288</v>
      </c>
      <c r="HF255" s="1">
        <v>0</v>
      </c>
      <c r="HG255" s="1">
        <v>12</v>
      </c>
      <c r="HH255" s="1">
        <v>1290</v>
      </c>
      <c r="HI255" s="1">
        <v>2350.288</v>
      </c>
      <c r="HJ255" s="1">
        <v>0</v>
      </c>
      <c r="HK255" s="1">
        <v>7.02</v>
      </c>
      <c r="HL255" s="1">
        <v>1290</v>
      </c>
      <c r="HM255" s="1">
        <v>0</v>
      </c>
      <c r="HN255" s="1">
        <v>0</v>
      </c>
      <c r="HO255" s="1">
        <v>4.9800000000000004</v>
      </c>
      <c r="HP255" s="1">
        <v>0</v>
      </c>
      <c r="HQ255" s="1">
        <v>0</v>
      </c>
      <c r="HR255" s="1">
        <v>0</v>
      </c>
      <c r="HS255" s="1">
        <v>0</v>
      </c>
      <c r="HT255" s="1">
        <v>0</v>
      </c>
      <c r="HU255" s="1">
        <v>0</v>
      </c>
      <c r="HV255" s="1">
        <v>0</v>
      </c>
      <c r="HW255" s="1">
        <v>0</v>
      </c>
      <c r="HX255" s="1">
        <v>0</v>
      </c>
      <c r="HY255" s="1">
        <v>0</v>
      </c>
      <c r="HZ255" s="1">
        <v>0</v>
      </c>
      <c r="IA255" s="1">
        <v>0</v>
      </c>
      <c r="IB255" s="1">
        <v>0</v>
      </c>
      <c r="IC255" s="1">
        <v>0</v>
      </c>
      <c r="ID255" s="1">
        <v>0</v>
      </c>
      <c r="IE255" s="1">
        <v>0</v>
      </c>
      <c r="IF255" s="1">
        <v>0</v>
      </c>
      <c r="IG255" s="1">
        <v>0</v>
      </c>
      <c r="IH255" s="1">
        <v>0</v>
      </c>
      <c r="II255" s="1">
        <v>0</v>
      </c>
      <c r="IJ255" s="1">
        <v>0</v>
      </c>
      <c r="IK255" s="1">
        <v>0</v>
      </c>
      <c r="IL255" s="1">
        <v>0</v>
      </c>
      <c r="IM255" s="1">
        <v>0</v>
      </c>
      <c r="IN255" s="1">
        <v>0</v>
      </c>
      <c r="IO255" s="1">
        <v>10341.221</v>
      </c>
      <c r="IP255" s="1">
        <v>1662.6759999999999</v>
      </c>
      <c r="IQ255" s="1">
        <v>3631.2979999999998</v>
      </c>
      <c r="IR255" s="1">
        <v>9332.9359999999997</v>
      </c>
      <c r="IS255" s="1">
        <v>10341.221</v>
      </c>
      <c r="IT255" s="1">
        <v>1597.046</v>
      </c>
      <c r="IU255" s="1">
        <v>3615.3780000000002</v>
      </c>
      <c r="IV255" s="1">
        <v>9171.2160000000003</v>
      </c>
      <c r="IW255" s="1">
        <v>0</v>
      </c>
      <c r="IX255" s="1">
        <v>65.63</v>
      </c>
      <c r="IY255" s="1">
        <v>15.92</v>
      </c>
      <c r="IZ255" s="1">
        <v>161.72</v>
      </c>
      <c r="JA255" s="1">
        <v>0</v>
      </c>
      <c r="JB255" s="1">
        <v>0</v>
      </c>
      <c r="JC255" s="1">
        <v>0</v>
      </c>
      <c r="JD255" s="1">
        <v>0</v>
      </c>
      <c r="JE255" s="1">
        <v>0</v>
      </c>
      <c r="JF255" s="1">
        <v>0</v>
      </c>
      <c r="JG255" s="1">
        <v>0</v>
      </c>
      <c r="JH255" s="1">
        <v>0</v>
      </c>
      <c r="JI255" s="1">
        <v>0</v>
      </c>
      <c r="JJ255" s="1">
        <v>0</v>
      </c>
      <c r="JK255" s="1">
        <v>0</v>
      </c>
      <c r="JL255" s="1">
        <v>0</v>
      </c>
      <c r="JM255" s="1">
        <v>0</v>
      </c>
      <c r="JN255" s="1">
        <v>0</v>
      </c>
      <c r="JO255" s="1">
        <v>0</v>
      </c>
      <c r="JP255" s="1">
        <v>0</v>
      </c>
      <c r="JQ255" s="9"/>
      <c r="JR255" s="1">
        <f t="shared" si="48"/>
        <v>36571.37634000001</v>
      </c>
      <c r="JS255" s="1">
        <f t="shared" si="48"/>
        <v>36631.054980000001</v>
      </c>
      <c r="JT255" s="1">
        <f t="shared" si="48"/>
        <v>35305.060140000001</v>
      </c>
      <c r="JU255" s="1">
        <f t="shared" si="48"/>
        <v>35233.338690000004</v>
      </c>
      <c r="JV255" s="1">
        <f t="shared" si="49"/>
        <v>6772.477100000001</v>
      </c>
      <c r="JW255" s="1">
        <f t="shared" si="49"/>
        <v>6783.5286999999998</v>
      </c>
      <c r="JX255" s="1">
        <f t="shared" si="49"/>
        <v>6537.9740999999995</v>
      </c>
      <c r="JY255" s="1">
        <f t="shared" si="49"/>
        <v>6524.6923500000012</v>
      </c>
    </row>
    <row r="256" spans="1:285" x14ac:dyDescent="0.35">
      <c r="A256" s="2" t="s">
        <v>263</v>
      </c>
      <c r="B256" s="1">
        <v>131791</v>
      </c>
      <c r="C256" s="1">
        <v>132363</v>
      </c>
      <c r="D256" s="1">
        <v>133655</v>
      </c>
      <c r="E256" s="1">
        <v>135432</v>
      </c>
      <c r="F256" s="1">
        <v>171457.61</v>
      </c>
      <c r="G256" s="1">
        <v>48577.567000000003</v>
      </c>
      <c r="H256" s="1">
        <v>62074.95</v>
      </c>
      <c r="I256" s="1">
        <v>61302.84</v>
      </c>
      <c r="J256" s="1">
        <f t="shared" si="50"/>
        <v>121691.14</v>
      </c>
      <c r="K256" s="1">
        <f t="shared" si="51"/>
        <v>35109.616999999998</v>
      </c>
      <c r="L256" s="1">
        <f t="shared" si="52"/>
        <v>43764.21</v>
      </c>
      <c r="M256" s="1">
        <f t="shared" si="53"/>
        <v>45987.98</v>
      </c>
      <c r="N256" s="1">
        <f t="shared" si="54"/>
        <v>49766.469999999987</v>
      </c>
      <c r="O256" s="1">
        <f t="shared" si="55"/>
        <v>13467.950000000004</v>
      </c>
      <c r="P256" s="1">
        <f t="shared" si="56"/>
        <v>18310.739999999998</v>
      </c>
      <c r="Q256" s="1">
        <f t="shared" si="57"/>
        <v>15314.859999999993</v>
      </c>
      <c r="R256" s="1">
        <v>5721.3</v>
      </c>
      <c r="S256" s="1">
        <v>3815.81</v>
      </c>
      <c r="T256" s="1">
        <v>2862.82</v>
      </c>
      <c r="U256" s="1">
        <v>3085.39</v>
      </c>
      <c r="V256" s="1">
        <v>5721.3</v>
      </c>
      <c r="W256" s="1">
        <v>0</v>
      </c>
      <c r="X256" s="1">
        <v>0</v>
      </c>
      <c r="Y256" s="1">
        <v>1175.99</v>
      </c>
      <c r="Z256" s="1">
        <v>0</v>
      </c>
      <c r="AA256" s="1">
        <v>2639.8199999999997</v>
      </c>
      <c r="AB256" s="1">
        <v>0</v>
      </c>
      <c r="AC256" s="1">
        <v>0</v>
      </c>
      <c r="AD256" s="1">
        <v>2862.82</v>
      </c>
      <c r="AE256" s="1">
        <v>0</v>
      </c>
      <c r="AF256" s="1">
        <v>0</v>
      </c>
      <c r="AG256" s="1">
        <v>3085.39</v>
      </c>
      <c r="AH256" s="1">
        <v>0</v>
      </c>
      <c r="AI256" s="1">
        <v>0</v>
      </c>
      <c r="AJ256" s="1">
        <v>0</v>
      </c>
      <c r="AK256" s="1">
        <v>0</v>
      </c>
      <c r="AL256" s="1">
        <v>0</v>
      </c>
      <c r="AM256" s="1">
        <v>0</v>
      </c>
      <c r="AN256" s="1">
        <v>0</v>
      </c>
      <c r="AO256" s="1">
        <v>0</v>
      </c>
      <c r="AP256" s="1">
        <v>9512.9500000000007</v>
      </c>
      <c r="AQ256" s="1">
        <v>7211.24</v>
      </c>
      <c r="AR256" s="1">
        <v>9959.67</v>
      </c>
      <c r="AS256" s="1">
        <v>10075.219999999999</v>
      </c>
      <c r="AT256" s="1">
        <v>0</v>
      </c>
      <c r="AU256" s="1">
        <v>0</v>
      </c>
      <c r="AV256" s="1">
        <v>0</v>
      </c>
      <c r="AW256" s="1">
        <v>9512.9500000000007</v>
      </c>
      <c r="AX256" s="1">
        <v>5593.94</v>
      </c>
      <c r="AY256" s="1">
        <v>0</v>
      </c>
      <c r="AZ256" s="1">
        <v>0</v>
      </c>
      <c r="BA256" s="1">
        <v>1617.3</v>
      </c>
      <c r="BB256" s="1">
        <v>9959.67</v>
      </c>
      <c r="BC256" s="1">
        <v>0</v>
      </c>
      <c r="BD256" s="1">
        <v>0</v>
      </c>
      <c r="BE256" s="1">
        <v>10075.219999999999</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14938.08</v>
      </c>
      <c r="BV256" s="1">
        <v>4188.87</v>
      </c>
      <c r="BW256" s="1">
        <v>8037.1900000000014</v>
      </c>
      <c r="BX256" s="1">
        <v>8285.7200000000012</v>
      </c>
      <c r="BY256" s="1">
        <v>14938.08</v>
      </c>
      <c r="BZ256" s="1">
        <v>4188.87</v>
      </c>
      <c r="CA256" s="1">
        <v>8037.1900000000014</v>
      </c>
      <c r="CB256" s="1">
        <v>8285.7200000000012</v>
      </c>
      <c r="CC256" s="1">
        <v>0</v>
      </c>
      <c r="CD256" s="1">
        <v>0</v>
      </c>
      <c r="CE256" s="1">
        <v>0</v>
      </c>
      <c r="CF256" s="1">
        <v>0</v>
      </c>
      <c r="CG256" s="1">
        <v>0</v>
      </c>
      <c r="CH256" s="1">
        <v>0</v>
      </c>
      <c r="CI256" s="1">
        <v>0</v>
      </c>
      <c r="CJ256" s="1">
        <v>0</v>
      </c>
      <c r="CK256" s="1">
        <v>0</v>
      </c>
      <c r="CL256" s="1">
        <v>0</v>
      </c>
      <c r="CM256" s="1">
        <v>0</v>
      </c>
      <c r="CN256" s="1">
        <v>0</v>
      </c>
      <c r="CO256" s="1">
        <v>0</v>
      </c>
      <c r="CP256" s="1">
        <v>0</v>
      </c>
      <c r="CQ256" s="1">
        <v>0</v>
      </c>
      <c r="CR256" s="1">
        <v>0</v>
      </c>
      <c r="CS256" s="1">
        <v>24280.28</v>
      </c>
      <c r="CT256" s="1">
        <v>7236.34</v>
      </c>
      <c r="CU256" s="1">
        <v>6012.81</v>
      </c>
      <c r="CV256" s="1">
        <v>6519.58</v>
      </c>
      <c r="CW256" s="1">
        <v>24280.28</v>
      </c>
      <c r="CX256" s="1">
        <v>7236.34</v>
      </c>
      <c r="CY256" s="1">
        <v>6012.81</v>
      </c>
      <c r="CZ256" s="1">
        <v>6519.58</v>
      </c>
      <c r="DA256" s="1">
        <v>0</v>
      </c>
      <c r="DB256" s="1">
        <v>0</v>
      </c>
      <c r="DC256" s="1">
        <v>0</v>
      </c>
      <c r="DD256" s="1">
        <v>0</v>
      </c>
      <c r="DE256" s="1">
        <v>0</v>
      </c>
      <c r="DF256" s="1">
        <v>0</v>
      </c>
      <c r="DG256" s="1">
        <v>0</v>
      </c>
      <c r="DH256" s="1">
        <v>0</v>
      </c>
      <c r="DI256" s="1">
        <v>0</v>
      </c>
      <c r="DJ256" s="1">
        <v>0</v>
      </c>
      <c r="DK256" s="1">
        <v>0</v>
      </c>
      <c r="DL256" s="1">
        <v>0</v>
      </c>
      <c r="DM256" s="1">
        <v>12981.14</v>
      </c>
      <c r="DN256" s="1">
        <v>6279.21</v>
      </c>
      <c r="DO256" s="1">
        <v>6369.81</v>
      </c>
      <c r="DP256" s="1">
        <v>6906.97</v>
      </c>
      <c r="DQ256" s="1">
        <v>12981.14</v>
      </c>
      <c r="DR256" s="1">
        <v>6279.21</v>
      </c>
      <c r="DS256" s="1">
        <v>6369.81</v>
      </c>
      <c r="DT256" s="1">
        <v>6906.97</v>
      </c>
      <c r="DU256" s="1">
        <v>0</v>
      </c>
      <c r="DV256" s="1">
        <v>0</v>
      </c>
      <c r="DW256" s="1">
        <v>0</v>
      </c>
      <c r="DX256" s="1">
        <v>0</v>
      </c>
      <c r="DY256" s="1">
        <v>0</v>
      </c>
      <c r="DZ256" s="1">
        <v>0</v>
      </c>
      <c r="EA256" s="1">
        <v>0</v>
      </c>
      <c r="EB256" s="1">
        <v>0</v>
      </c>
      <c r="EC256" s="1">
        <v>0</v>
      </c>
      <c r="ED256" s="1">
        <v>0</v>
      </c>
      <c r="EE256" s="1">
        <v>0</v>
      </c>
      <c r="EF256" s="1">
        <v>0</v>
      </c>
      <c r="EG256" s="1">
        <v>0</v>
      </c>
      <c r="EH256" s="1">
        <v>0</v>
      </c>
      <c r="EI256" s="1">
        <v>0</v>
      </c>
      <c r="EJ256" s="1">
        <v>0</v>
      </c>
      <c r="EK256" s="1">
        <v>22546.62</v>
      </c>
      <c r="EL256" s="1">
        <v>6023.9</v>
      </c>
      <c r="EM256" s="1">
        <v>9815.19</v>
      </c>
      <c r="EN256" s="1">
        <v>10462.64</v>
      </c>
      <c r="EO256" s="1">
        <v>22546.62</v>
      </c>
      <c r="EP256" s="1">
        <v>6023.9</v>
      </c>
      <c r="EQ256" s="1">
        <v>9815.19</v>
      </c>
      <c r="ER256" s="1">
        <v>10462.64</v>
      </c>
      <c r="ES256" s="1">
        <v>0</v>
      </c>
      <c r="ET256" s="1">
        <v>0</v>
      </c>
      <c r="EU256" s="1">
        <v>0</v>
      </c>
      <c r="EV256" s="1">
        <v>0</v>
      </c>
      <c r="EW256" s="1">
        <v>0</v>
      </c>
      <c r="EX256" s="1">
        <v>0</v>
      </c>
      <c r="EY256" s="1">
        <v>0</v>
      </c>
      <c r="EZ256" s="1">
        <v>0</v>
      </c>
      <c r="FA256" s="1">
        <v>0</v>
      </c>
      <c r="FB256" s="1">
        <v>0</v>
      </c>
      <c r="FC256" s="1">
        <v>0</v>
      </c>
      <c r="FD256" s="1">
        <v>0</v>
      </c>
      <c r="FE256" s="1">
        <v>7906.5500000000011</v>
      </c>
      <c r="FF256" s="1">
        <v>122.45699999999999</v>
      </c>
      <c r="FG256" s="1">
        <v>104.64</v>
      </c>
      <c r="FH256" s="1">
        <v>89.86</v>
      </c>
      <c r="FI256" s="1">
        <v>7906.5500000000011</v>
      </c>
      <c r="FJ256" s="1">
        <v>122.45699999999999</v>
      </c>
      <c r="FK256" s="1">
        <v>104.64</v>
      </c>
      <c r="FL256" s="1">
        <v>89.86</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v>0</v>
      </c>
      <c r="GC256" s="1">
        <v>9885.68</v>
      </c>
      <c r="GD256" s="1">
        <v>33.22</v>
      </c>
      <c r="GE256" s="1">
        <v>18.34</v>
      </c>
      <c r="GF256" s="1">
        <v>16.78</v>
      </c>
      <c r="GG256" s="1">
        <v>9885.68</v>
      </c>
      <c r="GH256" s="1">
        <v>33.22</v>
      </c>
      <c r="GI256" s="1">
        <v>18.34</v>
      </c>
      <c r="GJ256" s="1">
        <v>16.78</v>
      </c>
      <c r="GK256" s="1">
        <v>0</v>
      </c>
      <c r="GL256" s="1">
        <v>0</v>
      </c>
      <c r="GM256" s="1">
        <v>0</v>
      </c>
      <c r="GN256" s="1">
        <v>0</v>
      </c>
      <c r="GO256" s="1">
        <v>0</v>
      </c>
      <c r="GP256" s="1">
        <v>0</v>
      </c>
      <c r="GQ256" s="1">
        <v>0</v>
      </c>
      <c r="GR256" s="1">
        <v>0</v>
      </c>
      <c r="GS256" s="1">
        <v>0</v>
      </c>
      <c r="GT256" s="1">
        <v>0</v>
      </c>
      <c r="GU256" s="1">
        <v>0</v>
      </c>
      <c r="GV256" s="1">
        <v>0</v>
      </c>
      <c r="GW256" s="1">
        <v>0</v>
      </c>
      <c r="GX256" s="1">
        <v>0</v>
      </c>
      <c r="GY256" s="1">
        <v>0</v>
      </c>
      <c r="GZ256" s="1">
        <v>0</v>
      </c>
      <c r="HA256" s="1">
        <v>0</v>
      </c>
      <c r="HB256" s="1">
        <v>0</v>
      </c>
      <c r="HC256" s="1">
        <v>0</v>
      </c>
      <c r="HD256" s="1">
        <v>0</v>
      </c>
      <c r="HE256" s="1">
        <v>7855.68</v>
      </c>
      <c r="HF256" s="1">
        <v>0</v>
      </c>
      <c r="HG256" s="1">
        <v>0</v>
      </c>
      <c r="HH256" s="1">
        <v>0</v>
      </c>
      <c r="HI256" s="1">
        <v>7855.68</v>
      </c>
      <c r="HJ256" s="1">
        <v>0</v>
      </c>
      <c r="HK256" s="1">
        <v>0</v>
      </c>
      <c r="HL256" s="1">
        <v>0</v>
      </c>
      <c r="HM256" s="1">
        <v>0</v>
      </c>
      <c r="HN256" s="1">
        <v>0</v>
      </c>
      <c r="HO256" s="1">
        <v>0</v>
      </c>
      <c r="HP256" s="1">
        <v>0</v>
      </c>
      <c r="HQ256" s="1">
        <v>0</v>
      </c>
      <c r="HR256" s="1">
        <v>0</v>
      </c>
      <c r="HS256" s="1">
        <v>0</v>
      </c>
      <c r="HT256" s="1">
        <v>0</v>
      </c>
      <c r="HU256" s="1">
        <v>0</v>
      </c>
      <c r="HV256" s="1">
        <v>0</v>
      </c>
      <c r="HW256" s="1">
        <v>0</v>
      </c>
      <c r="HX256" s="1">
        <v>0</v>
      </c>
      <c r="HY256" s="1">
        <v>0</v>
      </c>
      <c r="HZ256" s="1">
        <v>0</v>
      </c>
      <c r="IA256" s="1">
        <v>0</v>
      </c>
      <c r="IB256" s="1">
        <v>0</v>
      </c>
      <c r="IC256" s="1">
        <v>0</v>
      </c>
      <c r="ID256" s="1">
        <v>0</v>
      </c>
      <c r="IE256" s="1">
        <v>0</v>
      </c>
      <c r="IF256" s="1">
        <v>0</v>
      </c>
      <c r="IG256" s="1">
        <v>0</v>
      </c>
      <c r="IH256" s="1">
        <v>0</v>
      </c>
      <c r="II256" s="1">
        <v>0</v>
      </c>
      <c r="IJ256" s="1">
        <v>0</v>
      </c>
      <c r="IK256" s="1">
        <v>0</v>
      </c>
      <c r="IL256" s="1">
        <v>0</v>
      </c>
      <c r="IM256" s="1">
        <v>0</v>
      </c>
      <c r="IN256" s="1">
        <v>0</v>
      </c>
      <c r="IO256" s="1">
        <v>6062.8600000000006</v>
      </c>
      <c r="IP256" s="1">
        <v>198.57</v>
      </c>
      <c r="IQ256" s="1">
        <v>583.74</v>
      </c>
      <c r="IR256" s="1">
        <v>545.81999999999994</v>
      </c>
      <c r="IS256" s="1">
        <v>6062.8600000000006</v>
      </c>
      <c r="IT256" s="1">
        <v>198.57</v>
      </c>
      <c r="IU256" s="1">
        <v>583.74</v>
      </c>
      <c r="IV256" s="1">
        <v>545.81999999999994</v>
      </c>
      <c r="IW256" s="1">
        <v>0</v>
      </c>
      <c r="IX256" s="1">
        <v>0</v>
      </c>
      <c r="IY256" s="1">
        <v>0</v>
      </c>
      <c r="IZ256" s="1">
        <v>0</v>
      </c>
      <c r="JA256" s="1">
        <v>0</v>
      </c>
      <c r="JB256" s="1">
        <v>0</v>
      </c>
      <c r="JC256" s="1">
        <v>0</v>
      </c>
      <c r="JD256" s="1">
        <v>0</v>
      </c>
      <c r="JE256" s="1">
        <v>0</v>
      </c>
      <c r="JF256" s="1">
        <v>0</v>
      </c>
      <c r="JG256" s="1">
        <v>0</v>
      </c>
      <c r="JH256" s="1">
        <v>0</v>
      </c>
      <c r="JI256" s="1">
        <v>0</v>
      </c>
      <c r="JJ256" s="1">
        <v>0</v>
      </c>
      <c r="JK256" s="1">
        <v>0</v>
      </c>
      <c r="JL256" s="1">
        <v>0</v>
      </c>
      <c r="JM256" s="1">
        <v>0</v>
      </c>
      <c r="JN256" s="1">
        <v>0</v>
      </c>
      <c r="JO256" s="1">
        <v>0</v>
      </c>
      <c r="JP256" s="1">
        <v>0</v>
      </c>
      <c r="JQ256" s="9"/>
      <c r="JR256" s="1">
        <f t="shared" si="48"/>
        <v>13436.946899999997</v>
      </c>
      <c r="JS256" s="1">
        <f t="shared" si="48"/>
        <v>3636.3465000000015</v>
      </c>
      <c r="JT256" s="1">
        <f t="shared" si="48"/>
        <v>4943.8998000000001</v>
      </c>
      <c r="JU256" s="1">
        <f t="shared" si="48"/>
        <v>4135.0121999999983</v>
      </c>
      <c r="JV256" s="1">
        <f t="shared" si="49"/>
        <v>2488.3234999999995</v>
      </c>
      <c r="JW256" s="1">
        <f t="shared" si="49"/>
        <v>673.39750000000026</v>
      </c>
      <c r="JX256" s="1">
        <f t="shared" si="49"/>
        <v>915.53699999999992</v>
      </c>
      <c r="JY256" s="1">
        <f t="shared" si="49"/>
        <v>765.74299999999971</v>
      </c>
    </row>
    <row r="257" spans="1:285" x14ac:dyDescent="0.35">
      <c r="A257" s="2" t="s">
        <v>264</v>
      </c>
      <c r="B257" s="1">
        <v>138695</v>
      </c>
      <c r="C257" s="1">
        <v>139440</v>
      </c>
      <c r="D257" s="1">
        <v>139435</v>
      </c>
      <c r="E257" s="1">
        <v>139744</v>
      </c>
      <c r="F257" s="1">
        <v>129545.69</v>
      </c>
      <c r="G257" s="1">
        <v>135999.04000000001</v>
      </c>
      <c r="H257" s="1">
        <v>124492.28</v>
      </c>
      <c r="I257" s="1">
        <v>125400.86199999999</v>
      </c>
      <c r="J257" s="1">
        <f t="shared" si="50"/>
        <v>44661.970000000008</v>
      </c>
      <c r="K257" s="1">
        <f t="shared" si="51"/>
        <v>50489.32</v>
      </c>
      <c r="L257" s="1">
        <f t="shared" si="52"/>
        <v>42519.609999999993</v>
      </c>
      <c r="M257" s="1">
        <f t="shared" si="53"/>
        <v>44913.795999999995</v>
      </c>
      <c r="N257" s="1">
        <f t="shared" si="54"/>
        <v>84883.72</v>
      </c>
      <c r="O257" s="1">
        <f t="shared" si="55"/>
        <v>85509.72</v>
      </c>
      <c r="P257" s="1">
        <f t="shared" si="56"/>
        <v>81972.670000000013</v>
      </c>
      <c r="Q257" s="1">
        <f t="shared" si="57"/>
        <v>80487.065999999992</v>
      </c>
      <c r="R257" s="1">
        <v>3176.5</v>
      </c>
      <c r="S257" s="1">
        <v>3303.58</v>
      </c>
      <c r="T257" s="1">
        <v>2788.84</v>
      </c>
      <c r="U257" s="1">
        <v>3063.78</v>
      </c>
      <c r="V257" s="1">
        <v>0</v>
      </c>
      <c r="W257" s="1">
        <v>0</v>
      </c>
      <c r="X257" s="1">
        <v>3176.5</v>
      </c>
      <c r="Y257" s="1">
        <v>0</v>
      </c>
      <c r="Z257" s="1">
        <v>0</v>
      </c>
      <c r="AA257" s="1">
        <v>3303.58</v>
      </c>
      <c r="AB257" s="1">
        <v>0</v>
      </c>
      <c r="AC257" s="1">
        <v>0</v>
      </c>
      <c r="AD257" s="1">
        <v>2788.84</v>
      </c>
      <c r="AE257" s="1">
        <v>0</v>
      </c>
      <c r="AF257" s="1">
        <v>0</v>
      </c>
      <c r="AG257" s="1">
        <v>3063.78</v>
      </c>
      <c r="AH257" s="1">
        <v>0</v>
      </c>
      <c r="AI257" s="1">
        <v>0</v>
      </c>
      <c r="AJ257" s="1">
        <v>0</v>
      </c>
      <c r="AK257" s="1">
        <v>0</v>
      </c>
      <c r="AL257" s="1">
        <v>0</v>
      </c>
      <c r="AM257" s="1">
        <v>0</v>
      </c>
      <c r="AN257" s="1">
        <v>0</v>
      </c>
      <c r="AO257" s="1">
        <v>0</v>
      </c>
      <c r="AP257" s="1">
        <v>3731.5</v>
      </c>
      <c r="AQ257" s="1">
        <v>5052.3200000000006</v>
      </c>
      <c r="AR257" s="1">
        <v>4576.57</v>
      </c>
      <c r="AS257" s="1">
        <v>7259.22</v>
      </c>
      <c r="AT257" s="1">
        <v>0</v>
      </c>
      <c r="AU257" s="1">
        <v>3731.5</v>
      </c>
      <c r="AV257" s="1">
        <v>0</v>
      </c>
      <c r="AW257" s="1">
        <v>0</v>
      </c>
      <c r="AX257" s="1">
        <v>0</v>
      </c>
      <c r="AY257" s="1">
        <v>5052.3200000000006</v>
      </c>
      <c r="AZ257" s="1">
        <v>0</v>
      </c>
      <c r="BA257" s="1">
        <v>0</v>
      </c>
      <c r="BB257" s="1">
        <v>0</v>
      </c>
      <c r="BC257" s="1">
        <v>4576.57</v>
      </c>
      <c r="BD257" s="1">
        <v>0</v>
      </c>
      <c r="BE257" s="1">
        <v>0</v>
      </c>
      <c r="BF257" s="1">
        <v>7259.22</v>
      </c>
      <c r="BG257" s="1">
        <v>0</v>
      </c>
      <c r="BH257" s="1">
        <v>0</v>
      </c>
      <c r="BI257" s="1">
        <v>0</v>
      </c>
      <c r="BJ257" s="1">
        <v>0</v>
      </c>
      <c r="BK257" s="1">
        <v>0</v>
      </c>
      <c r="BL257" s="1">
        <v>0</v>
      </c>
      <c r="BM257" s="1">
        <v>0</v>
      </c>
      <c r="BN257" s="1">
        <v>0</v>
      </c>
      <c r="BO257" s="1">
        <v>0</v>
      </c>
      <c r="BP257" s="1">
        <v>0</v>
      </c>
      <c r="BQ257" s="1">
        <v>0</v>
      </c>
      <c r="BR257" s="1">
        <v>0</v>
      </c>
      <c r="BS257" s="1">
        <v>0</v>
      </c>
      <c r="BT257" s="1">
        <v>0</v>
      </c>
      <c r="BU257" s="1">
        <v>7841.74</v>
      </c>
      <c r="BV257" s="1">
        <v>8761.48</v>
      </c>
      <c r="BW257" s="1">
        <v>7174.3099999999986</v>
      </c>
      <c r="BX257" s="1">
        <v>6198.77</v>
      </c>
      <c r="BY257" s="1">
        <v>7830.8799999999992</v>
      </c>
      <c r="BZ257" s="1">
        <v>8745.1200000000008</v>
      </c>
      <c r="CA257" s="1">
        <v>7148.1399999999994</v>
      </c>
      <c r="CB257" s="1">
        <v>6168.32</v>
      </c>
      <c r="CC257" s="1">
        <v>10.86</v>
      </c>
      <c r="CD257" s="1">
        <v>16.36</v>
      </c>
      <c r="CE257" s="1">
        <v>26.17</v>
      </c>
      <c r="CF257" s="1">
        <v>30.45</v>
      </c>
      <c r="CG257" s="1">
        <v>0</v>
      </c>
      <c r="CH257" s="1">
        <v>0</v>
      </c>
      <c r="CI257" s="1">
        <v>0</v>
      </c>
      <c r="CJ257" s="1">
        <v>0</v>
      </c>
      <c r="CK257" s="1">
        <v>0</v>
      </c>
      <c r="CL257" s="1">
        <v>0</v>
      </c>
      <c r="CM257" s="1">
        <v>0</v>
      </c>
      <c r="CN257" s="1">
        <v>0</v>
      </c>
      <c r="CO257" s="1">
        <v>0</v>
      </c>
      <c r="CP257" s="1">
        <v>0</v>
      </c>
      <c r="CQ257" s="1">
        <v>0</v>
      </c>
      <c r="CR257" s="1">
        <v>0</v>
      </c>
      <c r="CS257" s="1">
        <v>3684.92</v>
      </c>
      <c r="CT257" s="1">
        <v>3728.54</v>
      </c>
      <c r="CU257" s="1">
        <v>3265.75</v>
      </c>
      <c r="CV257" s="1">
        <v>3660.32</v>
      </c>
      <c r="CW257" s="1">
        <v>3684.92</v>
      </c>
      <c r="CX257" s="1">
        <v>3728.54</v>
      </c>
      <c r="CY257" s="1">
        <v>3265.75</v>
      </c>
      <c r="CZ257" s="1">
        <v>3660.32</v>
      </c>
      <c r="DA257" s="1">
        <v>0</v>
      </c>
      <c r="DB257" s="1">
        <v>0</v>
      </c>
      <c r="DC257" s="1">
        <v>0</v>
      </c>
      <c r="DD257" s="1">
        <v>0</v>
      </c>
      <c r="DE257" s="1">
        <v>0</v>
      </c>
      <c r="DF257" s="1">
        <v>0</v>
      </c>
      <c r="DG257" s="1">
        <v>0</v>
      </c>
      <c r="DH257" s="1">
        <v>0</v>
      </c>
      <c r="DI257" s="1">
        <v>0</v>
      </c>
      <c r="DJ257" s="1">
        <v>0</v>
      </c>
      <c r="DK257" s="1">
        <v>0</v>
      </c>
      <c r="DL257" s="1">
        <v>0</v>
      </c>
      <c r="DM257" s="1">
        <v>4374.7700000000004</v>
      </c>
      <c r="DN257" s="1">
        <v>4485.7999999999993</v>
      </c>
      <c r="DO257" s="1">
        <v>3934.71</v>
      </c>
      <c r="DP257" s="1">
        <v>3882.36</v>
      </c>
      <c r="DQ257" s="1">
        <v>4374.7700000000004</v>
      </c>
      <c r="DR257" s="1">
        <v>4485.7999999999993</v>
      </c>
      <c r="DS257" s="1">
        <v>3934.71</v>
      </c>
      <c r="DT257" s="1">
        <v>3882.36</v>
      </c>
      <c r="DU257" s="1">
        <v>0</v>
      </c>
      <c r="DV257" s="1">
        <v>0</v>
      </c>
      <c r="DW257" s="1">
        <v>0</v>
      </c>
      <c r="DX257" s="1">
        <v>0</v>
      </c>
      <c r="DY257" s="1">
        <v>0</v>
      </c>
      <c r="DZ257" s="1">
        <v>0</v>
      </c>
      <c r="EA257" s="1">
        <v>0</v>
      </c>
      <c r="EB257" s="1">
        <v>0</v>
      </c>
      <c r="EC257" s="1">
        <v>0</v>
      </c>
      <c r="ED257" s="1">
        <v>0</v>
      </c>
      <c r="EE257" s="1">
        <v>0</v>
      </c>
      <c r="EF257" s="1">
        <v>0</v>
      </c>
      <c r="EG257" s="1">
        <v>0</v>
      </c>
      <c r="EH257" s="1">
        <v>0</v>
      </c>
      <c r="EI257" s="1">
        <v>0</v>
      </c>
      <c r="EJ257" s="1">
        <v>0</v>
      </c>
      <c r="EK257" s="1">
        <v>15654.7</v>
      </c>
      <c r="EL257" s="1">
        <v>16496.419999999998</v>
      </c>
      <c r="EM257" s="1">
        <v>14039.47</v>
      </c>
      <c r="EN257" s="1">
        <v>13890.9</v>
      </c>
      <c r="EO257" s="1">
        <v>15654.7</v>
      </c>
      <c r="EP257" s="1">
        <v>16495.12</v>
      </c>
      <c r="EQ257" s="1">
        <v>14038.85</v>
      </c>
      <c r="ER257" s="1">
        <v>13890.58</v>
      </c>
      <c r="ES257" s="1">
        <v>0</v>
      </c>
      <c r="ET257" s="1">
        <v>1.3</v>
      </c>
      <c r="EU257" s="1">
        <v>0.62</v>
      </c>
      <c r="EV257" s="1">
        <v>0.32</v>
      </c>
      <c r="EW257" s="1">
        <v>0</v>
      </c>
      <c r="EX257" s="1">
        <v>0</v>
      </c>
      <c r="EY257" s="1">
        <v>0</v>
      </c>
      <c r="EZ257" s="1">
        <v>0</v>
      </c>
      <c r="FA257" s="1">
        <v>0</v>
      </c>
      <c r="FB257" s="1">
        <v>0</v>
      </c>
      <c r="FC257" s="1">
        <v>0</v>
      </c>
      <c r="FD257" s="1">
        <v>0</v>
      </c>
      <c r="FE257" s="1">
        <v>195.54</v>
      </c>
      <c r="FF257" s="1">
        <v>244.98</v>
      </c>
      <c r="FG257" s="1">
        <v>304.52999999999997</v>
      </c>
      <c r="FH257" s="1">
        <v>272.61</v>
      </c>
      <c r="FI257" s="1">
        <v>187.56</v>
      </c>
      <c r="FJ257" s="1">
        <v>231.35</v>
      </c>
      <c r="FK257" s="1">
        <v>298.14</v>
      </c>
      <c r="FL257" s="1">
        <v>268.42</v>
      </c>
      <c r="FM257" s="1">
        <v>7.98</v>
      </c>
      <c r="FN257" s="1">
        <v>13.63</v>
      </c>
      <c r="FO257" s="1">
        <v>6.39</v>
      </c>
      <c r="FP257" s="1">
        <v>4.1900000000000004</v>
      </c>
      <c r="FQ257" s="1">
        <v>0</v>
      </c>
      <c r="FR257" s="1">
        <v>0</v>
      </c>
      <c r="FS257" s="1">
        <v>0</v>
      </c>
      <c r="FT257" s="1">
        <v>0</v>
      </c>
      <c r="FU257" s="1">
        <v>0</v>
      </c>
      <c r="FV257" s="1">
        <v>0</v>
      </c>
      <c r="FW257" s="1">
        <v>0</v>
      </c>
      <c r="FX257" s="1">
        <v>0</v>
      </c>
      <c r="FY257" s="1">
        <v>0</v>
      </c>
      <c r="FZ257" s="1">
        <v>0</v>
      </c>
      <c r="GA257" s="1">
        <v>0</v>
      </c>
      <c r="GB257" s="1">
        <v>0</v>
      </c>
      <c r="GC257" s="1">
        <v>2971.98</v>
      </c>
      <c r="GD257" s="1">
        <v>3203.08</v>
      </c>
      <c r="GE257" s="1">
        <v>1806.12</v>
      </c>
      <c r="GF257" s="1">
        <v>1933.74</v>
      </c>
      <c r="GG257" s="1">
        <v>2971.98</v>
      </c>
      <c r="GH257" s="1">
        <v>3203.08</v>
      </c>
      <c r="GI257" s="1">
        <v>1806.12</v>
      </c>
      <c r="GJ257" s="1">
        <v>1933.74</v>
      </c>
      <c r="GK257" s="1">
        <v>0</v>
      </c>
      <c r="GL257" s="1">
        <v>0</v>
      </c>
      <c r="GM257" s="1">
        <v>0</v>
      </c>
      <c r="GN257" s="1">
        <v>0</v>
      </c>
      <c r="GO257" s="1">
        <v>0</v>
      </c>
      <c r="GP257" s="1">
        <v>0</v>
      </c>
      <c r="GQ257" s="1">
        <v>0</v>
      </c>
      <c r="GR257" s="1">
        <v>0</v>
      </c>
      <c r="GS257" s="1">
        <v>0</v>
      </c>
      <c r="GT257" s="1">
        <v>0</v>
      </c>
      <c r="GU257" s="1">
        <v>0</v>
      </c>
      <c r="GV257" s="1">
        <v>0</v>
      </c>
      <c r="GW257" s="1">
        <v>0</v>
      </c>
      <c r="GX257" s="1">
        <v>0</v>
      </c>
      <c r="GY257" s="1">
        <v>0</v>
      </c>
      <c r="GZ257" s="1">
        <v>0</v>
      </c>
      <c r="HA257" s="1">
        <v>0</v>
      </c>
      <c r="HB257" s="1">
        <v>0</v>
      </c>
      <c r="HC257" s="1">
        <v>0</v>
      </c>
      <c r="HD257" s="1">
        <v>0</v>
      </c>
      <c r="HE257" s="1">
        <v>1679.62</v>
      </c>
      <c r="HF257" s="1">
        <v>4352.42</v>
      </c>
      <c r="HG257" s="1">
        <v>4297.13</v>
      </c>
      <c r="HH257" s="1">
        <v>4544.0959999999995</v>
      </c>
      <c r="HI257" s="1">
        <v>1679.62</v>
      </c>
      <c r="HJ257" s="1">
        <v>4176.82</v>
      </c>
      <c r="HK257" s="1">
        <v>4158.76</v>
      </c>
      <c r="HL257" s="1">
        <v>4006.12</v>
      </c>
      <c r="HM257" s="1">
        <v>0</v>
      </c>
      <c r="HN257" s="1">
        <v>0</v>
      </c>
      <c r="HO257" s="1">
        <v>0</v>
      </c>
      <c r="HP257" s="1">
        <v>0</v>
      </c>
      <c r="HQ257" s="1">
        <v>0</v>
      </c>
      <c r="HR257" s="1">
        <v>0</v>
      </c>
      <c r="HS257" s="1">
        <v>0</v>
      </c>
      <c r="HT257" s="1">
        <v>0</v>
      </c>
      <c r="HU257" s="1">
        <v>0</v>
      </c>
      <c r="HV257" s="1">
        <v>0</v>
      </c>
      <c r="HW257" s="1">
        <v>0</v>
      </c>
      <c r="HX257" s="1">
        <v>0</v>
      </c>
      <c r="HY257" s="1">
        <v>0</v>
      </c>
      <c r="HZ257" s="1">
        <v>0</v>
      </c>
      <c r="IA257" s="1">
        <v>0</v>
      </c>
      <c r="IB257" s="1">
        <v>0</v>
      </c>
      <c r="IC257" s="1">
        <v>0</v>
      </c>
      <c r="ID257" s="1">
        <v>167.3</v>
      </c>
      <c r="IE257" s="1">
        <v>132.22</v>
      </c>
      <c r="IF257" s="1">
        <v>530.94600000000003</v>
      </c>
      <c r="IG257" s="1">
        <v>0</v>
      </c>
      <c r="IH257" s="1">
        <v>0</v>
      </c>
      <c r="II257" s="1">
        <v>0</v>
      </c>
      <c r="IJ257" s="1">
        <v>0</v>
      </c>
      <c r="IK257" s="1">
        <v>0</v>
      </c>
      <c r="IL257" s="1">
        <v>8.3000000000000007</v>
      </c>
      <c r="IM257" s="1">
        <v>6.15</v>
      </c>
      <c r="IN257" s="1">
        <v>7.03</v>
      </c>
      <c r="IO257" s="1">
        <v>1350.7</v>
      </c>
      <c r="IP257" s="1">
        <v>860.7</v>
      </c>
      <c r="IQ257" s="1">
        <v>332.18</v>
      </c>
      <c r="IR257" s="1">
        <v>208</v>
      </c>
      <c r="IS257" s="1">
        <v>1350.7</v>
      </c>
      <c r="IT257" s="1">
        <v>860.7</v>
      </c>
      <c r="IU257" s="1">
        <v>332.18</v>
      </c>
      <c r="IV257" s="1">
        <v>208</v>
      </c>
      <c r="IW257" s="1">
        <v>0</v>
      </c>
      <c r="IX257" s="1">
        <v>0</v>
      </c>
      <c r="IY257" s="1">
        <v>0</v>
      </c>
      <c r="IZ257" s="1">
        <v>0</v>
      </c>
      <c r="JA257" s="1">
        <v>0</v>
      </c>
      <c r="JB257" s="1">
        <v>0</v>
      </c>
      <c r="JC257" s="1">
        <v>0</v>
      </c>
      <c r="JD257" s="1">
        <v>0</v>
      </c>
      <c r="JE257" s="1">
        <v>0</v>
      </c>
      <c r="JF257" s="1">
        <v>0</v>
      </c>
      <c r="JG257" s="1">
        <v>0</v>
      </c>
      <c r="JH257" s="1">
        <v>0</v>
      </c>
      <c r="JI257" s="1">
        <v>0</v>
      </c>
      <c r="JJ257" s="1">
        <v>0</v>
      </c>
      <c r="JK257" s="1">
        <v>0</v>
      </c>
      <c r="JL257" s="1">
        <v>0</v>
      </c>
      <c r="JM257" s="1">
        <v>0</v>
      </c>
      <c r="JN257" s="1">
        <v>0</v>
      </c>
      <c r="JO257" s="1">
        <v>0</v>
      </c>
      <c r="JP257" s="1">
        <v>0</v>
      </c>
      <c r="JQ257" s="9"/>
      <c r="JR257" s="1">
        <f t="shared" si="48"/>
        <v>22918.6044</v>
      </c>
      <c r="JS257" s="1">
        <f t="shared" si="48"/>
        <v>23087.624400000001</v>
      </c>
      <c r="JT257" s="1">
        <f t="shared" si="48"/>
        <v>22132.620900000005</v>
      </c>
      <c r="JU257" s="1">
        <f t="shared" ref="JU257:JU296" si="58">27%*Q257</f>
        <v>21731.507819999999</v>
      </c>
      <c r="JV257" s="1">
        <f t="shared" si="49"/>
        <v>4244.1860000000006</v>
      </c>
      <c r="JW257" s="1">
        <f t="shared" si="49"/>
        <v>4275.4859999999999</v>
      </c>
      <c r="JX257" s="1">
        <f t="shared" si="49"/>
        <v>4098.6335000000008</v>
      </c>
      <c r="JY257" s="1">
        <f t="shared" ref="JY257:JY296" si="59">5%*Q257</f>
        <v>4024.3532999999998</v>
      </c>
    </row>
    <row r="258" spans="1:285" x14ac:dyDescent="0.35">
      <c r="A258" s="2" t="s">
        <v>265</v>
      </c>
      <c r="B258" s="1">
        <v>67631</v>
      </c>
      <c r="C258" s="1">
        <v>68444</v>
      </c>
      <c r="D258" s="1">
        <v>68696</v>
      </c>
      <c r="E258" s="1">
        <v>69291</v>
      </c>
      <c r="F258" s="1">
        <v>15099.927</v>
      </c>
      <c r="G258" s="1">
        <v>14614.589</v>
      </c>
      <c r="H258" s="1">
        <v>12930.384</v>
      </c>
      <c r="I258" s="1">
        <v>13533.637000000001</v>
      </c>
      <c r="J258" s="1">
        <f t="shared" si="50"/>
        <v>13551.288999999999</v>
      </c>
      <c r="K258" s="1">
        <f t="shared" si="51"/>
        <v>13461.829000000002</v>
      </c>
      <c r="L258" s="1">
        <f t="shared" si="52"/>
        <v>12150.129999999997</v>
      </c>
      <c r="M258" s="1">
        <f t="shared" si="53"/>
        <v>12231.862999999998</v>
      </c>
      <c r="N258" s="1">
        <f t="shared" si="54"/>
        <v>1548.6380000000008</v>
      </c>
      <c r="O258" s="1">
        <f t="shared" si="55"/>
        <v>1152.7599999999984</v>
      </c>
      <c r="P258" s="1">
        <f t="shared" si="56"/>
        <v>780.25400000000263</v>
      </c>
      <c r="Q258" s="1">
        <f t="shared" si="57"/>
        <v>1301.7740000000031</v>
      </c>
      <c r="R258" s="1">
        <v>2860.3</v>
      </c>
      <c r="S258" s="1">
        <v>2804.82</v>
      </c>
      <c r="T258" s="1">
        <v>2564.9679999999998</v>
      </c>
      <c r="U258" s="1">
        <v>2488.3199999999997</v>
      </c>
      <c r="V258" s="1">
        <v>0</v>
      </c>
      <c r="W258" s="1">
        <v>0</v>
      </c>
      <c r="X258" s="1">
        <v>2860.3</v>
      </c>
      <c r="Y258" s="1">
        <v>0</v>
      </c>
      <c r="Z258" s="1">
        <v>0</v>
      </c>
      <c r="AA258" s="1">
        <v>2804.82</v>
      </c>
      <c r="AB258" s="1">
        <v>0</v>
      </c>
      <c r="AC258" s="1">
        <v>0</v>
      </c>
      <c r="AD258" s="1">
        <v>2564.9679999999998</v>
      </c>
      <c r="AE258" s="1">
        <v>0</v>
      </c>
      <c r="AF258" s="1">
        <v>0</v>
      </c>
      <c r="AG258" s="1">
        <v>2488.3199999999997</v>
      </c>
      <c r="AH258" s="1">
        <v>0</v>
      </c>
      <c r="AI258" s="1">
        <v>0</v>
      </c>
      <c r="AJ258" s="1">
        <v>0</v>
      </c>
      <c r="AK258" s="1">
        <v>0</v>
      </c>
      <c r="AL258" s="1">
        <v>0</v>
      </c>
      <c r="AM258" s="1">
        <v>0</v>
      </c>
      <c r="AN258" s="1">
        <v>0</v>
      </c>
      <c r="AO258" s="1">
        <v>0</v>
      </c>
      <c r="AP258" s="1">
        <v>4812.66</v>
      </c>
      <c r="AQ258" s="1">
        <v>4688.3099999999995</v>
      </c>
      <c r="AR258" s="1">
        <v>4138.92</v>
      </c>
      <c r="AS258" s="1">
        <v>4663.47</v>
      </c>
      <c r="AT258" s="1">
        <v>0</v>
      </c>
      <c r="AU258" s="1">
        <v>2148.6999999999998</v>
      </c>
      <c r="AV258" s="1">
        <v>0</v>
      </c>
      <c r="AW258" s="1">
        <v>0</v>
      </c>
      <c r="AX258" s="1">
        <v>0</v>
      </c>
      <c r="AY258" s="1">
        <v>1614.4899999999993</v>
      </c>
      <c r="AZ258" s="1">
        <v>0</v>
      </c>
      <c r="BA258" s="1">
        <v>0</v>
      </c>
      <c r="BB258" s="1">
        <v>0</v>
      </c>
      <c r="BC258" s="1">
        <v>3466.36</v>
      </c>
      <c r="BD258" s="1">
        <v>0</v>
      </c>
      <c r="BE258" s="1">
        <v>0</v>
      </c>
      <c r="BF258" s="1">
        <v>3052.3900000000003</v>
      </c>
      <c r="BG258" s="1">
        <v>0</v>
      </c>
      <c r="BH258" s="1">
        <v>0</v>
      </c>
      <c r="BI258" s="1">
        <v>0</v>
      </c>
      <c r="BJ258" s="1">
        <v>0</v>
      </c>
      <c r="BK258" s="1">
        <v>2663.96</v>
      </c>
      <c r="BL258" s="1">
        <v>0</v>
      </c>
      <c r="BM258" s="1">
        <v>0</v>
      </c>
      <c r="BN258" s="1">
        <v>3073.82</v>
      </c>
      <c r="BO258" s="1">
        <v>0</v>
      </c>
      <c r="BP258" s="1">
        <v>0</v>
      </c>
      <c r="BQ258" s="1">
        <v>672.56</v>
      </c>
      <c r="BR258" s="1">
        <v>0</v>
      </c>
      <c r="BS258" s="1">
        <v>0</v>
      </c>
      <c r="BT258" s="1">
        <v>1611.08</v>
      </c>
      <c r="BU258" s="1">
        <v>3037.32</v>
      </c>
      <c r="BV258" s="1">
        <v>3020.16</v>
      </c>
      <c r="BW258" s="1">
        <v>2274.64</v>
      </c>
      <c r="BX258" s="1">
        <v>1719.9069999999999</v>
      </c>
      <c r="BY258" s="1">
        <v>3037.32</v>
      </c>
      <c r="BZ258" s="1">
        <v>3020.16</v>
      </c>
      <c r="CA258" s="1">
        <v>2274.64</v>
      </c>
      <c r="CB258" s="1">
        <v>1719.9069999999999</v>
      </c>
      <c r="CC258" s="1">
        <v>0</v>
      </c>
      <c r="CD258" s="1">
        <v>0</v>
      </c>
      <c r="CE258" s="1">
        <v>0</v>
      </c>
      <c r="CF258" s="1">
        <v>0</v>
      </c>
      <c r="CG258" s="1">
        <v>0</v>
      </c>
      <c r="CH258" s="1">
        <v>0</v>
      </c>
      <c r="CI258" s="1">
        <v>0</v>
      </c>
      <c r="CJ258" s="1">
        <v>0</v>
      </c>
      <c r="CK258" s="1">
        <v>0</v>
      </c>
      <c r="CL258" s="1">
        <v>0</v>
      </c>
      <c r="CM258" s="1">
        <v>0</v>
      </c>
      <c r="CN258" s="1">
        <v>0</v>
      </c>
      <c r="CO258" s="1">
        <v>0</v>
      </c>
      <c r="CP258" s="1">
        <v>0</v>
      </c>
      <c r="CQ258" s="1">
        <v>0</v>
      </c>
      <c r="CR258" s="1">
        <v>0</v>
      </c>
      <c r="CS258" s="1">
        <v>390.07799999999997</v>
      </c>
      <c r="CT258" s="1">
        <v>362.25</v>
      </c>
      <c r="CU258" s="1">
        <v>547.09</v>
      </c>
      <c r="CV258" s="1">
        <v>740.06799999999998</v>
      </c>
      <c r="CW258" s="1">
        <v>390.07799999999997</v>
      </c>
      <c r="CX258" s="1">
        <v>362.25</v>
      </c>
      <c r="CY258" s="1">
        <v>547.09</v>
      </c>
      <c r="CZ258" s="1">
        <v>740.06799999999998</v>
      </c>
      <c r="DA258" s="1">
        <v>0</v>
      </c>
      <c r="DB258" s="1">
        <v>0</v>
      </c>
      <c r="DC258" s="1">
        <v>0</v>
      </c>
      <c r="DD258" s="1">
        <v>0</v>
      </c>
      <c r="DE258" s="1">
        <v>0</v>
      </c>
      <c r="DF258" s="1">
        <v>0</v>
      </c>
      <c r="DG258" s="1">
        <v>0</v>
      </c>
      <c r="DH258" s="1">
        <v>0</v>
      </c>
      <c r="DI258" s="1">
        <v>0</v>
      </c>
      <c r="DJ258" s="1">
        <v>0</v>
      </c>
      <c r="DK258" s="1">
        <v>0</v>
      </c>
      <c r="DL258" s="1">
        <v>0</v>
      </c>
      <c r="DM258" s="1">
        <v>2146.87</v>
      </c>
      <c r="DN258" s="1">
        <v>2160.69</v>
      </c>
      <c r="DO258" s="1">
        <v>2137.0859999999998</v>
      </c>
      <c r="DP258" s="1">
        <v>2230.1790000000001</v>
      </c>
      <c r="DQ258" s="1">
        <v>2146.87</v>
      </c>
      <c r="DR258" s="1">
        <v>2160.69</v>
      </c>
      <c r="DS258" s="1">
        <v>2137.0859999999998</v>
      </c>
      <c r="DT258" s="1">
        <v>2230.1790000000001</v>
      </c>
      <c r="DU258" s="1">
        <v>0</v>
      </c>
      <c r="DV258" s="1">
        <v>0</v>
      </c>
      <c r="DW258" s="1">
        <v>0</v>
      </c>
      <c r="DX258" s="1">
        <v>0</v>
      </c>
      <c r="DY258" s="1">
        <v>0</v>
      </c>
      <c r="DZ258" s="1">
        <v>0</v>
      </c>
      <c r="EA258" s="1">
        <v>0</v>
      </c>
      <c r="EB258" s="1">
        <v>0</v>
      </c>
      <c r="EC258" s="1">
        <v>0</v>
      </c>
      <c r="ED258" s="1">
        <v>0</v>
      </c>
      <c r="EE258" s="1">
        <v>0</v>
      </c>
      <c r="EF258" s="1">
        <v>0</v>
      </c>
      <c r="EG258" s="1">
        <v>0</v>
      </c>
      <c r="EH258" s="1">
        <v>0</v>
      </c>
      <c r="EI258" s="1">
        <v>0</v>
      </c>
      <c r="EJ258" s="1">
        <v>0</v>
      </c>
      <c r="EK258" s="1">
        <v>261.71199999999999</v>
      </c>
      <c r="EL258" s="1">
        <v>352.04</v>
      </c>
      <c r="EM258" s="1">
        <v>419.96</v>
      </c>
      <c r="EN258" s="1">
        <v>317.67500000000001</v>
      </c>
      <c r="EO258" s="1">
        <v>261.71199999999999</v>
      </c>
      <c r="EP258" s="1">
        <v>352.04</v>
      </c>
      <c r="EQ258" s="1">
        <v>419.96</v>
      </c>
      <c r="ER258" s="1">
        <v>317.67500000000001</v>
      </c>
      <c r="ES258" s="1">
        <v>0</v>
      </c>
      <c r="ET258" s="1">
        <v>0</v>
      </c>
      <c r="EU258" s="1">
        <v>0</v>
      </c>
      <c r="EV258" s="1">
        <v>0</v>
      </c>
      <c r="EW258" s="1">
        <v>0</v>
      </c>
      <c r="EX258" s="1">
        <v>0</v>
      </c>
      <c r="EY258" s="1">
        <v>0</v>
      </c>
      <c r="EZ258" s="1">
        <v>0</v>
      </c>
      <c r="FA258" s="1">
        <v>0</v>
      </c>
      <c r="FB258" s="1">
        <v>0</v>
      </c>
      <c r="FC258" s="1">
        <v>0</v>
      </c>
      <c r="FD258" s="1">
        <v>0</v>
      </c>
      <c r="FE258" s="1">
        <v>26.393000000000001</v>
      </c>
      <c r="FF258" s="1">
        <v>51.904000000000003</v>
      </c>
      <c r="FG258" s="1">
        <v>47.700999999999993</v>
      </c>
      <c r="FH258" s="1">
        <v>60.069000000000003</v>
      </c>
      <c r="FI258" s="1">
        <v>26.393000000000001</v>
      </c>
      <c r="FJ258" s="1">
        <v>51.904000000000003</v>
      </c>
      <c r="FK258" s="1">
        <v>47.700999999999993</v>
      </c>
      <c r="FL258" s="1">
        <v>15.707000000000001</v>
      </c>
      <c r="FM258" s="1">
        <v>0</v>
      </c>
      <c r="FN258" s="1">
        <v>0</v>
      </c>
      <c r="FO258" s="1">
        <v>0</v>
      </c>
      <c r="FP258" s="1">
        <v>44.361999999999988</v>
      </c>
      <c r="FQ258" s="1">
        <v>0</v>
      </c>
      <c r="FR258" s="1">
        <v>0</v>
      </c>
      <c r="FS258" s="1">
        <v>0</v>
      </c>
      <c r="FT258" s="1">
        <v>0</v>
      </c>
      <c r="FU258" s="1">
        <v>0</v>
      </c>
      <c r="FV258" s="1">
        <v>0</v>
      </c>
      <c r="FW258" s="1">
        <v>0</v>
      </c>
      <c r="FX258" s="1">
        <v>0</v>
      </c>
      <c r="FY258" s="1">
        <v>0</v>
      </c>
      <c r="FZ258" s="1">
        <v>0</v>
      </c>
      <c r="GA258" s="1">
        <v>0</v>
      </c>
      <c r="GB258" s="1">
        <v>0</v>
      </c>
      <c r="GC258" s="1">
        <v>15.956</v>
      </c>
      <c r="GD258" s="1">
        <v>21.655000000000001</v>
      </c>
      <c r="GE258" s="1">
        <v>19.765000000000001</v>
      </c>
      <c r="GF258" s="1">
        <v>12.175000000000001</v>
      </c>
      <c r="GG258" s="1">
        <v>15.956</v>
      </c>
      <c r="GH258" s="1">
        <v>21.655000000000001</v>
      </c>
      <c r="GI258" s="1">
        <v>19.765000000000001</v>
      </c>
      <c r="GJ258" s="1">
        <v>12.175000000000001</v>
      </c>
      <c r="GK258" s="1">
        <v>0</v>
      </c>
      <c r="GL258" s="1">
        <v>0</v>
      </c>
      <c r="GM258" s="1">
        <v>0</v>
      </c>
      <c r="GN258" s="1">
        <v>0</v>
      </c>
      <c r="GO258" s="1">
        <v>0</v>
      </c>
      <c r="GP258" s="1">
        <v>0</v>
      </c>
      <c r="GQ258" s="1">
        <v>0</v>
      </c>
      <c r="GR258" s="1">
        <v>0</v>
      </c>
      <c r="GS258" s="1">
        <v>0</v>
      </c>
      <c r="GT258" s="1">
        <v>0</v>
      </c>
      <c r="GU258" s="1">
        <v>0</v>
      </c>
      <c r="GV258" s="1">
        <v>0</v>
      </c>
      <c r="GW258" s="1">
        <v>0</v>
      </c>
      <c r="GX258" s="1">
        <v>0</v>
      </c>
      <c r="GY258" s="1">
        <v>0</v>
      </c>
      <c r="GZ258" s="1">
        <v>0</v>
      </c>
      <c r="HA258" s="1">
        <v>0</v>
      </c>
      <c r="HB258" s="1">
        <v>0</v>
      </c>
      <c r="HC258" s="1">
        <v>0</v>
      </c>
      <c r="HD258" s="1">
        <v>0</v>
      </c>
      <c r="HE258" s="1">
        <v>0</v>
      </c>
      <c r="HF258" s="1">
        <v>0</v>
      </c>
      <c r="HG258" s="1">
        <v>0</v>
      </c>
      <c r="HH258" s="1">
        <v>0</v>
      </c>
      <c r="HI258" s="1">
        <v>0</v>
      </c>
      <c r="HJ258" s="1">
        <v>0</v>
      </c>
      <c r="HK258" s="1">
        <v>0</v>
      </c>
      <c r="HL258" s="1">
        <v>0</v>
      </c>
      <c r="HM258" s="1">
        <v>0</v>
      </c>
      <c r="HN258" s="1">
        <v>0</v>
      </c>
      <c r="HO258" s="1">
        <v>0</v>
      </c>
      <c r="HP258" s="1">
        <v>0</v>
      </c>
      <c r="HQ258" s="1">
        <v>0</v>
      </c>
      <c r="HR258" s="1">
        <v>0</v>
      </c>
      <c r="HS258" s="1">
        <v>0</v>
      </c>
      <c r="HT258" s="1">
        <v>0</v>
      </c>
      <c r="HU258" s="1">
        <v>0</v>
      </c>
      <c r="HV258" s="1">
        <v>0</v>
      </c>
      <c r="HW258" s="1">
        <v>0</v>
      </c>
      <c r="HX258" s="1">
        <v>0</v>
      </c>
      <c r="HY258" s="1">
        <v>0</v>
      </c>
      <c r="HZ258" s="1">
        <v>0</v>
      </c>
      <c r="IA258" s="1">
        <v>0</v>
      </c>
      <c r="IB258" s="1">
        <v>0</v>
      </c>
      <c r="IC258" s="1">
        <v>0</v>
      </c>
      <c r="ID258" s="1">
        <v>0</v>
      </c>
      <c r="IE258" s="1">
        <v>0</v>
      </c>
      <c r="IF258" s="1">
        <v>0</v>
      </c>
      <c r="IG258" s="1">
        <v>0</v>
      </c>
      <c r="IH258" s="1">
        <v>0</v>
      </c>
      <c r="II258" s="1">
        <v>0</v>
      </c>
      <c r="IJ258" s="1">
        <v>0</v>
      </c>
      <c r="IK258" s="1">
        <v>0</v>
      </c>
      <c r="IL258" s="1">
        <v>0</v>
      </c>
      <c r="IM258" s="1">
        <v>0</v>
      </c>
      <c r="IN258" s="1">
        <v>0</v>
      </c>
      <c r="IO258" s="1">
        <v>0</v>
      </c>
      <c r="IP258" s="1">
        <v>0</v>
      </c>
      <c r="IQ258" s="1">
        <v>0</v>
      </c>
      <c r="IR258" s="1">
        <v>0</v>
      </c>
      <c r="IS258" s="1">
        <v>0</v>
      </c>
      <c r="IT258" s="1">
        <v>0</v>
      </c>
      <c r="IU258" s="1">
        <v>0</v>
      </c>
      <c r="IV258" s="1">
        <v>0</v>
      </c>
      <c r="IW258" s="1">
        <v>0</v>
      </c>
      <c r="IX258" s="1">
        <v>0</v>
      </c>
      <c r="IY258" s="1">
        <v>0</v>
      </c>
      <c r="IZ258" s="1">
        <v>0</v>
      </c>
      <c r="JA258" s="1">
        <v>0</v>
      </c>
      <c r="JB258" s="1">
        <v>0</v>
      </c>
      <c r="JC258" s="1">
        <v>0</v>
      </c>
      <c r="JD258" s="1">
        <v>0</v>
      </c>
      <c r="JE258" s="1">
        <v>0</v>
      </c>
      <c r="JF258" s="1">
        <v>0</v>
      </c>
      <c r="JG258" s="1">
        <v>0</v>
      </c>
      <c r="JH258" s="1">
        <v>0</v>
      </c>
      <c r="JI258" s="1">
        <v>0</v>
      </c>
      <c r="JJ258" s="1">
        <v>0</v>
      </c>
      <c r="JK258" s="1">
        <v>0</v>
      </c>
      <c r="JL258" s="1">
        <v>0</v>
      </c>
      <c r="JM258" s="1">
        <v>0</v>
      </c>
      <c r="JN258" s="1">
        <v>0</v>
      </c>
      <c r="JO258" s="1">
        <v>0</v>
      </c>
      <c r="JP258" s="1">
        <v>0</v>
      </c>
      <c r="JQ258" s="9"/>
      <c r="JR258" s="1">
        <f t="shared" ref="JR258:JT296" si="60">27%*N258</f>
        <v>418.13226000000026</v>
      </c>
      <c r="JS258" s="1">
        <f t="shared" si="60"/>
        <v>311.24519999999961</v>
      </c>
      <c r="JT258" s="1">
        <f t="shared" si="60"/>
        <v>210.66858000000073</v>
      </c>
      <c r="JU258" s="1">
        <f t="shared" si="58"/>
        <v>351.47898000000083</v>
      </c>
      <c r="JV258" s="1">
        <f t="shared" ref="JV258:JX296" si="61">5%*N258</f>
        <v>77.431900000000041</v>
      </c>
      <c r="JW258" s="1">
        <f t="shared" si="61"/>
        <v>57.63799999999992</v>
      </c>
      <c r="JX258" s="1">
        <f t="shared" si="61"/>
        <v>39.012700000000137</v>
      </c>
      <c r="JY258" s="1">
        <f t="shared" si="59"/>
        <v>65.088700000000159</v>
      </c>
    </row>
    <row r="259" spans="1:285" x14ac:dyDescent="0.35">
      <c r="A259" s="2" t="s">
        <v>266</v>
      </c>
      <c r="B259" s="1">
        <v>306780</v>
      </c>
      <c r="C259" s="1">
        <v>312715</v>
      </c>
      <c r="D259" s="1">
        <v>324881</v>
      </c>
      <c r="E259" s="1">
        <v>329143</v>
      </c>
      <c r="F259" s="1">
        <v>250953.89300000001</v>
      </c>
      <c r="G259" s="1">
        <v>259155.08100000001</v>
      </c>
      <c r="H259" s="1">
        <v>255901.986</v>
      </c>
      <c r="I259" s="1">
        <v>252135.916</v>
      </c>
      <c r="J259" s="1">
        <f t="shared" ref="J259:J296" si="62">R259+AP259+BU259+CS259+DM259+EK259+FE259+GC259+HE259+IO259</f>
        <v>44598.408999999992</v>
      </c>
      <c r="K259" s="1">
        <f t="shared" ref="K259:K296" si="63">S259+AQ259+BV259+CT259+DN259+EL259+FF259+GD259+HF259+IP259</f>
        <v>45010.382000000005</v>
      </c>
      <c r="L259" s="1">
        <f t="shared" ref="L259:L296" si="64">T259+AR259+BW259+CU259+DO259+EM259+FG259+GE259+HG259+IQ259</f>
        <v>42677.101999999999</v>
      </c>
      <c r="M259" s="1">
        <f t="shared" ref="M259:M296" si="65">U259+AS259+BX259+CV259+DP259+EN259+FH259+GF259+HH259+IR259</f>
        <v>37707.630000000012</v>
      </c>
      <c r="N259" s="1">
        <f t="shared" ref="N259:N296" si="66">F259-J259</f>
        <v>206355.48400000003</v>
      </c>
      <c r="O259" s="1">
        <f t="shared" ref="O259:O296" si="67">G259-K259</f>
        <v>214144.69899999999</v>
      </c>
      <c r="P259" s="1">
        <f t="shared" ref="P259:P296" si="68">H259-L259</f>
        <v>213224.88400000002</v>
      </c>
      <c r="Q259" s="1">
        <f t="shared" ref="Q259:Q295" si="69">I259-M259</f>
        <v>214428.28599999999</v>
      </c>
      <c r="R259" s="1">
        <v>0</v>
      </c>
      <c r="S259" s="1">
        <v>0</v>
      </c>
      <c r="T259" s="1">
        <v>0</v>
      </c>
      <c r="U259" s="1">
        <v>0</v>
      </c>
      <c r="V259" s="1">
        <v>0</v>
      </c>
      <c r="W259" s="1">
        <v>0</v>
      </c>
      <c r="X259" s="1">
        <v>0</v>
      </c>
      <c r="Y259" s="1">
        <v>0</v>
      </c>
      <c r="Z259" s="1">
        <v>0</v>
      </c>
      <c r="AA259" s="1">
        <v>0</v>
      </c>
      <c r="AB259" s="1">
        <v>0</v>
      </c>
      <c r="AC259" s="1">
        <v>0</v>
      </c>
      <c r="AD259" s="1">
        <v>0</v>
      </c>
      <c r="AE259" s="1">
        <v>0</v>
      </c>
      <c r="AF259" s="1">
        <v>0</v>
      </c>
      <c r="AG259" s="1">
        <v>0</v>
      </c>
      <c r="AH259" s="1">
        <v>0</v>
      </c>
      <c r="AI259" s="1">
        <v>0</v>
      </c>
      <c r="AJ259" s="1">
        <v>0</v>
      </c>
      <c r="AK259" s="1">
        <v>0</v>
      </c>
      <c r="AL259" s="1">
        <v>0</v>
      </c>
      <c r="AM259" s="1">
        <v>0</v>
      </c>
      <c r="AN259" s="1">
        <v>0</v>
      </c>
      <c r="AO259" s="1">
        <v>0</v>
      </c>
      <c r="AP259" s="1">
        <v>2470.65</v>
      </c>
      <c r="AQ259" s="1">
        <v>2308.9450000000006</v>
      </c>
      <c r="AR259" s="1">
        <v>2224.6569999999997</v>
      </c>
      <c r="AS259" s="1">
        <v>1775.7950000000001</v>
      </c>
      <c r="AT259" s="1">
        <v>2411.261</v>
      </c>
      <c r="AU259" s="1">
        <v>0</v>
      </c>
      <c r="AV259" s="1">
        <v>0</v>
      </c>
      <c r="AW259" s="1">
        <v>0</v>
      </c>
      <c r="AX259" s="1">
        <v>2262.4790000000007</v>
      </c>
      <c r="AY259" s="1">
        <v>0</v>
      </c>
      <c r="AZ259" s="1">
        <v>0</v>
      </c>
      <c r="BA259" s="1">
        <v>0</v>
      </c>
      <c r="BB259" s="1">
        <v>2162.2719999999995</v>
      </c>
      <c r="BC259" s="1">
        <v>0</v>
      </c>
      <c r="BD259" s="1">
        <v>0</v>
      </c>
      <c r="BE259" s="1">
        <v>1740.2270000000001</v>
      </c>
      <c r="BF259" s="1">
        <v>0</v>
      </c>
      <c r="BG259" s="1">
        <v>0</v>
      </c>
      <c r="BH259" s="1">
        <v>0</v>
      </c>
      <c r="BI259" s="1">
        <v>0</v>
      </c>
      <c r="BJ259" s="1">
        <v>59.38900000000001</v>
      </c>
      <c r="BK259" s="1">
        <v>0</v>
      </c>
      <c r="BL259" s="1">
        <v>0</v>
      </c>
      <c r="BM259" s="1">
        <v>46.466000000000001</v>
      </c>
      <c r="BN259" s="1">
        <v>0</v>
      </c>
      <c r="BO259" s="1">
        <v>0</v>
      </c>
      <c r="BP259" s="1">
        <v>62.384999999999998</v>
      </c>
      <c r="BQ259" s="1">
        <v>0</v>
      </c>
      <c r="BR259" s="1">
        <v>0</v>
      </c>
      <c r="BS259" s="1">
        <v>35.567999999999998</v>
      </c>
      <c r="BT259" s="1">
        <v>0</v>
      </c>
      <c r="BU259" s="1">
        <v>9511.4240000000009</v>
      </c>
      <c r="BV259" s="1">
        <v>9880.384</v>
      </c>
      <c r="BW259" s="1">
        <v>9943.9560000000001</v>
      </c>
      <c r="BX259" s="1">
        <v>9730.6560000000009</v>
      </c>
      <c r="BY259" s="1">
        <v>9469.0139999999992</v>
      </c>
      <c r="BZ259" s="1">
        <v>9843.7240000000002</v>
      </c>
      <c r="CA259" s="1">
        <v>9912.5760000000009</v>
      </c>
      <c r="CB259" s="1">
        <v>9698.9759999999987</v>
      </c>
      <c r="CC259" s="1">
        <v>42.41</v>
      </c>
      <c r="CD259" s="1">
        <v>36.659999999999997</v>
      </c>
      <c r="CE259" s="1">
        <v>31.38</v>
      </c>
      <c r="CF259" s="1">
        <v>31.68</v>
      </c>
      <c r="CG259" s="1">
        <v>0</v>
      </c>
      <c r="CH259" s="1">
        <v>0</v>
      </c>
      <c r="CI259" s="1">
        <v>0</v>
      </c>
      <c r="CJ259" s="1">
        <v>0</v>
      </c>
      <c r="CK259" s="1">
        <v>0</v>
      </c>
      <c r="CL259" s="1">
        <v>0</v>
      </c>
      <c r="CM259" s="1">
        <v>0</v>
      </c>
      <c r="CN259" s="1">
        <v>0</v>
      </c>
      <c r="CO259" s="1">
        <v>0</v>
      </c>
      <c r="CP259" s="1">
        <v>0</v>
      </c>
      <c r="CQ259" s="1">
        <v>0</v>
      </c>
      <c r="CR259" s="1">
        <v>0</v>
      </c>
      <c r="CS259" s="1">
        <v>3087.817</v>
      </c>
      <c r="CT259" s="1">
        <v>3097.9459999999999</v>
      </c>
      <c r="CU259" s="1">
        <v>2780.7759999999998</v>
      </c>
      <c r="CV259" s="1">
        <v>2591.3049999999998</v>
      </c>
      <c r="CW259" s="1">
        <v>3087.817</v>
      </c>
      <c r="CX259" s="1">
        <v>3097.9459999999999</v>
      </c>
      <c r="CY259" s="1">
        <v>2780.7759999999998</v>
      </c>
      <c r="CZ259" s="1">
        <v>2591.3049999999998</v>
      </c>
      <c r="DA259" s="1">
        <v>0</v>
      </c>
      <c r="DB259" s="1">
        <v>0</v>
      </c>
      <c r="DC259" s="1">
        <v>0</v>
      </c>
      <c r="DD259" s="1">
        <v>0</v>
      </c>
      <c r="DE259" s="1">
        <v>0</v>
      </c>
      <c r="DF259" s="1">
        <v>0</v>
      </c>
      <c r="DG259" s="1">
        <v>0</v>
      </c>
      <c r="DH259" s="1">
        <v>0</v>
      </c>
      <c r="DI259" s="1">
        <v>0</v>
      </c>
      <c r="DJ259" s="1">
        <v>0</v>
      </c>
      <c r="DK259" s="1">
        <v>0</v>
      </c>
      <c r="DL259" s="1">
        <v>0</v>
      </c>
      <c r="DM259" s="1">
        <v>3775.3919999999998</v>
      </c>
      <c r="DN259" s="1">
        <v>4168.7969999999996</v>
      </c>
      <c r="DO259" s="1">
        <v>3666.212</v>
      </c>
      <c r="DP259" s="1">
        <v>3288.8270000000002</v>
      </c>
      <c r="DQ259" s="1">
        <v>3775.3919999999998</v>
      </c>
      <c r="DR259" s="1">
        <v>4168.7969999999996</v>
      </c>
      <c r="DS259" s="1">
        <v>3666.212</v>
      </c>
      <c r="DT259" s="1">
        <v>3288.8270000000002</v>
      </c>
      <c r="DU259" s="1">
        <v>0</v>
      </c>
      <c r="DV259" s="1">
        <v>0</v>
      </c>
      <c r="DW259" s="1">
        <v>0</v>
      </c>
      <c r="DX259" s="1">
        <v>0</v>
      </c>
      <c r="DY259" s="1">
        <v>0</v>
      </c>
      <c r="DZ259" s="1">
        <v>0</v>
      </c>
      <c r="EA259" s="1">
        <v>0</v>
      </c>
      <c r="EB259" s="1">
        <v>0</v>
      </c>
      <c r="EC259" s="1">
        <v>0</v>
      </c>
      <c r="ED259" s="1">
        <v>0</v>
      </c>
      <c r="EE259" s="1">
        <v>0</v>
      </c>
      <c r="EF259" s="1">
        <v>0</v>
      </c>
      <c r="EG259" s="1">
        <v>0</v>
      </c>
      <c r="EH259" s="1">
        <v>0</v>
      </c>
      <c r="EI259" s="1">
        <v>0</v>
      </c>
      <c r="EJ259" s="1">
        <v>0</v>
      </c>
      <c r="EK259" s="1">
        <v>19737.898000000001</v>
      </c>
      <c r="EL259" s="1">
        <v>18911.991000000002</v>
      </c>
      <c r="EM259" s="1">
        <v>17783.523000000001</v>
      </c>
      <c r="EN259" s="1">
        <v>15293.503000000001</v>
      </c>
      <c r="EO259" s="1">
        <v>19737.898000000001</v>
      </c>
      <c r="EP259" s="1">
        <v>18911.991000000002</v>
      </c>
      <c r="EQ259" s="1">
        <v>17783.523000000001</v>
      </c>
      <c r="ER259" s="1">
        <v>15293.503000000001</v>
      </c>
      <c r="ES259" s="1">
        <v>0</v>
      </c>
      <c r="ET259" s="1">
        <v>0</v>
      </c>
      <c r="EU259" s="1">
        <v>0</v>
      </c>
      <c r="EV259" s="1">
        <v>0</v>
      </c>
      <c r="EW259" s="1">
        <v>0</v>
      </c>
      <c r="EX259" s="1">
        <v>0</v>
      </c>
      <c r="EY259" s="1">
        <v>0</v>
      </c>
      <c r="EZ259" s="1">
        <v>0</v>
      </c>
      <c r="FA259" s="1">
        <v>0</v>
      </c>
      <c r="FB259" s="1">
        <v>0</v>
      </c>
      <c r="FC259" s="1">
        <v>0</v>
      </c>
      <c r="FD259" s="1">
        <v>0</v>
      </c>
      <c r="FE259" s="1">
        <v>586.90599999999995</v>
      </c>
      <c r="FF259" s="1">
        <v>565.76599999999996</v>
      </c>
      <c r="FG259" s="1">
        <v>573.42599999999993</v>
      </c>
      <c r="FH259" s="1">
        <v>592.38699999999994</v>
      </c>
      <c r="FI259" s="1">
        <v>109.39700000000001</v>
      </c>
      <c r="FJ259" s="1">
        <v>105.452</v>
      </c>
      <c r="FK259" s="1">
        <v>107.122</v>
      </c>
      <c r="FL259" s="1">
        <v>110.83799999999999</v>
      </c>
      <c r="FM259" s="1">
        <v>477.50900000000001</v>
      </c>
      <c r="FN259" s="1">
        <v>460.31400000000008</v>
      </c>
      <c r="FO259" s="1">
        <v>466.30399999999997</v>
      </c>
      <c r="FP259" s="1">
        <v>481.54899999999998</v>
      </c>
      <c r="FQ259" s="1">
        <v>0</v>
      </c>
      <c r="FR259" s="1">
        <v>0</v>
      </c>
      <c r="FS259" s="1">
        <v>0</v>
      </c>
      <c r="FT259" s="1">
        <v>0</v>
      </c>
      <c r="FU259" s="1">
        <v>0</v>
      </c>
      <c r="FV259" s="1">
        <v>0</v>
      </c>
      <c r="FW259" s="1">
        <v>0</v>
      </c>
      <c r="FX259" s="1">
        <v>0</v>
      </c>
      <c r="FY259" s="1">
        <v>0</v>
      </c>
      <c r="FZ259" s="1">
        <v>0</v>
      </c>
      <c r="GA259" s="1">
        <v>0</v>
      </c>
      <c r="GB259" s="1">
        <v>0</v>
      </c>
      <c r="GC259" s="1">
        <v>649.274</v>
      </c>
      <c r="GD259" s="1">
        <v>641.57500000000005</v>
      </c>
      <c r="GE259" s="1">
        <v>555.36</v>
      </c>
      <c r="GF259" s="1">
        <v>496.65</v>
      </c>
      <c r="GG259" s="1">
        <v>605.30399999999997</v>
      </c>
      <c r="GH259" s="1">
        <v>592.97500000000002</v>
      </c>
      <c r="GI259" s="1">
        <v>515.36</v>
      </c>
      <c r="GJ259" s="1">
        <v>458.85</v>
      </c>
      <c r="GK259" s="1">
        <v>0</v>
      </c>
      <c r="GL259" s="1">
        <v>0</v>
      </c>
      <c r="GM259" s="1">
        <v>0</v>
      </c>
      <c r="GN259" s="1">
        <v>0</v>
      </c>
      <c r="GO259" s="1">
        <v>0</v>
      </c>
      <c r="GP259" s="1">
        <v>0</v>
      </c>
      <c r="GQ259" s="1">
        <v>0</v>
      </c>
      <c r="GR259" s="1">
        <v>0</v>
      </c>
      <c r="GS259" s="1">
        <v>4.9700000000000006</v>
      </c>
      <c r="GT259" s="1">
        <v>1.86</v>
      </c>
      <c r="GU259" s="1">
        <v>3.04</v>
      </c>
      <c r="GV259" s="1">
        <v>4.34</v>
      </c>
      <c r="GW259" s="1">
        <v>24.9</v>
      </c>
      <c r="GX259" s="1">
        <v>27.28</v>
      </c>
      <c r="GY259" s="1">
        <v>22.12</v>
      </c>
      <c r="GZ259" s="1">
        <v>21.4</v>
      </c>
      <c r="HA259" s="1">
        <v>14.1</v>
      </c>
      <c r="HB259" s="1">
        <v>19.46</v>
      </c>
      <c r="HC259" s="1">
        <v>14.84</v>
      </c>
      <c r="HD259" s="1">
        <v>12.06</v>
      </c>
      <c r="HE259" s="1">
        <v>1979.06</v>
      </c>
      <c r="HF259" s="1">
        <v>1689.32</v>
      </c>
      <c r="HG259" s="1">
        <v>1659.62</v>
      </c>
      <c r="HH259" s="1">
        <v>770.94</v>
      </c>
      <c r="HI259" s="1">
        <v>1979.06</v>
      </c>
      <c r="HJ259" s="1">
        <v>1689.32</v>
      </c>
      <c r="HK259" s="1">
        <v>1659.62</v>
      </c>
      <c r="HL259" s="1">
        <v>770.94</v>
      </c>
      <c r="HM259" s="1">
        <v>0</v>
      </c>
      <c r="HN259" s="1">
        <v>0</v>
      </c>
      <c r="HO259" s="1">
        <v>0</v>
      </c>
      <c r="HP259" s="1">
        <v>0</v>
      </c>
      <c r="HQ259" s="1">
        <v>0</v>
      </c>
      <c r="HR259" s="1">
        <v>0</v>
      </c>
      <c r="HS259" s="1">
        <v>0</v>
      </c>
      <c r="HT259" s="1">
        <v>0</v>
      </c>
      <c r="HU259" s="1">
        <v>0</v>
      </c>
      <c r="HV259" s="1">
        <v>0</v>
      </c>
      <c r="HW259" s="1">
        <v>0</v>
      </c>
      <c r="HX259" s="1">
        <v>0</v>
      </c>
      <c r="HY259" s="1">
        <v>0</v>
      </c>
      <c r="HZ259" s="1">
        <v>0</v>
      </c>
      <c r="IA259" s="1">
        <v>0</v>
      </c>
      <c r="IB259" s="1">
        <v>0</v>
      </c>
      <c r="IC259" s="1">
        <v>0</v>
      </c>
      <c r="ID259" s="1">
        <v>0</v>
      </c>
      <c r="IE259" s="1">
        <v>0</v>
      </c>
      <c r="IF259" s="1">
        <v>0</v>
      </c>
      <c r="IG259" s="1">
        <v>0</v>
      </c>
      <c r="IH259" s="1">
        <v>0</v>
      </c>
      <c r="II259" s="1">
        <v>0</v>
      </c>
      <c r="IJ259" s="1">
        <v>0</v>
      </c>
      <c r="IK259" s="1">
        <v>0</v>
      </c>
      <c r="IL259" s="1">
        <v>0</v>
      </c>
      <c r="IM259" s="1">
        <v>0</v>
      </c>
      <c r="IN259" s="1">
        <v>0</v>
      </c>
      <c r="IO259" s="1">
        <v>2799.9879999999998</v>
      </c>
      <c r="IP259" s="1">
        <v>3745.6579999999999</v>
      </c>
      <c r="IQ259" s="1">
        <v>3489.5720000000001</v>
      </c>
      <c r="IR259" s="1">
        <v>3167.567</v>
      </c>
      <c r="IS259" s="1">
        <v>2799.9879999999998</v>
      </c>
      <c r="IT259" s="1">
        <v>3745.6579999999999</v>
      </c>
      <c r="IU259" s="1">
        <v>3489.5720000000001</v>
      </c>
      <c r="IV259" s="1">
        <v>3167.567</v>
      </c>
      <c r="IW259" s="1">
        <v>0</v>
      </c>
      <c r="IX259" s="1">
        <v>0</v>
      </c>
      <c r="IY259" s="1">
        <v>0</v>
      </c>
      <c r="IZ259" s="1">
        <v>0</v>
      </c>
      <c r="JA259" s="1">
        <v>0</v>
      </c>
      <c r="JB259" s="1">
        <v>0</v>
      </c>
      <c r="JC259" s="1">
        <v>0</v>
      </c>
      <c r="JD259" s="1">
        <v>0</v>
      </c>
      <c r="JE259" s="1">
        <v>0</v>
      </c>
      <c r="JF259" s="1">
        <v>0</v>
      </c>
      <c r="JG259" s="1">
        <v>0</v>
      </c>
      <c r="JH259" s="1">
        <v>0</v>
      </c>
      <c r="JI259" s="1">
        <v>0</v>
      </c>
      <c r="JJ259" s="1">
        <v>0</v>
      </c>
      <c r="JK259" s="1">
        <v>0</v>
      </c>
      <c r="JL259" s="1">
        <v>0</v>
      </c>
      <c r="JM259" s="1">
        <v>0</v>
      </c>
      <c r="JN259" s="1">
        <v>0</v>
      </c>
      <c r="JO259" s="1">
        <v>0</v>
      </c>
      <c r="JP259" s="1">
        <v>0</v>
      </c>
      <c r="JQ259" s="9"/>
      <c r="JR259" s="1">
        <f t="shared" si="60"/>
        <v>55715.980680000008</v>
      </c>
      <c r="JS259" s="1">
        <f t="shared" si="60"/>
        <v>57819.068729999999</v>
      </c>
      <c r="JT259" s="1">
        <f t="shared" si="60"/>
        <v>57570.718680000013</v>
      </c>
      <c r="JU259" s="1">
        <f t="shared" si="58"/>
        <v>57895.637220000004</v>
      </c>
      <c r="JV259" s="1">
        <f t="shared" si="61"/>
        <v>10317.774200000002</v>
      </c>
      <c r="JW259" s="1">
        <f t="shared" si="61"/>
        <v>10707.23495</v>
      </c>
      <c r="JX259" s="1">
        <f t="shared" si="61"/>
        <v>10661.244200000001</v>
      </c>
      <c r="JY259" s="1">
        <f t="shared" si="59"/>
        <v>10721.4143</v>
      </c>
    </row>
    <row r="260" spans="1:285" x14ac:dyDescent="0.35">
      <c r="A260" s="2" t="s">
        <v>267</v>
      </c>
      <c r="B260" s="1">
        <v>235937</v>
      </c>
      <c r="C260" s="1">
        <v>235586</v>
      </c>
      <c r="D260" s="1">
        <v>237156</v>
      </c>
      <c r="E260" s="1">
        <v>238976</v>
      </c>
      <c r="F260" s="1">
        <v>63838.544000000002</v>
      </c>
      <c r="G260" s="1">
        <v>66361.358999999997</v>
      </c>
      <c r="H260" s="1">
        <v>62616.599000000002</v>
      </c>
      <c r="I260" s="1">
        <v>62952.356</v>
      </c>
      <c r="J260" s="1">
        <f t="shared" si="62"/>
        <v>45661.523999999998</v>
      </c>
      <c r="K260" s="1">
        <f t="shared" si="63"/>
        <v>46684.618000000002</v>
      </c>
      <c r="L260" s="1">
        <f t="shared" si="64"/>
        <v>42308.409</v>
      </c>
      <c r="M260" s="1">
        <f t="shared" si="65"/>
        <v>42503.626000000011</v>
      </c>
      <c r="N260" s="1">
        <f t="shared" si="66"/>
        <v>18177.020000000004</v>
      </c>
      <c r="O260" s="1">
        <f t="shared" si="67"/>
        <v>19676.740999999995</v>
      </c>
      <c r="P260" s="1">
        <f t="shared" si="68"/>
        <v>20308.190000000002</v>
      </c>
      <c r="Q260" s="1">
        <f t="shared" si="69"/>
        <v>20448.729999999989</v>
      </c>
      <c r="R260" s="1">
        <v>0</v>
      </c>
      <c r="S260" s="1">
        <v>0</v>
      </c>
      <c r="T260" s="1">
        <v>0</v>
      </c>
      <c r="U260" s="1">
        <v>0</v>
      </c>
      <c r="V260" s="1">
        <v>0</v>
      </c>
      <c r="W260" s="1">
        <v>0</v>
      </c>
      <c r="X260" s="1">
        <v>0</v>
      </c>
      <c r="Y260" s="1">
        <v>0</v>
      </c>
      <c r="Z260" s="1">
        <v>0</v>
      </c>
      <c r="AA260" s="1">
        <v>0</v>
      </c>
      <c r="AB260" s="1">
        <v>0</v>
      </c>
      <c r="AC260" s="1">
        <v>0</v>
      </c>
      <c r="AD260" s="1">
        <v>0</v>
      </c>
      <c r="AE260" s="1">
        <v>0</v>
      </c>
      <c r="AF260" s="1">
        <v>0</v>
      </c>
      <c r="AG260" s="1">
        <v>0</v>
      </c>
      <c r="AH260" s="1">
        <v>0</v>
      </c>
      <c r="AI260" s="1">
        <v>0</v>
      </c>
      <c r="AJ260" s="1">
        <v>0</v>
      </c>
      <c r="AK260" s="1">
        <v>0</v>
      </c>
      <c r="AL260" s="1">
        <v>0</v>
      </c>
      <c r="AM260" s="1">
        <v>0</v>
      </c>
      <c r="AN260" s="1">
        <v>0</v>
      </c>
      <c r="AO260" s="1">
        <v>0</v>
      </c>
      <c r="AP260" s="1">
        <v>26514.299999999996</v>
      </c>
      <c r="AQ260" s="1">
        <v>27739.17</v>
      </c>
      <c r="AR260" s="1">
        <v>25450.030000000006</v>
      </c>
      <c r="AS260" s="1">
        <v>25784.45</v>
      </c>
      <c r="AT260" s="1">
        <v>26257.539999999997</v>
      </c>
      <c r="AU260" s="1">
        <v>256.76</v>
      </c>
      <c r="AV260" s="1">
        <v>0</v>
      </c>
      <c r="AW260" s="1">
        <v>0</v>
      </c>
      <c r="AX260" s="1">
        <v>27490.07</v>
      </c>
      <c r="AY260" s="1">
        <v>249.10000000000002</v>
      </c>
      <c r="AZ260" s="1">
        <v>0</v>
      </c>
      <c r="BA260" s="1">
        <v>0</v>
      </c>
      <c r="BB260" s="1">
        <v>25116.170000000006</v>
      </c>
      <c r="BC260" s="1">
        <v>333.85999999999996</v>
      </c>
      <c r="BD260" s="1">
        <v>0</v>
      </c>
      <c r="BE260" s="1">
        <v>25596.33</v>
      </c>
      <c r="BF260" s="1">
        <v>188.11999999999898</v>
      </c>
      <c r="BG260" s="1">
        <v>0</v>
      </c>
      <c r="BH260" s="1">
        <v>0</v>
      </c>
      <c r="BI260" s="1">
        <v>0</v>
      </c>
      <c r="BJ260" s="1">
        <v>0</v>
      </c>
      <c r="BK260" s="1">
        <v>0</v>
      </c>
      <c r="BL260" s="1">
        <v>0</v>
      </c>
      <c r="BM260" s="1">
        <v>0</v>
      </c>
      <c r="BN260" s="1">
        <v>0</v>
      </c>
      <c r="BO260" s="1">
        <v>0</v>
      </c>
      <c r="BP260" s="1">
        <v>0</v>
      </c>
      <c r="BQ260" s="1">
        <v>0</v>
      </c>
      <c r="BR260" s="1">
        <v>0</v>
      </c>
      <c r="BS260" s="1">
        <v>0</v>
      </c>
      <c r="BT260" s="1">
        <v>0</v>
      </c>
      <c r="BU260" s="1">
        <v>8485.17</v>
      </c>
      <c r="BV260" s="1">
        <v>8597.59</v>
      </c>
      <c r="BW260" s="1">
        <v>8033.02</v>
      </c>
      <c r="BX260" s="1">
        <v>7834.74</v>
      </c>
      <c r="BY260" s="1">
        <v>8485.17</v>
      </c>
      <c r="BZ260" s="1">
        <v>8597.59</v>
      </c>
      <c r="CA260" s="1">
        <v>8033.02</v>
      </c>
      <c r="CB260" s="1">
        <v>7834.74</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1404.29</v>
      </c>
      <c r="CT260" s="1">
        <v>1478.61</v>
      </c>
      <c r="CU260" s="1">
        <v>1357.92</v>
      </c>
      <c r="CV260" s="1">
        <v>1404.08</v>
      </c>
      <c r="CW260" s="1">
        <v>1404.29</v>
      </c>
      <c r="CX260" s="1">
        <v>1478.61</v>
      </c>
      <c r="CY260" s="1">
        <v>1354.1</v>
      </c>
      <c r="CZ260" s="1">
        <v>1404.08</v>
      </c>
      <c r="DA260" s="1">
        <v>0</v>
      </c>
      <c r="DB260" s="1">
        <v>0</v>
      </c>
      <c r="DC260" s="1">
        <v>3.82</v>
      </c>
      <c r="DD260" s="1">
        <v>0</v>
      </c>
      <c r="DE260" s="1">
        <v>0</v>
      </c>
      <c r="DF260" s="1">
        <v>0</v>
      </c>
      <c r="DG260" s="1">
        <v>0</v>
      </c>
      <c r="DH260" s="1">
        <v>0</v>
      </c>
      <c r="DI260" s="1">
        <v>0</v>
      </c>
      <c r="DJ260" s="1">
        <v>0</v>
      </c>
      <c r="DK260" s="1">
        <v>0</v>
      </c>
      <c r="DL260" s="1">
        <v>0</v>
      </c>
      <c r="DM260" s="1">
        <v>7387.68</v>
      </c>
      <c r="DN260" s="1">
        <v>7073.04</v>
      </c>
      <c r="DO260" s="1">
        <v>6152.76</v>
      </c>
      <c r="DP260" s="1">
        <v>5948.05</v>
      </c>
      <c r="DQ260" s="1">
        <v>7387.68</v>
      </c>
      <c r="DR260" s="1">
        <v>7073.04</v>
      </c>
      <c r="DS260" s="1">
        <v>6152.76</v>
      </c>
      <c r="DT260" s="1">
        <v>5948.05</v>
      </c>
      <c r="DU260" s="1">
        <v>0</v>
      </c>
      <c r="DV260" s="1">
        <v>0</v>
      </c>
      <c r="DW260" s="1">
        <v>0</v>
      </c>
      <c r="DX260" s="1">
        <v>0</v>
      </c>
      <c r="DY260" s="1">
        <v>0</v>
      </c>
      <c r="DZ260" s="1">
        <v>0</v>
      </c>
      <c r="EA260" s="1">
        <v>0</v>
      </c>
      <c r="EB260" s="1">
        <v>0</v>
      </c>
      <c r="EC260" s="1">
        <v>0</v>
      </c>
      <c r="ED260" s="1">
        <v>0</v>
      </c>
      <c r="EE260" s="1">
        <v>0</v>
      </c>
      <c r="EF260" s="1">
        <v>0</v>
      </c>
      <c r="EG260" s="1">
        <v>0</v>
      </c>
      <c r="EH260" s="1">
        <v>0</v>
      </c>
      <c r="EI260" s="1">
        <v>0</v>
      </c>
      <c r="EJ260" s="1">
        <v>0</v>
      </c>
      <c r="EK260" s="1">
        <v>1837.05</v>
      </c>
      <c r="EL260" s="1">
        <v>1673.62</v>
      </c>
      <c r="EM260" s="1">
        <v>1207.25</v>
      </c>
      <c r="EN260" s="1">
        <v>1359.58</v>
      </c>
      <c r="EO260" s="1">
        <v>1837.05</v>
      </c>
      <c r="EP260" s="1">
        <v>1673.62</v>
      </c>
      <c r="EQ260" s="1">
        <v>1207.25</v>
      </c>
      <c r="ER260" s="1">
        <v>1359.58</v>
      </c>
      <c r="ES260" s="1">
        <v>0</v>
      </c>
      <c r="ET260" s="1">
        <v>0</v>
      </c>
      <c r="EU260" s="1">
        <v>0</v>
      </c>
      <c r="EV260" s="1">
        <v>0</v>
      </c>
      <c r="EW260" s="1">
        <v>0</v>
      </c>
      <c r="EX260" s="1">
        <v>0</v>
      </c>
      <c r="EY260" s="1">
        <v>0</v>
      </c>
      <c r="EZ260" s="1">
        <v>0</v>
      </c>
      <c r="FA260" s="1">
        <v>0</v>
      </c>
      <c r="FB260" s="1">
        <v>0</v>
      </c>
      <c r="FC260" s="1">
        <v>0</v>
      </c>
      <c r="FD260" s="1">
        <v>0</v>
      </c>
      <c r="FE260" s="1">
        <v>18.494</v>
      </c>
      <c r="FF260" s="1">
        <v>50.008000000000003</v>
      </c>
      <c r="FG260" s="1">
        <v>46.968999999999987</v>
      </c>
      <c r="FH260" s="1">
        <v>54.725999999999999</v>
      </c>
      <c r="FI260" s="1">
        <v>9.7940000000000005</v>
      </c>
      <c r="FJ260" s="1">
        <v>50.008000000000003</v>
      </c>
      <c r="FK260" s="1">
        <v>46.968999999999987</v>
      </c>
      <c r="FL260" s="1">
        <v>54.725999999999999</v>
      </c>
      <c r="FM260" s="1">
        <v>8.6999999999999993</v>
      </c>
      <c r="FN260" s="1">
        <v>0</v>
      </c>
      <c r="FO260" s="1">
        <v>0</v>
      </c>
      <c r="FP260" s="1">
        <v>0</v>
      </c>
      <c r="FQ260" s="1">
        <v>0</v>
      </c>
      <c r="FR260" s="1">
        <v>0</v>
      </c>
      <c r="FS260" s="1">
        <v>0</v>
      </c>
      <c r="FT260" s="1">
        <v>0</v>
      </c>
      <c r="FU260" s="1">
        <v>0</v>
      </c>
      <c r="FV260" s="1">
        <v>0</v>
      </c>
      <c r="FW260" s="1">
        <v>0</v>
      </c>
      <c r="FX260" s="1">
        <v>0</v>
      </c>
      <c r="FY260" s="1">
        <v>0</v>
      </c>
      <c r="FZ260" s="1">
        <v>0</v>
      </c>
      <c r="GA260" s="1">
        <v>0</v>
      </c>
      <c r="GB260" s="1">
        <v>0</v>
      </c>
      <c r="GC260" s="1">
        <v>14.54</v>
      </c>
      <c r="GD260" s="1">
        <v>72.58</v>
      </c>
      <c r="GE260" s="1">
        <v>60.459999999999987</v>
      </c>
      <c r="GF260" s="1">
        <v>118</v>
      </c>
      <c r="GG260" s="1">
        <v>14.54</v>
      </c>
      <c r="GH260" s="1">
        <v>72.58</v>
      </c>
      <c r="GI260" s="1">
        <v>60.459999999999987</v>
      </c>
      <c r="GJ260" s="1">
        <v>118</v>
      </c>
      <c r="GK260" s="1">
        <v>0</v>
      </c>
      <c r="GL260" s="1">
        <v>0</v>
      </c>
      <c r="GM260" s="1">
        <v>0</v>
      </c>
      <c r="GN260" s="1">
        <v>0</v>
      </c>
      <c r="GO260" s="1">
        <v>0</v>
      </c>
      <c r="GP260" s="1">
        <v>0</v>
      </c>
      <c r="GQ260" s="1">
        <v>0</v>
      </c>
      <c r="GR260" s="1">
        <v>0</v>
      </c>
      <c r="GS260" s="1">
        <v>0</v>
      </c>
      <c r="GT260" s="1">
        <v>0</v>
      </c>
      <c r="GU260" s="1">
        <v>0</v>
      </c>
      <c r="GV260" s="1">
        <v>0</v>
      </c>
      <c r="GW260" s="1">
        <v>0</v>
      </c>
      <c r="GX260" s="1">
        <v>0</v>
      </c>
      <c r="GY260" s="1">
        <v>0</v>
      </c>
      <c r="GZ260" s="1">
        <v>0</v>
      </c>
      <c r="HA260" s="1">
        <v>0</v>
      </c>
      <c r="HB260" s="1">
        <v>0</v>
      </c>
      <c r="HC260" s="1">
        <v>0</v>
      </c>
      <c r="HD260" s="1">
        <v>0</v>
      </c>
      <c r="HE260" s="1">
        <v>0</v>
      </c>
      <c r="HF260" s="1">
        <v>0</v>
      </c>
      <c r="HG260" s="1">
        <v>0</v>
      </c>
      <c r="HH260" s="1">
        <v>0</v>
      </c>
      <c r="HI260" s="1">
        <v>0</v>
      </c>
      <c r="HJ260" s="1">
        <v>0</v>
      </c>
      <c r="HK260" s="1">
        <v>0</v>
      </c>
      <c r="HL260" s="1">
        <v>0</v>
      </c>
      <c r="HM260" s="1">
        <v>0</v>
      </c>
      <c r="HN260" s="1">
        <v>0</v>
      </c>
      <c r="HO260" s="1">
        <v>0</v>
      </c>
      <c r="HP260" s="1">
        <v>0</v>
      </c>
      <c r="HQ260" s="1">
        <v>0</v>
      </c>
      <c r="HR260" s="1">
        <v>0</v>
      </c>
      <c r="HS260" s="1">
        <v>0</v>
      </c>
      <c r="HT260" s="1">
        <v>0</v>
      </c>
      <c r="HU260" s="1">
        <v>0</v>
      </c>
      <c r="HV260" s="1">
        <v>0</v>
      </c>
      <c r="HW260" s="1">
        <v>0</v>
      </c>
      <c r="HX260" s="1">
        <v>0</v>
      </c>
      <c r="HY260" s="1">
        <v>0</v>
      </c>
      <c r="HZ260" s="1">
        <v>0</v>
      </c>
      <c r="IA260" s="1">
        <v>0</v>
      </c>
      <c r="IB260" s="1">
        <v>0</v>
      </c>
      <c r="IC260" s="1">
        <v>0</v>
      </c>
      <c r="ID260" s="1">
        <v>0</v>
      </c>
      <c r="IE260" s="1">
        <v>0</v>
      </c>
      <c r="IF260" s="1">
        <v>0</v>
      </c>
      <c r="IG260" s="1">
        <v>0</v>
      </c>
      <c r="IH260" s="1">
        <v>0</v>
      </c>
      <c r="II260" s="1">
        <v>0</v>
      </c>
      <c r="IJ260" s="1">
        <v>0</v>
      </c>
      <c r="IK260" s="1">
        <v>0</v>
      </c>
      <c r="IL260" s="1">
        <v>0</v>
      </c>
      <c r="IM260" s="1">
        <v>0</v>
      </c>
      <c r="IN260" s="1">
        <v>0</v>
      </c>
      <c r="IO260" s="1">
        <v>0</v>
      </c>
      <c r="IP260" s="1">
        <v>0</v>
      </c>
      <c r="IQ260" s="1">
        <v>0</v>
      </c>
      <c r="IR260" s="1">
        <v>0</v>
      </c>
      <c r="IS260" s="1">
        <v>0</v>
      </c>
      <c r="IT260" s="1">
        <v>0</v>
      </c>
      <c r="IU260" s="1">
        <v>0</v>
      </c>
      <c r="IV260" s="1">
        <v>0</v>
      </c>
      <c r="IW260" s="1">
        <v>0</v>
      </c>
      <c r="IX260" s="1">
        <v>0</v>
      </c>
      <c r="IY260" s="1">
        <v>0</v>
      </c>
      <c r="IZ260" s="1">
        <v>0</v>
      </c>
      <c r="JA260" s="1">
        <v>0</v>
      </c>
      <c r="JB260" s="1">
        <v>0</v>
      </c>
      <c r="JC260" s="1">
        <v>0</v>
      </c>
      <c r="JD260" s="1">
        <v>0</v>
      </c>
      <c r="JE260" s="1">
        <v>0</v>
      </c>
      <c r="JF260" s="1">
        <v>0</v>
      </c>
      <c r="JG260" s="1">
        <v>0</v>
      </c>
      <c r="JH260" s="1">
        <v>0</v>
      </c>
      <c r="JI260" s="1">
        <v>0</v>
      </c>
      <c r="JJ260" s="1">
        <v>0</v>
      </c>
      <c r="JK260" s="1">
        <v>0</v>
      </c>
      <c r="JL260" s="1">
        <v>0</v>
      </c>
      <c r="JM260" s="1">
        <v>0</v>
      </c>
      <c r="JN260" s="1">
        <v>0</v>
      </c>
      <c r="JO260" s="1">
        <v>0</v>
      </c>
      <c r="JP260" s="1">
        <v>0</v>
      </c>
      <c r="JQ260" s="9"/>
      <c r="JR260" s="1">
        <f t="shared" si="60"/>
        <v>4907.7954000000018</v>
      </c>
      <c r="JS260" s="1">
        <f t="shared" si="60"/>
        <v>5312.7200699999985</v>
      </c>
      <c r="JT260" s="1">
        <f t="shared" si="60"/>
        <v>5483.2113000000008</v>
      </c>
      <c r="JU260" s="1">
        <f t="shared" si="58"/>
        <v>5521.1570999999976</v>
      </c>
      <c r="JV260" s="1">
        <f t="shared" si="61"/>
        <v>908.85100000000023</v>
      </c>
      <c r="JW260" s="1">
        <f t="shared" si="61"/>
        <v>983.83704999999975</v>
      </c>
      <c r="JX260" s="1">
        <f t="shared" si="61"/>
        <v>1015.4095000000002</v>
      </c>
      <c r="JY260" s="1">
        <f t="shared" si="59"/>
        <v>1022.4364999999995</v>
      </c>
    </row>
    <row r="261" spans="1:285" x14ac:dyDescent="0.35">
      <c r="A261" s="2" t="s">
        <v>268</v>
      </c>
      <c r="B261" s="1">
        <v>115271</v>
      </c>
      <c r="C261" s="1">
        <v>115650</v>
      </c>
      <c r="D261" s="1">
        <v>116263</v>
      </c>
      <c r="E261" s="1">
        <v>117741</v>
      </c>
      <c r="F261" s="1">
        <v>47752.417999999998</v>
      </c>
      <c r="G261" s="1">
        <v>54512.819000000003</v>
      </c>
      <c r="H261" s="1">
        <v>51457.078999999998</v>
      </c>
      <c r="I261" s="1">
        <v>50598.51</v>
      </c>
      <c r="J261" s="1">
        <f t="shared" si="62"/>
        <v>39133.517999999996</v>
      </c>
      <c r="K261" s="1">
        <f t="shared" si="63"/>
        <v>46307.078999999991</v>
      </c>
      <c r="L261" s="1">
        <f t="shared" si="64"/>
        <v>43021.918999999994</v>
      </c>
      <c r="M261" s="1">
        <f t="shared" si="65"/>
        <v>43144.99</v>
      </c>
      <c r="N261" s="1">
        <f t="shared" si="66"/>
        <v>8618.9000000000015</v>
      </c>
      <c r="O261" s="1">
        <f t="shared" si="67"/>
        <v>8205.7400000000125</v>
      </c>
      <c r="P261" s="1">
        <f t="shared" si="68"/>
        <v>8435.1600000000035</v>
      </c>
      <c r="Q261" s="1">
        <f t="shared" si="69"/>
        <v>7453.5200000000041</v>
      </c>
      <c r="R261" s="1">
        <v>2289.8200000000002</v>
      </c>
      <c r="S261" s="1">
        <v>3007.48</v>
      </c>
      <c r="T261" s="1">
        <v>2376.48</v>
      </c>
      <c r="U261" s="1">
        <v>2334.5100000000002</v>
      </c>
      <c r="V261" s="1">
        <v>2289.8200000000002</v>
      </c>
      <c r="W261" s="1">
        <v>0</v>
      </c>
      <c r="X261" s="1">
        <v>0</v>
      </c>
      <c r="Y261" s="1">
        <v>1667.16</v>
      </c>
      <c r="Z261" s="1">
        <v>0</v>
      </c>
      <c r="AA261" s="1">
        <v>1340.32</v>
      </c>
      <c r="AB261" s="1">
        <v>0</v>
      </c>
      <c r="AC261" s="1">
        <v>0</v>
      </c>
      <c r="AD261" s="1">
        <v>2376.48</v>
      </c>
      <c r="AE261" s="1">
        <v>0</v>
      </c>
      <c r="AF261" s="1">
        <v>0</v>
      </c>
      <c r="AG261" s="1">
        <v>2334.5100000000002</v>
      </c>
      <c r="AH261" s="1">
        <v>0</v>
      </c>
      <c r="AI261" s="1">
        <v>0</v>
      </c>
      <c r="AJ261" s="1">
        <v>0</v>
      </c>
      <c r="AK261" s="1">
        <v>0</v>
      </c>
      <c r="AL261" s="1">
        <v>0</v>
      </c>
      <c r="AM261" s="1">
        <v>0</v>
      </c>
      <c r="AN261" s="1">
        <v>0</v>
      </c>
      <c r="AO261" s="1">
        <v>0</v>
      </c>
      <c r="AP261" s="1">
        <v>5803.76</v>
      </c>
      <c r="AQ261" s="1">
        <v>5377.2400000000007</v>
      </c>
      <c r="AR261" s="1">
        <v>5146.3600000000006</v>
      </c>
      <c r="AS261" s="1">
        <v>7277.78</v>
      </c>
      <c r="AT261" s="1">
        <v>5803.76</v>
      </c>
      <c r="AU261" s="1">
        <v>0</v>
      </c>
      <c r="AV261" s="1">
        <v>0</v>
      </c>
      <c r="AW261" s="1">
        <v>0</v>
      </c>
      <c r="AX261" s="1">
        <v>5377.2400000000007</v>
      </c>
      <c r="AY261" s="1">
        <v>0</v>
      </c>
      <c r="AZ261" s="1">
        <v>0</v>
      </c>
      <c r="BA261" s="1">
        <v>0</v>
      </c>
      <c r="BB261" s="1">
        <v>5146.3600000000006</v>
      </c>
      <c r="BC261" s="1">
        <v>0</v>
      </c>
      <c r="BD261" s="1">
        <v>0</v>
      </c>
      <c r="BE261" s="1">
        <v>7277.78</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5482.17</v>
      </c>
      <c r="BV261" s="1">
        <v>6864.42</v>
      </c>
      <c r="BW261" s="1">
        <v>5745.45</v>
      </c>
      <c r="BX261" s="1">
        <v>5575.8</v>
      </c>
      <c r="BY261" s="1">
        <v>5480.34</v>
      </c>
      <c r="BZ261" s="1">
        <v>6863.32</v>
      </c>
      <c r="CA261" s="1">
        <v>5745.45</v>
      </c>
      <c r="CB261" s="1">
        <v>5575.8</v>
      </c>
      <c r="CC261" s="1">
        <v>1.83</v>
      </c>
      <c r="CD261" s="1">
        <v>1.1000000000000001</v>
      </c>
      <c r="CE261" s="1">
        <v>0</v>
      </c>
      <c r="CF261" s="1">
        <v>0</v>
      </c>
      <c r="CG261" s="1">
        <v>0</v>
      </c>
      <c r="CH261" s="1">
        <v>0</v>
      </c>
      <c r="CI261" s="1">
        <v>0</v>
      </c>
      <c r="CJ261" s="1">
        <v>0</v>
      </c>
      <c r="CK261" s="1">
        <v>0</v>
      </c>
      <c r="CL261" s="1">
        <v>0</v>
      </c>
      <c r="CM261" s="1">
        <v>0</v>
      </c>
      <c r="CN261" s="1">
        <v>0</v>
      </c>
      <c r="CO261" s="1">
        <v>0</v>
      </c>
      <c r="CP261" s="1">
        <v>0</v>
      </c>
      <c r="CQ261" s="1">
        <v>0</v>
      </c>
      <c r="CR261" s="1">
        <v>0</v>
      </c>
      <c r="CS261" s="1">
        <v>9913.7999999999993</v>
      </c>
      <c r="CT261" s="1">
        <v>6129.99</v>
      </c>
      <c r="CU261" s="1">
        <v>5985.369999999999</v>
      </c>
      <c r="CV261" s="1">
        <v>5696.7099999999991</v>
      </c>
      <c r="CW261" s="1">
        <v>9913.7999999999993</v>
      </c>
      <c r="CX261" s="1">
        <v>6129.99</v>
      </c>
      <c r="CY261" s="1">
        <v>5985.369999999999</v>
      </c>
      <c r="CZ261" s="1">
        <v>5696.7099999999991</v>
      </c>
      <c r="DA261" s="1">
        <v>0</v>
      </c>
      <c r="DB261" s="1">
        <v>0</v>
      </c>
      <c r="DC261" s="1">
        <v>0</v>
      </c>
      <c r="DD261" s="1">
        <v>0</v>
      </c>
      <c r="DE261" s="1">
        <v>0</v>
      </c>
      <c r="DF261" s="1">
        <v>0</v>
      </c>
      <c r="DG261" s="1">
        <v>0</v>
      </c>
      <c r="DH261" s="1">
        <v>0</v>
      </c>
      <c r="DI261" s="1">
        <v>0</v>
      </c>
      <c r="DJ261" s="1">
        <v>0</v>
      </c>
      <c r="DK261" s="1">
        <v>0</v>
      </c>
      <c r="DL261" s="1">
        <v>0</v>
      </c>
      <c r="DM261" s="1">
        <v>6513.96</v>
      </c>
      <c r="DN261" s="1">
        <v>6359.7199999999993</v>
      </c>
      <c r="DO261" s="1">
        <v>5867.3700000000008</v>
      </c>
      <c r="DP261" s="1">
        <v>5428.0599999999986</v>
      </c>
      <c r="DQ261" s="1">
        <v>6513.96</v>
      </c>
      <c r="DR261" s="1">
        <v>6359.7199999999993</v>
      </c>
      <c r="DS261" s="1">
        <v>5867.3700000000008</v>
      </c>
      <c r="DT261" s="1">
        <v>5428.0599999999986</v>
      </c>
      <c r="DU261" s="1">
        <v>0</v>
      </c>
      <c r="DV261" s="1">
        <v>0</v>
      </c>
      <c r="DW261" s="1">
        <v>0</v>
      </c>
      <c r="DX261" s="1">
        <v>0</v>
      </c>
      <c r="DY261" s="1">
        <v>0</v>
      </c>
      <c r="DZ261" s="1">
        <v>0</v>
      </c>
      <c r="EA261" s="1">
        <v>0</v>
      </c>
      <c r="EB261" s="1">
        <v>0</v>
      </c>
      <c r="EC261" s="1">
        <v>0</v>
      </c>
      <c r="ED261" s="1">
        <v>0</v>
      </c>
      <c r="EE261" s="1">
        <v>0</v>
      </c>
      <c r="EF261" s="1">
        <v>0</v>
      </c>
      <c r="EG261" s="1">
        <v>0</v>
      </c>
      <c r="EH261" s="1">
        <v>0</v>
      </c>
      <c r="EI261" s="1">
        <v>0</v>
      </c>
      <c r="EJ261" s="1">
        <v>0</v>
      </c>
      <c r="EK261" s="1">
        <v>8327.06</v>
      </c>
      <c r="EL261" s="1">
        <v>17312.66</v>
      </c>
      <c r="EM261" s="1">
        <v>16959.54</v>
      </c>
      <c r="EN261" s="1">
        <v>15770.28</v>
      </c>
      <c r="EO261" s="1">
        <v>8327.06</v>
      </c>
      <c r="EP261" s="1">
        <v>17312.66</v>
      </c>
      <c r="EQ261" s="1">
        <v>16959.54</v>
      </c>
      <c r="ER261" s="1">
        <v>15770.28</v>
      </c>
      <c r="ES261" s="1">
        <v>0</v>
      </c>
      <c r="ET261" s="1">
        <v>0</v>
      </c>
      <c r="EU261" s="1">
        <v>0</v>
      </c>
      <c r="EV261" s="1">
        <v>0</v>
      </c>
      <c r="EW261" s="1">
        <v>0</v>
      </c>
      <c r="EX261" s="1">
        <v>0</v>
      </c>
      <c r="EY261" s="1">
        <v>0</v>
      </c>
      <c r="EZ261" s="1">
        <v>0</v>
      </c>
      <c r="FA261" s="1">
        <v>0</v>
      </c>
      <c r="FB261" s="1">
        <v>0</v>
      </c>
      <c r="FC261" s="1">
        <v>0</v>
      </c>
      <c r="FD261" s="1">
        <v>0</v>
      </c>
      <c r="FE261" s="1">
        <v>70.168000000000006</v>
      </c>
      <c r="FF261" s="1">
        <v>66.429000000000002</v>
      </c>
      <c r="FG261" s="1">
        <v>14.609</v>
      </c>
      <c r="FH261" s="1">
        <v>3.83</v>
      </c>
      <c r="FI261" s="1">
        <v>70.168000000000006</v>
      </c>
      <c r="FJ261" s="1">
        <v>66.429000000000002</v>
      </c>
      <c r="FK261" s="1">
        <v>14.609</v>
      </c>
      <c r="FL261" s="1">
        <v>3.83</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v>0</v>
      </c>
      <c r="GC261" s="1">
        <v>28.64</v>
      </c>
      <c r="GD261" s="1">
        <v>37.14</v>
      </c>
      <c r="GE261" s="1">
        <v>31.9</v>
      </c>
      <c r="GF261" s="1">
        <v>120.45</v>
      </c>
      <c r="GG261" s="1">
        <v>28.64</v>
      </c>
      <c r="GH261" s="1">
        <v>37.14</v>
      </c>
      <c r="GI261" s="1">
        <v>31.9</v>
      </c>
      <c r="GJ261" s="1">
        <v>120.45</v>
      </c>
      <c r="GK261" s="1">
        <v>0</v>
      </c>
      <c r="GL261" s="1">
        <v>0</v>
      </c>
      <c r="GM261" s="1">
        <v>0</v>
      </c>
      <c r="GN261" s="1">
        <v>0</v>
      </c>
      <c r="GO261" s="1">
        <v>0</v>
      </c>
      <c r="GP261" s="1">
        <v>0</v>
      </c>
      <c r="GQ261" s="1">
        <v>0</v>
      </c>
      <c r="GR261" s="1">
        <v>0</v>
      </c>
      <c r="GS261" s="1">
        <v>0</v>
      </c>
      <c r="GT261" s="1">
        <v>0</v>
      </c>
      <c r="GU261" s="1">
        <v>0</v>
      </c>
      <c r="GV261" s="1">
        <v>0</v>
      </c>
      <c r="GW261" s="1">
        <v>0</v>
      </c>
      <c r="GX261" s="1">
        <v>0</v>
      </c>
      <c r="GY261" s="1">
        <v>0</v>
      </c>
      <c r="GZ261" s="1">
        <v>0</v>
      </c>
      <c r="HA261" s="1">
        <v>0</v>
      </c>
      <c r="HB261" s="1">
        <v>0</v>
      </c>
      <c r="HC261" s="1">
        <v>0</v>
      </c>
      <c r="HD261" s="1">
        <v>0</v>
      </c>
      <c r="HE261" s="1">
        <v>0</v>
      </c>
      <c r="HF261" s="1">
        <v>0</v>
      </c>
      <c r="HG261" s="1">
        <v>0</v>
      </c>
      <c r="HH261" s="1">
        <v>0</v>
      </c>
      <c r="HI261" s="1">
        <v>0</v>
      </c>
      <c r="HJ261" s="1">
        <v>0</v>
      </c>
      <c r="HK261" s="1">
        <v>0</v>
      </c>
      <c r="HL261" s="1">
        <v>0</v>
      </c>
      <c r="HM261" s="1">
        <v>0</v>
      </c>
      <c r="HN261" s="1">
        <v>0</v>
      </c>
      <c r="HO261" s="1">
        <v>0</v>
      </c>
      <c r="HP261" s="1">
        <v>0</v>
      </c>
      <c r="HQ261" s="1">
        <v>0</v>
      </c>
      <c r="HR261" s="1">
        <v>0</v>
      </c>
      <c r="HS261" s="1">
        <v>0</v>
      </c>
      <c r="HT261" s="1">
        <v>0</v>
      </c>
      <c r="HU261" s="1">
        <v>0</v>
      </c>
      <c r="HV261" s="1">
        <v>0</v>
      </c>
      <c r="HW261" s="1">
        <v>0</v>
      </c>
      <c r="HX261" s="1">
        <v>0</v>
      </c>
      <c r="HY261" s="1">
        <v>0</v>
      </c>
      <c r="HZ261" s="1">
        <v>0</v>
      </c>
      <c r="IA261" s="1">
        <v>0</v>
      </c>
      <c r="IB261" s="1">
        <v>0</v>
      </c>
      <c r="IC261" s="1">
        <v>0</v>
      </c>
      <c r="ID261" s="1">
        <v>0</v>
      </c>
      <c r="IE261" s="1">
        <v>0</v>
      </c>
      <c r="IF261" s="1">
        <v>0</v>
      </c>
      <c r="IG261" s="1">
        <v>0</v>
      </c>
      <c r="IH261" s="1">
        <v>0</v>
      </c>
      <c r="II261" s="1">
        <v>0</v>
      </c>
      <c r="IJ261" s="1">
        <v>0</v>
      </c>
      <c r="IK261" s="1">
        <v>0</v>
      </c>
      <c r="IL261" s="1">
        <v>0</v>
      </c>
      <c r="IM261" s="1">
        <v>0</v>
      </c>
      <c r="IN261" s="1">
        <v>0</v>
      </c>
      <c r="IO261" s="1">
        <v>704.14</v>
      </c>
      <c r="IP261" s="1">
        <v>1152</v>
      </c>
      <c r="IQ261" s="1">
        <v>894.83999999999992</v>
      </c>
      <c r="IR261" s="1">
        <v>937.56999999999994</v>
      </c>
      <c r="IS261" s="1">
        <v>704.14</v>
      </c>
      <c r="IT261" s="1">
        <v>1152</v>
      </c>
      <c r="IU261" s="1">
        <v>894.83999999999992</v>
      </c>
      <c r="IV261" s="1">
        <v>937.56999999999994</v>
      </c>
      <c r="IW261" s="1">
        <v>0</v>
      </c>
      <c r="IX261" s="1">
        <v>0</v>
      </c>
      <c r="IY261" s="1">
        <v>0</v>
      </c>
      <c r="IZ261" s="1">
        <v>0</v>
      </c>
      <c r="JA261" s="1">
        <v>0</v>
      </c>
      <c r="JB261" s="1">
        <v>0</v>
      </c>
      <c r="JC261" s="1">
        <v>0</v>
      </c>
      <c r="JD261" s="1">
        <v>0</v>
      </c>
      <c r="JE261" s="1">
        <v>0</v>
      </c>
      <c r="JF261" s="1">
        <v>0</v>
      </c>
      <c r="JG261" s="1">
        <v>0</v>
      </c>
      <c r="JH261" s="1">
        <v>0</v>
      </c>
      <c r="JI261" s="1">
        <v>0</v>
      </c>
      <c r="JJ261" s="1">
        <v>0</v>
      </c>
      <c r="JK261" s="1">
        <v>0</v>
      </c>
      <c r="JL261" s="1">
        <v>0</v>
      </c>
      <c r="JM261" s="1">
        <v>0</v>
      </c>
      <c r="JN261" s="1">
        <v>0</v>
      </c>
      <c r="JO261" s="1">
        <v>0</v>
      </c>
      <c r="JP261" s="1">
        <v>0</v>
      </c>
      <c r="JQ261" s="9"/>
      <c r="JR261" s="1">
        <f t="shared" si="60"/>
        <v>2327.1030000000005</v>
      </c>
      <c r="JS261" s="1">
        <f t="shared" si="60"/>
        <v>2215.5498000000034</v>
      </c>
      <c r="JT261" s="1">
        <f t="shared" si="60"/>
        <v>2277.4932000000013</v>
      </c>
      <c r="JU261" s="1">
        <f t="shared" si="58"/>
        <v>2012.4504000000013</v>
      </c>
      <c r="JV261" s="1">
        <f t="shared" si="61"/>
        <v>430.94500000000011</v>
      </c>
      <c r="JW261" s="1">
        <f t="shared" si="61"/>
        <v>410.28700000000066</v>
      </c>
      <c r="JX261" s="1">
        <f t="shared" si="61"/>
        <v>421.75800000000021</v>
      </c>
      <c r="JY261" s="1">
        <f t="shared" si="59"/>
        <v>372.67600000000022</v>
      </c>
    </row>
    <row r="262" spans="1:285" x14ac:dyDescent="0.35">
      <c r="A262" s="2" t="s">
        <v>269</v>
      </c>
      <c r="B262" s="1">
        <v>90482</v>
      </c>
      <c r="C262" s="1">
        <v>91921</v>
      </c>
      <c r="D262" s="1">
        <v>92650</v>
      </c>
      <c r="E262" s="1">
        <v>93910</v>
      </c>
      <c r="F262" s="1">
        <v>36161.531000000003</v>
      </c>
      <c r="G262" s="1">
        <v>36558.243000000002</v>
      </c>
      <c r="H262" s="1">
        <v>33623.406000000003</v>
      </c>
      <c r="I262" s="1">
        <v>32097.324000000001</v>
      </c>
      <c r="J262" s="1">
        <f t="shared" si="62"/>
        <v>23030.627</v>
      </c>
      <c r="K262" s="1">
        <f t="shared" si="63"/>
        <v>23613.864999999998</v>
      </c>
      <c r="L262" s="1">
        <f t="shared" si="64"/>
        <v>20618.640000000003</v>
      </c>
      <c r="M262" s="1">
        <f t="shared" si="65"/>
        <v>20260.481</v>
      </c>
      <c r="N262" s="1">
        <f t="shared" si="66"/>
        <v>13130.904000000002</v>
      </c>
      <c r="O262" s="1">
        <f t="shared" si="67"/>
        <v>12944.378000000004</v>
      </c>
      <c r="P262" s="1">
        <f t="shared" si="68"/>
        <v>13004.766</v>
      </c>
      <c r="Q262" s="1">
        <f t="shared" si="69"/>
        <v>11836.843000000001</v>
      </c>
      <c r="R262" s="1">
        <v>3239.95</v>
      </c>
      <c r="S262" s="1">
        <v>3062.6</v>
      </c>
      <c r="T262" s="1">
        <v>2864.2</v>
      </c>
      <c r="U262" s="1">
        <v>2781.2</v>
      </c>
      <c r="V262" s="1">
        <v>0</v>
      </c>
      <c r="W262" s="1">
        <v>0</v>
      </c>
      <c r="X262" s="1">
        <v>3239.95</v>
      </c>
      <c r="Y262" s="1">
        <v>0</v>
      </c>
      <c r="Z262" s="1">
        <v>0</v>
      </c>
      <c r="AA262" s="1">
        <v>3062.6</v>
      </c>
      <c r="AB262" s="1">
        <v>0</v>
      </c>
      <c r="AC262" s="1">
        <v>0</v>
      </c>
      <c r="AD262" s="1">
        <v>2864.2</v>
      </c>
      <c r="AE262" s="1">
        <v>0</v>
      </c>
      <c r="AF262" s="1">
        <v>0</v>
      </c>
      <c r="AG262" s="1">
        <v>2781.2</v>
      </c>
      <c r="AH262" s="1">
        <v>0</v>
      </c>
      <c r="AI262" s="1">
        <v>0</v>
      </c>
      <c r="AJ262" s="1">
        <v>0</v>
      </c>
      <c r="AK262" s="1">
        <v>0</v>
      </c>
      <c r="AL262" s="1">
        <v>0</v>
      </c>
      <c r="AM262" s="1">
        <v>0</v>
      </c>
      <c r="AN262" s="1">
        <v>0</v>
      </c>
      <c r="AO262" s="1">
        <v>0</v>
      </c>
      <c r="AP262" s="1">
        <v>3795.24</v>
      </c>
      <c r="AQ262" s="1">
        <v>4453.5499999999993</v>
      </c>
      <c r="AR262" s="1">
        <v>3606.9</v>
      </c>
      <c r="AS262" s="1">
        <v>4391.18</v>
      </c>
      <c r="AT262" s="1">
        <v>0</v>
      </c>
      <c r="AU262" s="1">
        <v>3795.24</v>
      </c>
      <c r="AV262" s="1">
        <v>0</v>
      </c>
      <c r="AW262" s="1">
        <v>0</v>
      </c>
      <c r="AX262" s="1">
        <v>0</v>
      </c>
      <c r="AY262" s="1">
        <v>4453.5499999999993</v>
      </c>
      <c r="AZ262" s="1">
        <v>0</v>
      </c>
      <c r="BA262" s="1">
        <v>0</v>
      </c>
      <c r="BB262" s="1">
        <v>0</v>
      </c>
      <c r="BC262" s="1">
        <v>3606.9</v>
      </c>
      <c r="BD262" s="1">
        <v>0</v>
      </c>
      <c r="BE262" s="1">
        <v>0</v>
      </c>
      <c r="BF262" s="1">
        <v>4391.18</v>
      </c>
      <c r="BG262" s="1">
        <v>0</v>
      </c>
      <c r="BH262" s="1">
        <v>0</v>
      </c>
      <c r="BI262" s="1">
        <v>0</v>
      </c>
      <c r="BJ262" s="1">
        <v>0</v>
      </c>
      <c r="BK262" s="1">
        <v>0</v>
      </c>
      <c r="BL262" s="1">
        <v>0</v>
      </c>
      <c r="BM262" s="1">
        <v>0</v>
      </c>
      <c r="BN262" s="1">
        <v>0</v>
      </c>
      <c r="BO262" s="1">
        <v>0</v>
      </c>
      <c r="BP262" s="1">
        <v>0</v>
      </c>
      <c r="BQ262" s="1">
        <v>0</v>
      </c>
      <c r="BR262" s="1">
        <v>0</v>
      </c>
      <c r="BS262" s="1">
        <v>0</v>
      </c>
      <c r="BT262" s="1">
        <v>0</v>
      </c>
      <c r="BU262" s="1">
        <v>9106.81</v>
      </c>
      <c r="BV262" s="1">
        <v>10084.48</v>
      </c>
      <c r="BW262" s="1">
        <v>8363.27</v>
      </c>
      <c r="BX262" s="1">
        <v>7324.7</v>
      </c>
      <c r="BY262" s="1">
        <v>9106.81</v>
      </c>
      <c r="BZ262" s="1">
        <v>10084.48</v>
      </c>
      <c r="CA262" s="1">
        <v>8363.27</v>
      </c>
      <c r="CB262" s="1">
        <v>7324.7</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3063.59</v>
      </c>
      <c r="CT262" s="1">
        <v>2314.5500000000002</v>
      </c>
      <c r="CU262" s="1">
        <v>1896.48</v>
      </c>
      <c r="CV262" s="1">
        <v>1401.85</v>
      </c>
      <c r="CW262" s="1">
        <v>3063.59</v>
      </c>
      <c r="CX262" s="1">
        <v>2314.5500000000002</v>
      </c>
      <c r="CY262" s="1">
        <v>1896.48</v>
      </c>
      <c r="CZ262" s="1">
        <v>1401.85</v>
      </c>
      <c r="DA262" s="1">
        <v>0</v>
      </c>
      <c r="DB262" s="1">
        <v>0</v>
      </c>
      <c r="DC262" s="1">
        <v>0</v>
      </c>
      <c r="DD262" s="1">
        <v>0</v>
      </c>
      <c r="DE262" s="1">
        <v>0</v>
      </c>
      <c r="DF262" s="1">
        <v>0</v>
      </c>
      <c r="DG262" s="1">
        <v>0</v>
      </c>
      <c r="DH262" s="1">
        <v>0</v>
      </c>
      <c r="DI262" s="1">
        <v>0</v>
      </c>
      <c r="DJ262" s="1">
        <v>0</v>
      </c>
      <c r="DK262" s="1">
        <v>0</v>
      </c>
      <c r="DL262" s="1">
        <v>0</v>
      </c>
      <c r="DM262" s="1">
        <v>2299.71</v>
      </c>
      <c r="DN262" s="1">
        <v>2199.5100000000002</v>
      </c>
      <c r="DO262" s="1">
        <v>2140.27</v>
      </c>
      <c r="DP262" s="1">
        <v>1894.6</v>
      </c>
      <c r="DQ262" s="1">
        <v>2299.71</v>
      </c>
      <c r="DR262" s="1">
        <v>2199.5100000000002</v>
      </c>
      <c r="DS262" s="1">
        <v>2140.27</v>
      </c>
      <c r="DT262" s="1">
        <v>1894.6</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1046.46</v>
      </c>
      <c r="EL262" s="1">
        <v>801.38</v>
      </c>
      <c r="EM262" s="1">
        <v>885.6400000000001</v>
      </c>
      <c r="EN262" s="1">
        <v>2141.0500000000002</v>
      </c>
      <c r="EO262" s="1">
        <v>1046.46</v>
      </c>
      <c r="EP262" s="1">
        <v>801.38</v>
      </c>
      <c r="EQ262" s="1">
        <v>885.6400000000001</v>
      </c>
      <c r="ER262" s="1">
        <v>2141.0500000000002</v>
      </c>
      <c r="ES262" s="1">
        <v>0</v>
      </c>
      <c r="ET262" s="1">
        <v>0</v>
      </c>
      <c r="EU262" s="1">
        <v>0</v>
      </c>
      <c r="EV262" s="1">
        <v>0</v>
      </c>
      <c r="EW262" s="1">
        <v>0</v>
      </c>
      <c r="EX262" s="1">
        <v>0</v>
      </c>
      <c r="EY262" s="1">
        <v>0</v>
      </c>
      <c r="EZ262" s="1">
        <v>0</v>
      </c>
      <c r="FA262" s="1">
        <v>0</v>
      </c>
      <c r="FB262" s="1">
        <v>0</v>
      </c>
      <c r="FC262" s="1">
        <v>0</v>
      </c>
      <c r="FD262" s="1">
        <v>0</v>
      </c>
      <c r="FE262" s="1">
        <v>0.14699999999999999</v>
      </c>
      <c r="FF262" s="1">
        <v>18.108000000000001</v>
      </c>
      <c r="FG262" s="1">
        <v>35.020000000000003</v>
      </c>
      <c r="FH262" s="1">
        <v>30.04</v>
      </c>
      <c r="FI262" s="1">
        <v>0.14699999999999999</v>
      </c>
      <c r="FJ262" s="1">
        <v>18.108000000000001</v>
      </c>
      <c r="FK262" s="1">
        <v>35.020000000000003</v>
      </c>
      <c r="FL262" s="1">
        <v>30.04</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v>0</v>
      </c>
      <c r="GC262" s="1">
        <v>0</v>
      </c>
      <c r="GD262" s="1">
        <v>0</v>
      </c>
      <c r="GE262" s="1">
        <v>0</v>
      </c>
      <c r="GF262" s="1">
        <v>0</v>
      </c>
      <c r="GG262" s="1">
        <v>0</v>
      </c>
      <c r="GH262" s="1">
        <v>0</v>
      </c>
      <c r="GI262" s="1">
        <v>0</v>
      </c>
      <c r="GJ262" s="1">
        <v>0</v>
      </c>
      <c r="GK262" s="1">
        <v>0</v>
      </c>
      <c r="GL262" s="1">
        <v>0</v>
      </c>
      <c r="GM262" s="1">
        <v>0</v>
      </c>
      <c r="GN262" s="1">
        <v>0</v>
      </c>
      <c r="GO262" s="1">
        <v>0</v>
      </c>
      <c r="GP262" s="1">
        <v>0</v>
      </c>
      <c r="GQ262" s="1">
        <v>0</v>
      </c>
      <c r="GR262" s="1">
        <v>0</v>
      </c>
      <c r="GS262" s="1">
        <v>0</v>
      </c>
      <c r="GT262" s="1">
        <v>0</v>
      </c>
      <c r="GU262" s="1">
        <v>0</v>
      </c>
      <c r="GV262" s="1">
        <v>0</v>
      </c>
      <c r="GW262" s="1">
        <v>0</v>
      </c>
      <c r="GX262" s="1">
        <v>0</v>
      </c>
      <c r="GY262" s="1">
        <v>0</v>
      </c>
      <c r="GZ262" s="1">
        <v>0</v>
      </c>
      <c r="HA262" s="1">
        <v>0</v>
      </c>
      <c r="HB262" s="1">
        <v>0</v>
      </c>
      <c r="HC262" s="1">
        <v>0</v>
      </c>
      <c r="HD262" s="1">
        <v>0</v>
      </c>
      <c r="HE262" s="1">
        <v>0</v>
      </c>
      <c r="HF262" s="1">
        <v>0</v>
      </c>
      <c r="HG262" s="1">
        <v>0</v>
      </c>
      <c r="HH262" s="1">
        <v>0</v>
      </c>
      <c r="HI262" s="1">
        <v>0</v>
      </c>
      <c r="HJ262" s="1">
        <v>0</v>
      </c>
      <c r="HK262" s="1">
        <v>0</v>
      </c>
      <c r="HL262" s="1">
        <v>0</v>
      </c>
      <c r="HM262" s="1">
        <v>0</v>
      </c>
      <c r="HN262" s="1">
        <v>0</v>
      </c>
      <c r="HO262" s="1">
        <v>0</v>
      </c>
      <c r="HP262" s="1">
        <v>0</v>
      </c>
      <c r="HQ262" s="1">
        <v>0</v>
      </c>
      <c r="HR262" s="1">
        <v>0</v>
      </c>
      <c r="HS262" s="1">
        <v>0</v>
      </c>
      <c r="HT262" s="1">
        <v>0</v>
      </c>
      <c r="HU262" s="1">
        <v>0</v>
      </c>
      <c r="HV262" s="1">
        <v>0</v>
      </c>
      <c r="HW262" s="1">
        <v>0</v>
      </c>
      <c r="HX262" s="1">
        <v>0</v>
      </c>
      <c r="HY262" s="1">
        <v>0</v>
      </c>
      <c r="HZ262" s="1">
        <v>0</v>
      </c>
      <c r="IA262" s="1">
        <v>0</v>
      </c>
      <c r="IB262" s="1">
        <v>0</v>
      </c>
      <c r="IC262" s="1">
        <v>0</v>
      </c>
      <c r="ID262" s="1">
        <v>0</v>
      </c>
      <c r="IE262" s="1">
        <v>0</v>
      </c>
      <c r="IF262" s="1">
        <v>0</v>
      </c>
      <c r="IG262" s="1">
        <v>0</v>
      </c>
      <c r="IH262" s="1">
        <v>0</v>
      </c>
      <c r="II262" s="1">
        <v>0</v>
      </c>
      <c r="IJ262" s="1">
        <v>0</v>
      </c>
      <c r="IK262" s="1">
        <v>0</v>
      </c>
      <c r="IL262" s="1">
        <v>0</v>
      </c>
      <c r="IM262" s="1">
        <v>0</v>
      </c>
      <c r="IN262" s="1">
        <v>0</v>
      </c>
      <c r="IO262" s="1">
        <v>478.72</v>
      </c>
      <c r="IP262" s="1">
        <v>679.68700000000001</v>
      </c>
      <c r="IQ262" s="1">
        <v>826.86</v>
      </c>
      <c r="IR262" s="1">
        <v>295.86099999999999</v>
      </c>
      <c r="IS262" s="1">
        <v>478.72</v>
      </c>
      <c r="IT262" s="1">
        <v>679.68700000000001</v>
      </c>
      <c r="IU262" s="1">
        <v>826.86</v>
      </c>
      <c r="IV262" s="1">
        <v>295.86099999999999</v>
      </c>
      <c r="IW262" s="1">
        <v>0</v>
      </c>
      <c r="IX262" s="1">
        <v>0</v>
      </c>
      <c r="IY262" s="1">
        <v>0</v>
      </c>
      <c r="IZ262" s="1">
        <v>0</v>
      </c>
      <c r="JA262" s="1">
        <v>0</v>
      </c>
      <c r="JB262" s="1">
        <v>0</v>
      </c>
      <c r="JC262" s="1">
        <v>0</v>
      </c>
      <c r="JD262" s="1">
        <v>0</v>
      </c>
      <c r="JE262" s="1">
        <v>0</v>
      </c>
      <c r="JF262" s="1">
        <v>0</v>
      </c>
      <c r="JG262" s="1">
        <v>0</v>
      </c>
      <c r="JH262" s="1">
        <v>0</v>
      </c>
      <c r="JI262" s="1">
        <v>0</v>
      </c>
      <c r="JJ262" s="1">
        <v>0</v>
      </c>
      <c r="JK262" s="1">
        <v>0</v>
      </c>
      <c r="JL262" s="1">
        <v>0</v>
      </c>
      <c r="JM262" s="1">
        <v>0</v>
      </c>
      <c r="JN262" s="1">
        <v>0</v>
      </c>
      <c r="JO262" s="1">
        <v>0</v>
      </c>
      <c r="JP262" s="1">
        <v>0</v>
      </c>
      <c r="JQ262" s="9"/>
      <c r="JR262" s="1">
        <f t="shared" si="60"/>
        <v>3545.3440800000008</v>
      </c>
      <c r="JS262" s="1">
        <f t="shared" si="60"/>
        <v>3494.9820600000012</v>
      </c>
      <c r="JT262" s="1">
        <f t="shared" si="60"/>
        <v>3511.2868200000003</v>
      </c>
      <c r="JU262" s="1">
        <f t="shared" si="58"/>
        <v>3195.9476100000006</v>
      </c>
      <c r="JV262" s="1">
        <f t="shared" si="61"/>
        <v>656.54520000000014</v>
      </c>
      <c r="JW262" s="1">
        <f t="shared" si="61"/>
        <v>647.2189000000003</v>
      </c>
      <c r="JX262" s="1">
        <f t="shared" si="61"/>
        <v>650.23829999999998</v>
      </c>
      <c r="JY262" s="1">
        <f t="shared" si="59"/>
        <v>591.84215000000006</v>
      </c>
    </row>
    <row r="263" spans="1:285" x14ac:dyDescent="0.35">
      <c r="A263" s="2" t="s">
        <v>270</v>
      </c>
      <c r="B263" s="1">
        <v>136889</v>
      </c>
      <c r="C263" s="1">
        <v>139400</v>
      </c>
      <c r="D263" s="1">
        <v>142501</v>
      </c>
      <c r="E263" s="1">
        <v>145795</v>
      </c>
      <c r="F263" s="1">
        <v>62442.8</v>
      </c>
      <c r="G263" s="1">
        <v>59554.1</v>
      </c>
      <c r="H263" s="1">
        <v>58017.944000000003</v>
      </c>
      <c r="I263" s="1">
        <v>57683.069999999992</v>
      </c>
      <c r="J263" s="1">
        <f t="shared" si="62"/>
        <v>42102.349999999991</v>
      </c>
      <c r="K263" s="1">
        <f t="shared" si="63"/>
        <v>38816.82</v>
      </c>
      <c r="L263" s="1">
        <f t="shared" si="64"/>
        <v>42659.563999999998</v>
      </c>
      <c r="M263" s="1">
        <f t="shared" si="65"/>
        <v>38788.259999999995</v>
      </c>
      <c r="N263" s="1">
        <f t="shared" si="66"/>
        <v>20340.450000000012</v>
      </c>
      <c r="O263" s="1">
        <f t="shared" si="67"/>
        <v>20737.28</v>
      </c>
      <c r="P263" s="1">
        <f t="shared" si="68"/>
        <v>15358.380000000005</v>
      </c>
      <c r="Q263" s="1">
        <f t="shared" si="69"/>
        <v>18894.809999999998</v>
      </c>
      <c r="R263" s="1">
        <v>6219.49</v>
      </c>
      <c r="S263" s="1">
        <v>6369.55</v>
      </c>
      <c r="T263" s="1">
        <v>5829.15</v>
      </c>
      <c r="U263" s="1">
        <v>5454.19</v>
      </c>
      <c r="V263" s="1">
        <v>0</v>
      </c>
      <c r="W263" s="1">
        <v>0</v>
      </c>
      <c r="X263" s="1">
        <v>6219.49</v>
      </c>
      <c r="Y263" s="1">
        <v>0</v>
      </c>
      <c r="Z263" s="1">
        <v>0</v>
      </c>
      <c r="AA263" s="1">
        <v>6369.55</v>
      </c>
      <c r="AB263" s="1">
        <v>0</v>
      </c>
      <c r="AC263" s="1">
        <v>0</v>
      </c>
      <c r="AD263" s="1">
        <v>5829.15</v>
      </c>
      <c r="AE263" s="1">
        <v>0</v>
      </c>
      <c r="AF263" s="1">
        <v>0</v>
      </c>
      <c r="AG263" s="1">
        <v>5454.19</v>
      </c>
      <c r="AH263" s="1">
        <v>0</v>
      </c>
      <c r="AI263" s="1">
        <v>0</v>
      </c>
      <c r="AJ263" s="1">
        <v>0</v>
      </c>
      <c r="AK263" s="1">
        <v>0</v>
      </c>
      <c r="AL263" s="1">
        <v>0</v>
      </c>
      <c r="AM263" s="1">
        <v>0</v>
      </c>
      <c r="AN263" s="1">
        <v>0</v>
      </c>
      <c r="AO263" s="1">
        <v>0</v>
      </c>
      <c r="AP263" s="1">
        <v>10805.32</v>
      </c>
      <c r="AQ263" s="1">
        <v>9397.77</v>
      </c>
      <c r="AR263" s="1">
        <v>12764.35</v>
      </c>
      <c r="AS263" s="1">
        <v>11185.62</v>
      </c>
      <c r="AT263" s="1">
        <v>0</v>
      </c>
      <c r="AU263" s="1">
        <v>10805.32</v>
      </c>
      <c r="AV263" s="1">
        <v>0</v>
      </c>
      <c r="AW263" s="1">
        <v>0</v>
      </c>
      <c r="AX263" s="1">
        <v>0</v>
      </c>
      <c r="AY263" s="1">
        <v>9175.85</v>
      </c>
      <c r="AZ263" s="1">
        <v>0</v>
      </c>
      <c r="BA263" s="1">
        <v>0</v>
      </c>
      <c r="BB263" s="1">
        <v>0</v>
      </c>
      <c r="BC263" s="1">
        <v>12764.35</v>
      </c>
      <c r="BD263" s="1">
        <v>0</v>
      </c>
      <c r="BE263" s="1">
        <v>0</v>
      </c>
      <c r="BF263" s="1">
        <v>11185.62</v>
      </c>
      <c r="BG263" s="1">
        <v>0</v>
      </c>
      <c r="BH263" s="1">
        <v>0</v>
      </c>
      <c r="BI263" s="1">
        <v>0</v>
      </c>
      <c r="BJ263" s="1">
        <v>0</v>
      </c>
      <c r="BK263" s="1">
        <v>0</v>
      </c>
      <c r="BL263" s="1">
        <v>0</v>
      </c>
      <c r="BM263" s="1">
        <v>0</v>
      </c>
      <c r="BN263" s="1">
        <v>221.92</v>
      </c>
      <c r="BO263" s="1">
        <v>0</v>
      </c>
      <c r="BP263" s="1">
        <v>0</v>
      </c>
      <c r="BQ263" s="1">
        <v>0</v>
      </c>
      <c r="BR263" s="1">
        <v>0</v>
      </c>
      <c r="BS263" s="1">
        <v>0</v>
      </c>
      <c r="BT263" s="1">
        <v>0</v>
      </c>
      <c r="BU263" s="1">
        <v>15100.31</v>
      </c>
      <c r="BV263" s="1">
        <v>13859.48</v>
      </c>
      <c r="BW263" s="1">
        <v>15122</v>
      </c>
      <c r="BX263" s="1">
        <v>14293.52</v>
      </c>
      <c r="BY263" s="1">
        <v>14948</v>
      </c>
      <c r="BZ263" s="1">
        <v>13806.68</v>
      </c>
      <c r="CA263" s="1">
        <v>15122</v>
      </c>
      <c r="CB263" s="1">
        <v>14293.52</v>
      </c>
      <c r="CC263" s="1">
        <v>152.31</v>
      </c>
      <c r="CD263" s="1">
        <v>52.8</v>
      </c>
      <c r="CE263" s="1">
        <v>0</v>
      </c>
      <c r="CF263" s="1">
        <v>0</v>
      </c>
      <c r="CG263" s="1">
        <v>0</v>
      </c>
      <c r="CH263" s="1">
        <v>0</v>
      </c>
      <c r="CI263" s="1">
        <v>0</v>
      </c>
      <c r="CJ263" s="1">
        <v>0</v>
      </c>
      <c r="CK263" s="1">
        <v>0</v>
      </c>
      <c r="CL263" s="1">
        <v>0</v>
      </c>
      <c r="CM263" s="1">
        <v>0</v>
      </c>
      <c r="CN263" s="1">
        <v>0</v>
      </c>
      <c r="CO263" s="1">
        <v>0</v>
      </c>
      <c r="CP263" s="1">
        <v>0</v>
      </c>
      <c r="CQ263" s="1">
        <v>0</v>
      </c>
      <c r="CR263" s="1">
        <v>0</v>
      </c>
      <c r="CS263" s="1">
        <v>3765.65</v>
      </c>
      <c r="CT263" s="1">
        <v>3157.28</v>
      </c>
      <c r="CU263" s="1">
        <v>2666.87</v>
      </c>
      <c r="CV263" s="1">
        <v>1743.34</v>
      </c>
      <c r="CW263" s="1">
        <v>3765.65</v>
      </c>
      <c r="CX263" s="1">
        <v>3157.28</v>
      </c>
      <c r="CY263" s="1">
        <v>2666.87</v>
      </c>
      <c r="CZ263" s="1">
        <v>1743.34</v>
      </c>
      <c r="DA263" s="1">
        <v>0</v>
      </c>
      <c r="DB263" s="1">
        <v>0</v>
      </c>
      <c r="DC263" s="1">
        <v>0</v>
      </c>
      <c r="DD263" s="1">
        <v>0</v>
      </c>
      <c r="DE263" s="1">
        <v>0</v>
      </c>
      <c r="DF263" s="1">
        <v>0</v>
      </c>
      <c r="DG263" s="1">
        <v>0</v>
      </c>
      <c r="DH263" s="1">
        <v>0</v>
      </c>
      <c r="DI263" s="1">
        <v>0</v>
      </c>
      <c r="DJ263" s="1">
        <v>0</v>
      </c>
      <c r="DK263" s="1">
        <v>0</v>
      </c>
      <c r="DL263" s="1">
        <v>0</v>
      </c>
      <c r="DM263" s="1">
        <v>4105.32</v>
      </c>
      <c r="DN263" s="1">
        <v>3710.65</v>
      </c>
      <c r="DO263" s="1">
        <v>4615.2199999999993</v>
      </c>
      <c r="DP263" s="1">
        <v>4481.33</v>
      </c>
      <c r="DQ263" s="1">
        <v>4105.32</v>
      </c>
      <c r="DR263" s="1">
        <v>3710.65</v>
      </c>
      <c r="DS263" s="1">
        <v>4615.2199999999993</v>
      </c>
      <c r="DT263" s="1">
        <v>4481.33</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1335.99</v>
      </c>
      <c r="EL263" s="1">
        <v>1557.82</v>
      </c>
      <c r="EM263" s="1">
        <v>1028.0899999999999</v>
      </c>
      <c r="EN263" s="1">
        <v>1004.34</v>
      </c>
      <c r="EO263" s="1">
        <v>1335.99</v>
      </c>
      <c r="EP263" s="1">
        <v>1557.82</v>
      </c>
      <c r="EQ263" s="1">
        <v>1028.0899999999999</v>
      </c>
      <c r="ER263" s="1">
        <v>1004.34</v>
      </c>
      <c r="ES263" s="1">
        <v>0</v>
      </c>
      <c r="ET263" s="1">
        <v>0</v>
      </c>
      <c r="EU263" s="1">
        <v>0</v>
      </c>
      <c r="EV263" s="1">
        <v>0</v>
      </c>
      <c r="EW263" s="1">
        <v>0</v>
      </c>
      <c r="EX263" s="1">
        <v>0</v>
      </c>
      <c r="EY263" s="1">
        <v>0</v>
      </c>
      <c r="EZ263" s="1">
        <v>0</v>
      </c>
      <c r="FA263" s="1">
        <v>0</v>
      </c>
      <c r="FB263" s="1">
        <v>0</v>
      </c>
      <c r="FC263" s="1">
        <v>0</v>
      </c>
      <c r="FD263" s="1">
        <v>0</v>
      </c>
      <c r="FE263" s="1">
        <v>176.99</v>
      </c>
      <c r="FF263" s="1">
        <v>171.35</v>
      </c>
      <c r="FG263" s="1">
        <v>115.804</v>
      </c>
      <c r="FH263" s="1">
        <v>107.75</v>
      </c>
      <c r="FI263" s="1">
        <v>0</v>
      </c>
      <c r="FJ263" s="1">
        <v>0</v>
      </c>
      <c r="FK263" s="1">
        <v>2.1280000000000001</v>
      </c>
      <c r="FL263" s="1">
        <v>2.1379999999999999</v>
      </c>
      <c r="FM263" s="1">
        <v>176.99</v>
      </c>
      <c r="FN263" s="1">
        <v>171.35</v>
      </c>
      <c r="FO263" s="1">
        <v>113.676</v>
      </c>
      <c r="FP263" s="1">
        <v>105.61199999999999</v>
      </c>
      <c r="FQ263" s="1">
        <v>0</v>
      </c>
      <c r="FR263" s="1">
        <v>0</v>
      </c>
      <c r="FS263" s="1">
        <v>0</v>
      </c>
      <c r="FT263" s="1">
        <v>0</v>
      </c>
      <c r="FU263" s="1">
        <v>0</v>
      </c>
      <c r="FV263" s="1">
        <v>0</v>
      </c>
      <c r="FW263" s="1">
        <v>0</v>
      </c>
      <c r="FX263" s="1">
        <v>0</v>
      </c>
      <c r="FY263" s="1">
        <v>0</v>
      </c>
      <c r="FZ263" s="1">
        <v>0</v>
      </c>
      <c r="GA263" s="1">
        <v>0</v>
      </c>
      <c r="GB263" s="1">
        <v>0</v>
      </c>
      <c r="GC263" s="1">
        <v>13.53</v>
      </c>
      <c r="GD263" s="1">
        <v>22.04</v>
      </c>
      <c r="GE263" s="1">
        <v>12.4</v>
      </c>
      <c r="GF263" s="1">
        <v>8.85</v>
      </c>
      <c r="GG263" s="1">
        <v>13.53</v>
      </c>
      <c r="GH263" s="1">
        <v>22.04</v>
      </c>
      <c r="GI263" s="1">
        <v>12.4</v>
      </c>
      <c r="GJ263" s="1">
        <v>8.85</v>
      </c>
      <c r="GK263" s="1">
        <v>0</v>
      </c>
      <c r="GL263" s="1">
        <v>0</v>
      </c>
      <c r="GM263" s="1">
        <v>0</v>
      </c>
      <c r="GN263" s="1">
        <v>0</v>
      </c>
      <c r="GO263" s="1">
        <v>0</v>
      </c>
      <c r="GP263" s="1">
        <v>0</v>
      </c>
      <c r="GQ263" s="1">
        <v>0</v>
      </c>
      <c r="GR263" s="1">
        <v>0</v>
      </c>
      <c r="GS263" s="1">
        <v>0</v>
      </c>
      <c r="GT263" s="1">
        <v>0</v>
      </c>
      <c r="GU263" s="1">
        <v>0</v>
      </c>
      <c r="GV263" s="1">
        <v>0</v>
      </c>
      <c r="GW263" s="1">
        <v>0</v>
      </c>
      <c r="GX263" s="1">
        <v>0</v>
      </c>
      <c r="GY263" s="1">
        <v>0</v>
      </c>
      <c r="GZ263" s="1">
        <v>0</v>
      </c>
      <c r="HA263" s="1">
        <v>0</v>
      </c>
      <c r="HB263" s="1">
        <v>0</v>
      </c>
      <c r="HC263" s="1">
        <v>0</v>
      </c>
      <c r="HD263" s="1">
        <v>0</v>
      </c>
      <c r="HE263" s="1">
        <v>0</v>
      </c>
      <c r="HF263" s="1">
        <v>0</v>
      </c>
      <c r="HG263" s="1">
        <v>0</v>
      </c>
      <c r="HH263" s="1">
        <v>0</v>
      </c>
      <c r="HI263" s="1">
        <v>0</v>
      </c>
      <c r="HJ263" s="1">
        <v>0</v>
      </c>
      <c r="HK263" s="1">
        <v>0</v>
      </c>
      <c r="HL263" s="1">
        <v>0</v>
      </c>
      <c r="HM263" s="1">
        <v>0</v>
      </c>
      <c r="HN263" s="1">
        <v>0</v>
      </c>
      <c r="HO263" s="1">
        <v>0</v>
      </c>
      <c r="HP263" s="1">
        <v>0</v>
      </c>
      <c r="HQ263" s="1">
        <v>0</v>
      </c>
      <c r="HR263" s="1">
        <v>0</v>
      </c>
      <c r="HS263" s="1">
        <v>0</v>
      </c>
      <c r="HT263" s="1">
        <v>0</v>
      </c>
      <c r="HU263" s="1">
        <v>0</v>
      </c>
      <c r="HV263" s="1">
        <v>0</v>
      </c>
      <c r="HW263" s="1">
        <v>0</v>
      </c>
      <c r="HX263" s="1">
        <v>0</v>
      </c>
      <c r="HY263" s="1">
        <v>0</v>
      </c>
      <c r="HZ263" s="1">
        <v>0</v>
      </c>
      <c r="IA263" s="1">
        <v>0</v>
      </c>
      <c r="IB263" s="1">
        <v>0</v>
      </c>
      <c r="IC263" s="1">
        <v>0</v>
      </c>
      <c r="ID263" s="1">
        <v>0</v>
      </c>
      <c r="IE263" s="1">
        <v>0</v>
      </c>
      <c r="IF263" s="1">
        <v>0</v>
      </c>
      <c r="IG263" s="1">
        <v>0</v>
      </c>
      <c r="IH263" s="1">
        <v>0</v>
      </c>
      <c r="II263" s="1">
        <v>0</v>
      </c>
      <c r="IJ263" s="1">
        <v>0</v>
      </c>
      <c r="IK263" s="1">
        <v>0</v>
      </c>
      <c r="IL263" s="1">
        <v>0</v>
      </c>
      <c r="IM263" s="1">
        <v>0</v>
      </c>
      <c r="IN263" s="1">
        <v>0</v>
      </c>
      <c r="IO263" s="1">
        <v>579.75</v>
      </c>
      <c r="IP263" s="1">
        <v>570.88</v>
      </c>
      <c r="IQ263" s="1">
        <v>505.68</v>
      </c>
      <c r="IR263" s="1">
        <v>509.32</v>
      </c>
      <c r="IS263" s="1">
        <v>579.75</v>
      </c>
      <c r="IT263" s="1">
        <v>570.88</v>
      </c>
      <c r="IU263" s="1">
        <v>505.68</v>
      </c>
      <c r="IV263" s="1">
        <v>509.32</v>
      </c>
      <c r="IW263" s="1">
        <v>0</v>
      </c>
      <c r="IX263" s="1">
        <v>0</v>
      </c>
      <c r="IY263" s="1">
        <v>0</v>
      </c>
      <c r="IZ263" s="1">
        <v>0</v>
      </c>
      <c r="JA263" s="1">
        <v>0</v>
      </c>
      <c r="JB263" s="1">
        <v>0</v>
      </c>
      <c r="JC263" s="1">
        <v>0</v>
      </c>
      <c r="JD263" s="1">
        <v>0</v>
      </c>
      <c r="JE263" s="1">
        <v>0</v>
      </c>
      <c r="JF263" s="1">
        <v>0</v>
      </c>
      <c r="JG263" s="1">
        <v>0</v>
      </c>
      <c r="JH263" s="1">
        <v>0</v>
      </c>
      <c r="JI263" s="1">
        <v>0</v>
      </c>
      <c r="JJ263" s="1">
        <v>0</v>
      </c>
      <c r="JK263" s="1">
        <v>0</v>
      </c>
      <c r="JL263" s="1">
        <v>0</v>
      </c>
      <c r="JM263" s="1">
        <v>0</v>
      </c>
      <c r="JN263" s="1">
        <v>0</v>
      </c>
      <c r="JO263" s="1">
        <v>0</v>
      </c>
      <c r="JP263" s="1">
        <v>0</v>
      </c>
      <c r="JQ263" s="9"/>
      <c r="JR263" s="1">
        <f t="shared" si="60"/>
        <v>5491.9215000000031</v>
      </c>
      <c r="JS263" s="1">
        <f t="shared" si="60"/>
        <v>5599.0655999999999</v>
      </c>
      <c r="JT263" s="1">
        <f t="shared" si="60"/>
        <v>4146.7626000000018</v>
      </c>
      <c r="JU263" s="1">
        <f t="shared" si="58"/>
        <v>5101.5986999999996</v>
      </c>
      <c r="JV263" s="1">
        <f t="shared" si="61"/>
        <v>1017.0225000000006</v>
      </c>
      <c r="JW263" s="1">
        <f t="shared" si="61"/>
        <v>1036.864</v>
      </c>
      <c r="JX263" s="1">
        <f t="shared" si="61"/>
        <v>767.91900000000032</v>
      </c>
      <c r="JY263" s="1">
        <f t="shared" si="59"/>
        <v>944.74049999999988</v>
      </c>
    </row>
    <row r="264" spans="1:285" x14ac:dyDescent="0.35">
      <c r="A264" s="2" t="s">
        <v>271</v>
      </c>
      <c r="B264" s="1">
        <v>350978</v>
      </c>
      <c r="C264" s="1">
        <v>353803</v>
      </c>
      <c r="D264" s="1">
        <v>357926</v>
      </c>
      <c r="E264" s="1">
        <v>363013</v>
      </c>
      <c r="F264" s="1">
        <v>368326.84</v>
      </c>
      <c r="G264" s="1">
        <v>398228.64</v>
      </c>
      <c r="H264" s="1">
        <v>374263.4</v>
      </c>
      <c r="I264" s="1">
        <v>363445.46</v>
      </c>
      <c r="J264" s="1">
        <f t="shared" si="62"/>
        <v>71465.889999999985</v>
      </c>
      <c r="K264" s="1">
        <f t="shared" si="63"/>
        <v>81060.899999999994</v>
      </c>
      <c r="L264" s="1">
        <f t="shared" si="64"/>
        <v>80799.83</v>
      </c>
      <c r="M264" s="1">
        <f t="shared" si="65"/>
        <v>81427.839999999997</v>
      </c>
      <c r="N264" s="1">
        <f t="shared" si="66"/>
        <v>296860.95000000007</v>
      </c>
      <c r="O264" s="1">
        <f t="shared" si="67"/>
        <v>317167.74</v>
      </c>
      <c r="P264" s="1">
        <f t="shared" si="68"/>
        <v>293463.57</v>
      </c>
      <c r="Q264" s="1">
        <f t="shared" si="69"/>
        <v>282017.62</v>
      </c>
      <c r="R264" s="1">
        <v>0</v>
      </c>
      <c r="S264" s="1">
        <v>0</v>
      </c>
      <c r="T264" s="1">
        <v>0</v>
      </c>
      <c r="U264" s="1">
        <v>0</v>
      </c>
      <c r="V264" s="1">
        <v>0</v>
      </c>
      <c r="W264" s="1">
        <v>0</v>
      </c>
      <c r="X264" s="1">
        <v>0</v>
      </c>
      <c r="Y264" s="1">
        <v>0</v>
      </c>
      <c r="Z264" s="1">
        <v>0</v>
      </c>
      <c r="AA264" s="1">
        <v>0</v>
      </c>
      <c r="AB264" s="1">
        <v>0</v>
      </c>
      <c r="AC264" s="1">
        <v>0</v>
      </c>
      <c r="AD264" s="1">
        <v>0</v>
      </c>
      <c r="AE264" s="1">
        <v>0</v>
      </c>
      <c r="AF264" s="1">
        <v>0</v>
      </c>
      <c r="AG264" s="1">
        <v>0</v>
      </c>
      <c r="AH264" s="1">
        <v>0</v>
      </c>
      <c r="AI264" s="1">
        <v>0</v>
      </c>
      <c r="AJ264" s="1">
        <v>0</v>
      </c>
      <c r="AK264" s="1">
        <v>0</v>
      </c>
      <c r="AL264" s="1">
        <v>0</v>
      </c>
      <c r="AM264" s="1">
        <v>0</v>
      </c>
      <c r="AN264" s="1">
        <v>0</v>
      </c>
      <c r="AO264" s="1">
        <v>0</v>
      </c>
      <c r="AP264" s="1">
        <v>18583.609999999997</v>
      </c>
      <c r="AQ264" s="1">
        <v>24219.279999999995</v>
      </c>
      <c r="AR264" s="1">
        <v>20316.46</v>
      </c>
      <c r="AS264" s="1">
        <v>23369.899999999998</v>
      </c>
      <c r="AT264" s="1">
        <v>11197.94</v>
      </c>
      <c r="AU264" s="1">
        <v>7285.71</v>
      </c>
      <c r="AV264" s="1">
        <v>0</v>
      </c>
      <c r="AW264" s="1">
        <v>0</v>
      </c>
      <c r="AX264" s="1">
        <v>9675.869999999999</v>
      </c>
      <c r="AY264" s="1">
        <v>7396.5399999999954</v>
      </c>
      <c r="AZ264" s="1">
        <v>0</v>
      </c>
      <c r="BA264" s="1">
        <v>0</v>
      </c>
      <c r="BB264" s="1">
        <v>12530.439999999999</v>
      </c>
      <c r="BC264" s="1">
        <v>7786.02</v>
      </c>
      <c r="BD264" s="1">
        <v>0</v>
      </c>
      <c r="BE264" s="1">
        <v>14358.510000000002</v>
      </c>
      <c r="BF264" s="1">
        <v>9011.3899999999958</v>
      </c>
      <c r="BG264" s="1">
        <v>0</v>
      </c>
      <c r="BH264" s="1">
        <v>0</v>
      </c>
      <c r="BI264" s="1">
        <v>0</v>
      </c>
      <c r="BJ264" s="1">
        <v>0</v>
      </c>
      <c r="BK264" s="1">
        <v>99.959999999996398</v>
      </c>
      <c r="BL264" s="1">
        <v>0</v>
      </c>
      <c r="BM264" s="1">
        <v>0</v>
      </c>
      <c r="BN264" s="1">
        <v>7146.8700000000008</v>
      </c>
      <c r="BO264" s="1">
        <v>0</v>
      </c>
      <c r="BP264" s="1">
        <v>0</v>
      </c>
      <c r="BQ264" s="1">
        <v>0</v>
      </c>
      <c r="BR264" s="1">
        <v>0</v>
      </c>
      <c r="BS264" s="1">
        <v>0</v>
      </c>
      <c r="BT264" s="1">
        <v>0</v>
      </c>
      <c r="BU264" s="1">
        <v>13039.81</v>
      </c>
      <c r="BV264" s="1">
        <v>13383.23</v>
      </c>
      <c r="BW264" s="1">
        <v>17285.73</v>
      </c>
      <c r="BX264" s="1">
        <v>13961.78</v>
      </c>
      <c r="BY264" s="1">
        <v>12911.16</v>
      </c>
      <c r="BZ264" s="1">
        <v>13350.21</v>
      </c>
      <c r="CA264" s="1">
        <v>17246.68</v>
      </c>
      <c r="CB264" s="1">
        <v>13846.13</v>
      </c>
      <c r="CC264" s="1">
        <v>29.64</v>
      </c>
      <c r="CD264" s="1">
        <v>33.020000000000003</v>
      </c>
      <c r="CE264" s="1">
        <v>39.049999999999997</v>
      </c>
      <c r="CF264" s="1">
        <v>115.65</v>
      </c>
      <c r="CG264" s="1">
        <v>0</v>
      </c>
      <c r="CH264" s="1">
        <v>0</v>
      </c>
      <c r="CI264" s="1">
        <v>0</v>
      </c>
      <c r="CJ264" s="1">
        <v>0</v>
      </c>
      <c r="CK264" s="1">
        <v>0</v>
      </c>
      <c r="CL264" s="1">
        <v>0</v>
      </c>
      <c r="CM264" s="1">
        <v>0</v>
      </c>
      <c r="CN264" s="1">
        <v>0</v>
      </c>
      <c r="CO264" s="1">
        <v>99.009999999999991</v>
      </c>
      <c r="CP264" s="1">
        <v>0</v>
      </c>
      <c r="CQ264" s="1">
        <v>0</v>
      </c>
      <c r="CR264" s="1">
        <v>0</v>
      </c>
      <c r="CS264" s="1">
        <v>5493.85</v>
      </c>
      <c r="CT264" s="1">
        <v>4945.37</v>
      </c>
      <c r="CU264" s="1">
        <v>4311.68</v>
      </c>
      <c r="CV264" s="1">
        <v>5258.0499999999993</v>
      </c>
      <c r="CW264" s="1">
        <v>5493.85</v>
      </c>
      <c r="CX264" s="1">
        <v>4945.37</v>
      </c>
      <c r="CY264" s="1">
        <v>4311.68</v>
      </c>
      <c r="CZ264" s="1">
        <v>5258.0499999999993</v>
      </c>
      <c r="DA264" s="1">
        <v>0</v>
      </c>
      <c r="DB264" s="1">
        <v>0</v>
      </c>
      <c r="DC264" s="1">
        <v>0</v>
      </c>
      <c r="DD264" s="1">
        <v>0</v>
      </c>
      <c r="DE264" s="1">
        <v>0</v>
      </c>
      <c r="DF264" s="1">
        <v>0</v>
      </c>
      <c r="DG264" s="1">
        <v>0</v>
      </c>
      <c r="DH264" s="1">
        <v>0</v>
      </c>
      <c r="DI264" s="1">
        <v>0</v>
      </c>
      <c r="DJ264" s="1">
        <v>0</v>
      </c>
      <c r="DK264" s="1">
        <v>0</v>
      </c>
      <c r="DL264" s="1">
        <v>0</v>
      </c>
      <c r="DM264" s="1">
        <v>11446.26</v>
      </c>
      <c r="DN264" s="1">
        <v>10965.12</v>
      </c>
      <c r="DO264" s="1">
        <v>9674.5499999999993</v>
      </c>
      <c r="DP264" s="1">
        <v>9244.32</v>
      </c>
      <c r="DQ264" s="1">
        <v>11446.26</v>
      </c>
      <c r="DR264" s="1">
        <v>10965.12</v>
      </c>
      <c r="DS264" s="1">
        <v>9674.5499999999993</v>
      </c>
      <c r="DT264" s="1">
        <v>9244.32</v>
      </c>
      <c r="DU264" s="1">
        <v>0</v>
      </c>
      <c r="DV264" s="1">
        <v>0</v>
      </c>
      <c r="DW264" s="1">
        <v>0</v>
      </c>
      <c r="DX264" s="1">
        <v>0</v>
      </c>
      <c r="DY264" s="1">
        <v>0</v>
      </c>
      <c r="DZ264" s="1">
        <v>0</v>
      </c>
      <c r="EA264" s="1">
        <v>0</v>
      </c>
      <c r="EB264" s="1">
        <v>0</v>
      </c>
      <c r="EC264" s="1">
        <v>0</v>
      </c>
      <c r="ED264" s="1">
        <v>0</v>
      </c>
      <c r="EE264" s="1">
        <v>0</v>
      </c>
      <c r="EF264" s="1">
        <v>0</v>
      </c>
      <c r="EG264" s="1">
        <v>0</v>
      </c>
      <c r="EH264" s="1">
        <v>0</v>
      </c>
      <c r="EI264" s="1">
        <v>0</v>
      </c>
      <c r="EJ264" s="1">
        <v>0</v>
      </c>
      <c r="EK264" s="1">
        <v>7334.23</v>
      </c>
      <c r="EL264" s="1">
        <v>8076.31</v>
      </c>
      <c r="EM264" s="1">
        <v>9366.7099999999991</v>
      </c>
      <c r="EN264" s="1">
        <v>9205.52</v>
      </c>
      <c r="EO264" s="1">
        <v>7038.8600000000006</v>
      </c>
      <c r="EP264" s="1">
        <v>7716.91</v>
      </c>
      <c r="EQ264" s="1">
        <v>9055.51</v>
      </c>
      <c r="ER264" s="1">
        <v>8817.3799999999992</v>
      </c>
      <c r="ES264" s="1">
        <v>295.37</v>
      </c>
      <c r="ET264" s="1">
        <v>359.4</v>
      </c>
      <c r="EU264" s="1">
        <v>311.2</v>
      </c>
      <c r="EV264" s="1">
        <v>388.14</v>
      </c>
      <c r="EW264" s="1">
        <v>0</v>
      </c>
      <c r="EX264" s="1">
        <v>0</v>
      </c>
      <c r="EY264" s="1">
        <v>0</v>
      </c>
      <c r="EZ264" s="1">
        <v>0</v>
      </c>
      <c r="FA264" s="1">
        <v>0</v>
      </c>
      <c r="FB264" s="1">
        <v>0</v>
      </c>
      <c r="FC264" s="1">
        <v>0</v>
      </c>
      <c r="FD264" s="1">
        <v>0</v>
      </c>
      <c r="FE264" s="1">
        <v>1430.63</v>
      </c>
      <c r="FF264" s="1">
        <v>1821.71</v>
      </c>
      <c r="FG264" s="1">
        <v>1481.69</v>
      </c>
      <c r="FH264" s="1">
        <v>1740.36</v>
      </c>
      <c r="FI264" s="1">
        <v>1409.56</v>
      </c>
      <c r="FJ264" s="1">
        <v>1788.69</v>
      </c>
      <c r="FK264" s="1">
        <v>1446.98</v>
      </c>
      <c r="FL264" s="1">
        <v>1400.29</v>
      </c>
      <c r="FM264" s="1">
        <v>21.07</v>
      </c>
      <c r="FN264" s="1">
        <v>33.020000000000003</v>
      </c>
      <c r="FO264" s="1">
        <v>34.71</v>
      </c>
      <c r="FP264" s="1">
        <v>42.73</v>
      </c>
      <c r="FQ264" s="1">
        <v>0</v>
      </c>
      <c r="FR264" s="1">
        <v>0</v>
      </c>
      <c r="FS264" s="1">
        <v>0</v>
      </c>
      <c r="FT264" s="1">
        <v>0</v>
      </c>
      <c r="FU264" s="1">
        <v>0</v>
      </c>
      <c r="FV264" s="1">
        <v>0</v>
      </c>
      <c r="FW264" s="1">
        <v>0</v>
      </c>
      <c r="FX264" s="1">
        <v>0</v>
      </c>
      <c r="FY264" s="1">
        <v>0</v>
      </c>
      <c r="FZ264" s="1">
        <v>0</v>
      </c>
      <c r="GA264" s="1">
        <v>0</v>
      </c>
      <c r="GB264" s="1">
        <v>297.33999999999997</v>
      </c>
      <c r="GC264" s="1">
        <v>3013.75</v>
      </c>
      <c r="GD264" s="1">
        <v>3020.9</v>
      </c>
      <c r="GE264" s="1">
        <v>3737.47</v>
      </c>
      <c r="GF264" s="1">
        <v>3113.6</v>
      </c>
      <c r="GG264" s="1">
        <v>2537.73</v>
      </c>
      <c r="GH264" s="1">
        <v>2447.2800000000002</v>
      </c>
      <c r="GI264" s="1">
        <v>3153.99</v>
      </c>
      <c r="GJ264" s="1">
        <v>2576.91</v>
      </c>
      <c r="GK264" s="1">
        <v>476.02</v>
      </c>
      <c r="GL264" s="1">
        <v>573.62</v>
      </c>
      <c r="GM264" s="1">
        <v>583.48</v>
      </c>
      <c r="GN264" s="1">
        <v>536.69000000000005</v>
      </c>
      <c r="GO264" s="1">
        <v>0</v>
      </c>
      <c r="GP264" s="1">
        <v>0</v>
      </c>
      <c r="GQ264" s="1">
        <v>0</v>
      </c>
      <c r="GR264" s="1">
        <v>0</v>
      </c>
      <c r="GS264" s="1">
        <v>0</v>
      </c>
      <c r="GT264" s="1">
        <v>0</v>
      </c>
      <c r="GU264" s="1">
        <v>0</v>
      </c>
      <c r="GV264" s="1">
        <v>0</v>
      </c>
      <c r="GW264" s="1">
        <v>0</v>
      </c>
      <c r="GX264" s="1">
        <v>0</v>
      </c>
      <c r="GY264" s="1">
        <v>0</v>
      </c>
      <c r="GZ264" s="1">
        <v>0</v>
      </c>
      <c r="HA264" s="1">
        <v>0</v>
      </c>
      <c r="HB264" s="1">
        <v>0</v>
      </c>
      <c r="HC264" s="1">
        <v>0</v>
      </c>
      <c r="HD264" s="1">
        <v>0</v>
      </c>
      <c r="HE264" s="1">
        <v>5310.77</v>
      </c>
      <c r="HF264" s="1">
        <v>6114.34</v>
      </c>
      <c r="HG264" s="1">
        <v>5694.27</v>
      </c>
      <c r="HH264" s="1">
        <v>5862.2800000000007</v>
      </c>
      <c r="HI264" s="1">
        <v>5310.77</v>
      </c>
      <c r="HJ264" s="1">
        <v>5938.880000000001</v>
      </c>
      <c r="HK264" s="1">
        <v>5429.95</v>
      </c>
      <c r="HL264" s="1">
        <v>5499.17</v>
      </c>
      <c r="HM264" s="1">
        <v>0</v>
      </c>
      <c r="HN264" s="1">
        <v>0</v>
      </c>
      <c r="HO264" s="1">
        <v>0</v>
      </c>
      <c r="HP264" s="1">
        <v>0</v>
      </c>
      <c r="HQ264" s="1">
        <v>0</v>
      </c>
      <c r="HR264" s="1">
        <v>0</v>
      </c>
      <c r="HS264" s="1">
        <v>0</v>
      </c>
      <c r="HT264" s="1">
        <v>0</v>
      </c>
      <c r="HU264" s="1">
        <v>0</v>
      </c>
      <c r="HV264" s="1">
        <v>0</v>
      </c>
      <c r="HW264" s="1">
        <v>0</v>
      </c>
      <c r="HX264" s="1">
        <v>0</v>
      </c>
      <c r="HY264" s="1">
        <v>0</v>
      </c>
      <c r="HZ264" s="1">
        <v>0</v>
      </c>
      <c r="IA264" s="1">
        <v>0</v>
      </c>
      <c r="IB264" s="1">
        <v>0</v>
      </c>
      <c r="IC264" s="1">
        <v>0</v>
      </c>
      <c r="ID264" s="1">
        <v>175.46</v>
      </c>
      <c r="IE264" s="1">
        <v>264.32</v>
      </c>
      <c r="IF264" s="1">
        <v>363.11</v>
      </c>
      <c r="IG264" s="1">
        <v>0</v>
      </c>
      <c r="IH264" s="1">
        <v>0</v>
      </c>
      <c r="II264" s="1">
        <v>0</v>
      </c>
      <c r="IJ264" s="1">
        <v>0</v>
      </c>
      <c r="IK264" s="1">
        <v>0</v>
      </c>
      <c r="IL264" s="1">
        <v>0</v>
      </c>
      <c r="IM264" s="1">
        <v>0</v>
      </c>
      <c r="IN264" s="1">
        <v>0</v>
      </c>
      <c r="IO264" s="1">
        <v>5812.98</v>
      </c>
      <c r="IP264" s="1">
        <v>8514.64</v>
      </c>
      <c r="IQ264" s="1">
        <v>8931.27</v>
      </c>
      <c r="IR264" s="1">
        <v>9672.0299999999988</v>
      </c>
      <c r="IS264" s="1">
        <v>5740.18</v>
      </c>
      <c r="IT264" s="1">
        <v>8433.68</v>
      </c>
      <c r="IU264" s="1">
        <v>8931.27</v>
      </c>
      <c r="IV264" s="1">
        <v>9656.58</v>
      </c>
      <c r="IW264" s="1">
        <v>72.8</v>
      </c>
      <c r="IX264" s="1">
        <v>80.959999999999994</v>
      </c>
      <c r="IY264" s="1">
        <v>0</v>
      </c>
      <c r="IZ264" s="1">
        <v>15.45</v>
      </c>
      <c r="JA264" s="1">
        <v>0</v>
      </c>
      <c r="JB264" s="1">
        <v>0</v>
      </c>
      <c r="JC264" s="1">
        <v>0</v>
      </c>
      <c r="JD264" s="1">
        <v>0</v>
      </c>
      <c r="JE264" s="1">
        <v>0</v>
      </c>
      <c r="JF264" s="1">
        <v>0</v>
      </c>
      <c r="JG264" s="1">
        <v>0</v>
      </c>
      <c r="JH264" s="1">
        <v>0</v>
      </c>
      <c r="JI264" s="1">
        <v>0</v>
      </c>
      <c r="JJ264" s="1">
        <v>0</v>
      </c>
      <c r="JK264" s="1">
        <v>0</v>
      </c>
      <c r="JL264" s="1">
        <v>0</v>
      </c>
      <c r="JM264" s="1">
        <v>0</v>
      </c>
      <c r="JN264" s="1">
        <v>0</v>
      </c>
      <c r="JO264" s="1">
        <v>0</v>
      </c>
      <c r="JP264" s="1">
        <v>0</v>
      </c>
      <c r="JQ264" s="9"/>
      <c r="JR264" s="1">
        <f t="shared" si="60"/>
        <v>80152.456500000029</v>
      </c>
      <c r="JS264" s="1">
        <f t="shared" si="60"/>
        <v>85635.289799999999</v>
      </c>
      <c r="JT264" s="1">
        <f t="shared" si="60"/>
        <v>79235.163900000014</v>
      </c>
      <c r="JU264" s="1">
        <f t="shared" si="58"/>
        <v>76144.757400000002</v>
      </c>
      <c r="JV264" s="1">
        <f t="shared" si="61"/>
        <v>14843.047500000004</v>
      </c>
      <c r="JW264" s="1">
        <f t="shared" si="61"/>
        <v>15858.387000000001</v>
      </c>
      <c r="JX264" s="1">
        <f t="shared" si="61"/>
        <v>14673.178500000002</v>
      </c>
      <c r="JY264" s="1">
        <f t="shared" si="59"/>
        <v>14100.881000000001</v>
      </c>
    </row>
    <row r="265" spans="1:285" x14ac:dyDescent="0.35">
      <c r="A265" s="2" t="s">
        <v>272</v>
      </c>
      <c r="B265" s="1">
        <v>284578</v>
      </c>
      <c r="C265" s="1">
        <v>284392</v>
      </c>
      <c r="D265" s="1">
        <v>286804</v>
      </c>
      <c r="E265" s="1">
        <v>291237</v>
      </c>
      <c r="F265" s="1">
        <v>233874.19099999999</v>
      </c>
      <c r="G265" s="1">
        <v>246239.946</v>
      </c>
      <c r="H265" s="1">
        <v>220645.679</v>
      </c>
      <c r="I265" s="1">
        <v>217456.073</v>
      </c>
      <c r="J265" s="1">
        <f t="shared" si="62"/>
        <v>54880.559000000001</v>
      </c>
      <c r="K265" s="1">
        <f t="shared" si="63"/>
        <v>55237.439999999995</v>
      </c>
      <c r="L265" s="1">
        <f t="shared" si="64"/>
        <v>37306.830000000009</v>
      </c>
      <c r="M265" s="1">
        <f t="shared" si="65"/>
        <v>36758.935000000005</v>
      </c>
      <c r="N265" s="1">
        <f t="shared" si="66"/>
        <v>178993.63199999998</v>
      </c>
      <c r="O265" s="1">
        <f t="shared" si="67"/>
        <v>191002.50599999999</v>
      </c>
      <c r="P265" s="1">
        <f t="shared" si="68"/>
        <v>183338.84899999999</v>
      </c>
      <c r="Q265" s="1">
        <f t="shared" si="69"/>
        <v>180697.13800000001</v>
      </c>
      <c r="R265" s="1">
        <v>0</v>
      </c>
      <c r="S265" s="1">
        <v>0</v>
      </c>
      <c r="T265" s="1">
        <v>0</v>
      </c>
      <c r="U265" s="1">
        <v>0</v>
      </c>
      <c r="V265" s="1">
        <v>0</v>
      </c>
      <c r="W265" s="1">
        <v>0</v>
      </c>
      <c r="X265" s="1">
        <v>0</v>
      </c>
      <c r="Y265" s="1">
        <v>0</v>
      </c>
      <c r="Z265" s="1">
        <v>0</v>
      </c>
      <c r="AA265" s="1">
        <v>0</v>
      </c>
      <c r="AB265" s="1">
        <v>0</v>
      </c>
      <c r="AC265" s="1">
        <v>0</v>
      </c>
      <c r="AD265" s="1">
        <v>0</v>
      </c>
      <c r="AE265" s="1">
        <v>0</v>
      </c>
      <c r="AF265" s="1">
        <v>0</v>
      </c>
      <c r="AG265" s="1">
        <v>0</v>
      </c>
      <c r="AH265" s="1">
        <v>0</v>
      </c>
      <c r="AI265" s="1">
        <v>0</v>
      </c>
      <c r="AJ265" s="1">
        <v>0</v>
      </c>
      <c r="AK265" s="1">
        <v>0</v>
      </c>
      <c r="AL265" s="1">
        <v>0</v>
      </c>
      <c r="AM265" s="1">
        <v>0</v>
      </c>
      <c r="AN265" s="1">
        <v>0</v>
      </c>
      <c r="AO265" s="1">
        <v>0</v>
      </c>
      <c r="AP265" s="1">
        <v>16128.32</v>
      </c>
      <c r="AQ265" s="1">
        <v>17750</v>
      </c>
      <c r="AR265" s="1">
        <v>15659.02</v>
      </c>
      <c r="AS265" s="1">
        <v>16065.01</v>
      </c>
      <c r="AT265" s="1">
        <v>0</v>
      </c>
      <c r="AU265" s="1">
        <v>16128.32</v>
      </c>
      <c r="AV265" s="1">
        <v>0</v>
      </c>
      <c r="AW265" s="1">
        <v>0</v>
      </c>
      <c r="AX265" s="1">
        <v>0</v>
      </c>
      <c r="AY265" s="1">
        <v>17750</v>
      </c>
      <c r="AZ265" s="1">
        <v>0</v>
      </c>
      <c r="BA265" s="1">
        <v>0</v>
      </c>
      <c r="BB265" s="1">
        <v>0</v>
      </c>
      <c r="BC265" s="1">
        <v>15659.02</v>
      </c>
      <c r="BD265" s="1">
        <v>0</v>
      </c>
      <c r="BE265" s="1">
        <v>0</v>
      </c>
      <c r="BF265" s="1">
        <v>16065.01</v>
      </c>
      <c r="BG265" s="1">
        <v>0</v>
      </c>
      <c r="BH265" s="1">
        <v>0</v>
      </c>
      <c r="BI265" s="1">
        <v>0</v>
      </c>
      <c r="BJ265" s="1">
        <v>0</v>
      </c>
      <c r="BK265" s="1">
        <v>0</v>
      </c>
      <c r="BL265" s="1">
        <v>0</v>
      </c>
      <c r="BM265" s="1">
        <v>0</v>
      </c>
      <c r="BN265" s="1">
        <v>0</v>
      </c>
      <c r="BO265" s="1">
        <v>0</v>
      </c>
      <c r="BP265" s="1">
        <v>0</v>
      </c>
      <c r="BQ265" s="1">
        <v>0</v>
      </c>
      <c r="BR265" s="1">
        <v>0</v>
      </c>
      <c r="BS265" s="1">
        <v>0</v>
      </c>
      <c r="BT265" s="1">
        <v>0</v>
      </c>
      <c r="BU265" s="1">
        <v>18367.786</v>
      </c>
      <c r="BV265" s="1">
        <v>18998.403999999999</v>
      </c>
      <c r="BW265" s="1">
        <v>8602.6049999999996</v>
      </c>
      <c r="BX265" s="1">
        <v>7988.6809999999996</v>
      </c>
      <c r="BY265" s="1">
        <v>18305.106</v>
      </c>
      <c r="BZ265" s="1">
        <v>18998.403999999999</v>
      </c>
      <c r="CA265" s="1">
        <v>8602.6049999999996</v>
      </c>
      <c r="CB265" s="1">
        <v>7988.6809999999996</v>
      </c>
      <c r="CC265" s="1">
        <v>62.68</v>
      </c>
      <c r="CD265" s="1">
        <v>0</v>
      </c>
      <c r="CE265" s="1">
        <v>0</v>
      </c>
      <c r="CF265" s="1">
        <v>0</v>
      </c>
      <c r="CG265" s="1">
        <v>0</v>
      </c>
      <c r="CH265" s="1">
        <v>0</v>
      </c>
      <c r="CI265" s="1">
        <v>0</v>
      </c>
      <c r="CJ265" s="1">
        <v>0</v>
      </c>
      <c r="CK265" s="1">
        <v>0</v>
      </c>
      <c r="CL265" s="1">
        <v>0</v>
      </c>
      <c r="CM265" s="1">
        <v>0</v>
      </c>
      <c r="CN265" s="1">
        <v>0</v>
      </c>
      <c r="CO265" s="1">
        <v>0</v>
      </c>
      <c r="CP265" s="1">
        <v>0</v>
      </c>
      <c r="CQ265" s="1">
        <v>0</v>
      </c>
      <c r="CR265" s="1">
        <v>0</v>
      </c>
      <c r="CS265" s="1">
        <v>7222.5640000000003</v>
      </c>
      <c r="CT265" s="1">
        <v>5060.7650000000003</v>
      </c>
      <c r="CU265" s="1">
        <v>1954.585</v>
      </c>
      <c r="CV265" s="1">
        <v>1952.9939999999999</v>
      </c>
      <c r="CW265" s="1">
        <v>7222.5640000000003</v>
      </c>
      <c r="CX265" s="1">
        <v>5060.7650000000003</v>
      </c>
      <c r="CY265" s="1">
        <v>1954.585</v>
      </c>
      <c r="CZ265" s="1">
        <v>1952.9939999999999</v>
      </c>
      <c r="DA265" s="1">
        <v>0</v>
      </c>
      <c r="DB265" s="1">
        <v>0</v>
      </c>
      <c r="DC265" s="1">
        <v>0</v>
      </c>
      <c r="DD265" s="1">
        <v>0</v>
      </c>
      <c r="DE265" s="1">
        <v>0</v>
      </c>
      <c r="DF265" s="1">
        <v>0</v>
      </c>
      <c r="DG265" s="1">
        <v>0</v>
      </c>
      <c r="DH265" s="1">
        <v>0</v>
      </c>
      <c r="DI265" s="1">
        <v>0</v>
      </c>
      <c r="DJ265" s="1">
        <v>0</v>
      </c>
      <c r="DK265" s="1">
        <v>0</v>
      </c>
      <c r="DL265" s="1">
        <v>0</v>
      </c>
      <c r="DM265" s="1">
        <v>4474.2539999999999</v>
      </c>
      <c r="DN265" s="1">
        <v>5513.8639999999996</v>
      </c>
      <c r="DO265" s="1">
        <v>5385.6620000000003</v>
      </c>
      <c r="DP265" s="1">
        <v>5316.8050000000003</v>
      </c>
      <c r="DQ265" s="1">
        <v>4474.2539999999999</v>
      </c>
      <c r="DR265" s="1">
        <v>5513.8639999999996</v>
      </c>
      <c r="DS265" s="1">
        <v>5385.6620000000003</v>
      </c>
      <c r="DT265" s="1">
        <v>5316.8050000000003</v>
      </c>
      <c r="DU265" s="1">
        <v>0</v>
      </c>
      <c r="DV265" s="1">
        <v>0</v>
      </c>
      <c r="DW265" s="1">
        <v>0</v>
      </c>
      <c r="DX265" s="1">
        <v>0</v>
      </c>
      <c r="DY265" s="1">
        <v>0</v>
      </c>
      <c r="DZ265" s="1">
        <v>0</v>
      </c>
      <c r="EA265" s="1">
        <v>0</v>
      </c>
      <c r="EB265" s="1">
        <v>0</v>
      </c>
      <c r="EC265" s="1">
        <v>0</v>
      </c>
      <c r="ED265" s="1">
        <v>0</v>
      </c>
      <c r="EE265" s="1">
        <v>0</v>
      </c>
      <c r="EF265" s="1">
        <v>0</v>
      </c>
      <c r="EG265" s="1">
        <v>0</v>
      </c>
      <c r="EH265" s="1">
        <v>0</v>
      </c>
      <c r="EI265" s="1">
        <v>0</v>
      </c>
      <c r="EJ265" s="1">
        <v>0</v>
      </c>
      <c r="EK265" s="1">
        <v>5727.9769999999999</v>
      </c>
      <c r="EL265" s="1">
        <v>5397.45</v>
      </c>
      <c r="EM265" s="1">
        <v>3497.0529999999999</v>
      </c>
      <c r="EN265" s="1">
        <v>2778.5160000000001</v>
      </c>
      <c r="EO265" s="1">
        <v>5727.9769999999999</v>
      </c>
      <c r="EP265" s="1">
        <v>5397.45</v>
      </c>
      <c r="EQ265" s="1">
        <v>3497.0529999999999</v>
      </c>
      <c r="ER265" s="1">
        <v>2778.5160000000001</v>
      </c>
      <c r="ES265" s="1">
        <v>0</v>
      </c>
      <c r="ET265" s="1">
        <v>0</v>
      </c>
      <c r="EU265" s="1">
        <v>0</v>
      </c>
      <c r="EV265" s="1">
        <v>0</v>
      </c>
      <c r="EW265" s="1">
        <v>0</v>
      </c>
      <c r="EX265" s="1">
        <v>0</v>
      </c>
      <c r="EY265" s="1">
        <v>0</v>
      </c>
      <c r="EZ265" s="1">
        <v>0</v>
      </c>
      <c r="FA265" s="1">
        <v>0</v>
      </c>
      <c r="FB265" s="1">
        <v>0</v>
      </c>
      <c r="FC265" s="1">
        <v>0</v>
      </c>
      <c r="FD265" s="1">
        <v>0</v>
      </c>
      <c r="FE265" s="1">
        <v>556.61</v>
      </c>
      <c r="FF265" s="1">
        <v>554.02</v>
      </c>
      <c r="FG265" s="1">
        <v>598.4</v>
      </c>
      <c r="FH265" s="1">
        <v>680.43000000000006</v>
      </c>
      <c r="FI265" s="1">
        <v>399.4</v>
      </c>
      <c r="FJ265" s="1">
        <v>330.18</v>
      </c>
      <c r="FK265" s="1">
        <v>379.62</v>
      </c>
      <c r="FL265" s="1">
        <v>471.34</v>
      </c>
      <c r="FM265" s="1">
        <v>157.21</v>
      </c>
      <c r="FN265" s="1">
        <v>223.84</v>
      </c>
      <c r="FO265" s="1">
        <v>218.78</v>
      </c>
      <c r="FP265" s="1">
        <v>209.09</v>
      </c>
      <c r="FQ265" s="1">
        <v>0</v>
      </c>
      <c r="FR265" s="1">
        <v>0</v>
      </c>
      <c r="FS265" s="1">
        <v>0</v>
      </c>
      <c r="FT265" s="1">
        <v>0</v>
      </c>
      <c r="FU265" s="1">
        <v>0</v>
      </c>
      <c r="FV265" s="1">
        <v>0</v>
      </c>
      <c r="FW265" s="1">
        <v>0</v>
      </c>
      <c r="FX265" s="1">
        <v>0</v>
      </c>
      <c r="FY265" s="1">
        <v>0</v>
      </c>
      <c r="FZ265" s="1">
        <v>0</v>
      </c>
      <c r="GA265" s="1">
        <v>0</v>
      </c>
      <c r="GB265" s="1">
        <v>0</v>
      </c>
      <c r="GC265" s="1">
        <v>847.31799999999998</v>
      </c>
      <c r="GD265" s="1">
        <v>1173.277</v>
      </c>
      <c r="GE265" s="1">
        <v>803.63499999999999</v>
      </c>
      <c r="GF265" s="1">
        <v>745.56899999999996</v>
      </c>
      <c r="GG265" s="1">
        <v>847.31799999999998</v>
      </c>
      <c r="GH265" s="1">
        <v>1173.277</v>
      </c>
      <c r="GI265" s="1">
        <v>803.63499999999999</v>
      </c>
      <c r="GJ265" s="1">
        <v>745.56899999999996</v>
      </c>
      <c r="GK265" s="1">
        <v>0</v>
      </c>
      <c r="GL265" s="1">
        <v>0</v>
      </c>
      <c r="GM265" s="1">
        <v>0</v>
      </c>
      <c r="GN265" s="1">
        <v>0</v>
      </c>
      <c r="GO265" s="1">
        <v>0</v>
      </c>
      <c r="GP265" s="1">
        <v>0</v>
      </c>
      <c r="GQ265" s="1">
        <v>0</v>
      </c>
      <c r="GR265" s="1">
        <v>0</v>
      </c>
      <c r="GS265" s="1">
        <v>0</v>
      </c>
      <c r="GT265" s="1">
        <v>0</v>
      </c>
      <c r="GU265" s="1">
        <v>0</v>
      </c>
      <c r="GV265" s="1">
        <v>0</v>
      </c>
      <c r="GW265" s="1">
        <v>0</v>
      </c>
      <c r="GX265" s="1">
        <v>0</v>
      </c>
      <c r="GY265" s="1">
        <v>0</v>
      </c>
      <c r="GZ265" s="1">
        <v>0</v>
      </c>
      <c r="HA265" s="1">
        <v>0</v>
      </c>
      <c r="HB265" s="1">
        <v>0</v>
      </c>
      <c r="HC265" s="1">
        <v>0</v>
      </c>
      <c r="HD265" s="1">
        <v>0</v>
      </c>
      <c r="HE265" s="1">
        <v>928.4</v>
      </c>
      <c r="HF265" s="1">
        <v>0</v>
      </c>
      <c r="HG265" s="1">
        <v>0</v>
      </c>
      <c r="HH265" s="1">
        <v>0</v>
      </c>
      <c r="HI265" s="1">
        <v>928.4</v>
      </c>
      <c r="HJ265" s="1">
        <v>0</v>
      </c>
      <c r="HK265" s="1">
        <v>0</v>
      </c>
      <c r="HL265" s="1">
        <v>0</v>
      </c>
      <c r="HM265" s="1">
        <v>0</v>
      </c>
      <c r="HN265" s="1">
        <v>0</v>
      </c>
      <c r="HO265" s="1">
        <v>0</v>
      </c>
      <c r="HP265" s="1">
        <v>0</v>
      </c>
      <c r="HQ265" s="1">
        <v>0</v>
      </c>
      <c r="HR265" s="1">
        <v>0</v>
      </c>
      <c r="HS265" s="1">
        <v>0</v>
      </c>
      <c r="HT265" s="1">
        <v>0</v>
      </c>
      <c r="HU265" s="1">
        <v>0</v>
      </c>
      <c r="HV265" s="1">
        <v>0</v>
      </c>
      <c r="HW265" s="1">
        <v>0</v>
      </c>
      <c r="HX265" s="1">
        <v>0</v>
      </c>
      <c r="HY265" s="1">
        <v>0</v>
      </c>
      <c r="HZ265" s="1">
        <v>0</v>
      </c>
      <c r="IA265" s="1">
        <v>0</v>
      </c>
      <c r="IB265" s="1">
        <v>0</v>
      </c>
      <c r="IC265" s="1">
        <v>0</v>
      </c>
      <c r="ID265" s="1">
        <v>0</v>
      </c>
      <c r="IE265" s="1">
        <v>0</v>
      </c>
      <c r="IF265" s="1">
        <v>0</v>
      </c>
      <c r="IG265" s="1">
        <v>0</v>
      </c>
      <c r="IH265" s="1">
        <v>0</v>
      </c>
      <c r="II265" s="1">
        <v>0</v>
      </c>
      <c r="IJ265" s="1">
        <v>0</v>
      </c>
      <c r="IK265" s="1">
        <v>0</v>
      </c>
      <c r="IL265" s="1">
        <v>0</v>
      </c>
      <c r="IM265" s="1">
        <v>0</v>
      </c>
      <c r="IN265" s="1">
        <v>0</v>
      </c>
      <c r="IO265" s="1">
        <v>627.32999999999993</v>
      </c>
      <c r="IP265" s="1">
        <v>789.66</v>
      </c>
      <c r="IQ265" s="1">
        <v>805.87</v>
      </c>
      <c r="IR265" s="1">
        <v>1230.93</v>
      </c>
      <c r="IS265" s="1">
        <v>627.32999999999993</v>
      </c>
      <c r="IT265" s="1">
        <v>789.66</v>
      </c>
      <c r="IU265" s="1">
        <v>805.87</v>
      </c>
      <c r="IV265" s="1">
        <v>1230.93</v>
      </c>
      <c r="IW265" s="1">
        <v>0</v>
      </c>
      <c r="IX265" s="1">
        <v>0</v>
      </c>
      <c r="IY265" s="1">
        <v>0</v>
      </c>
      <c r="IZ265" s="1">
        <v>0</v>
      </c>
      <c r="JA265" s="1">
        <v>0</v>
      </c>
      <c r="JB265" s="1">
        <v>0</v>
      </c>
      <c r="JC265" s="1">
        <v>0</v>
      </c>
      <c r="JD265" s="1">
        <v>0</v>
      </c>
      <c r="JE265" s="1">
        <v>0</v>
      </c>
      <c r="JF265" s="1">
        <v>0</v>
      </c>
      <c r="JG265" s="1">
        <v>0</v>
      </c>
      <c r="JH265" s="1">
        <v>0</v>
      </c>
      <c r="JI265" s="1">
        <v>0</v>
      </c>
      <c r="JJ265" s="1">
        <v>0</v>
      </c>
      <c r="JK265" s="1">
        <v>0</v>
      </c>
      <c r="JL265" s="1">
        <v>0</v>
      </c>
      <c r="JM265" s="1">
        <v>0</v>
      </c>
      <c r="JN265" s="1">
        <v>0</v>
      </c>
      <c r="JO265" s="1">
        <v>0</v>
      </c>
      <c r="JP265" s="1">
        <v>0</v>
      </c>
      <c r="JQ265" s="9"/>
      <c r="JR265" s="1">
        <f t="shared" si="60"/>
        <v>48328.280639999997</v>
      </c>
      <c r="JS265" s="1">
        <f t="shared" si="60"/>
        <v>51570.676619999998</v>
      </c>
      <c r="JT265" s="1">
        <f t="shared" si="60"/>
        <v>49501.489229999999</v>
      </c>
      <c r="JU265" s="1">
        <f t="shared" si="58"/>
        <v>48788.227260000007</v>
      </c>
      <c r="JV265" s="1">
        <f t="shared" si="61"/>
        <v>8949.6815999999999</v>
      </c>
      <c r="JW265" s="1">
        <f t="shared" si="61"/>
        <v>9550.1252999999997</v>
      </c>
      <c r="JX265" s="1">
        <f t="shared" si="61"/>
        <v>9166.9424500000005</v>
      </c>
      <c r="JY265" s="1">
        <f t="shared" si="59"/>
        <v>9034.8569000000007</v>
      </c>
    </row>
    <row r="266" spans="1:285" s="8" customFormat="1" x14ac:dyDescent="0.35">
      <c r="A266" s="6" t="s">
        <v>273</v>
      </c>
      <c r="B266" s="7">
        <v>279527</v>
      </c>
      <c r="C266" s="7">
        <v>278147</v>
      </c>
      <c r="D266" s="7">
        <v>275847</v>
      </c>
      <c r="E266" s="7">
        <v>278506</v>
      </c>
      <c r="F266" s="7">
        <v>75180.70199999999</v>
      </c>
      <c r="G266" s="7">
        <v>79864.584000000003</v>
      </c>
      <c r="H266" s="7">
        <v>79778.94</v>
      </c>
      <c r="I266" s="7">
        <v>81451.19</v>
      </c>
      <c r="J266" s="1">
        <f t="shared" si="62"/>
        <v>35499.854999999996</v>
      </c>
      <c r="K266" s="1">
        <f t="shared" si="63"/>
        <v>42644.284</v>
      </c>
      <c r="L266" s="1">
        <f t="shared" si="64"/>
        <v>43733.000000000007</v>
      </c>
      <c r="M266" s="1">
        <f t="shared" si="65"/>
        <v>48795.549999999996</v>
      </c>
      <c r="N266" s="1">
        <f t="shared" si="66"/>
        <v>39680.846999999994</v>
      </c>
      <c r="O266" s="1">
        <f t="shared" si="67"/>
        <v>37220.300000000003</v>
      </c>
      <c r="P266" s="1">
        <f t="shared" si="68"/>
        <v>36045.939999999995</v>
      </c>
      <c r="Q266" s="1">
        <f t="shared" si="69"/>
        <v>32655.640000000007</v>
      </c>
      <c r="R266" s="7">
        <v>509.26</v>
      </c>
      <c r="S266" s="7">
        <v>476.89</v>
      </c>
      <c r="T266" s="7">
        <v>421.97</v>
      </c>
      <c r="U266" s="7">
        <v>383.47</v>
      </c>
      <c r="V266" s="7">
        <v>0</v>
      </c>
      <c r="W266" s="7">
        <v>0</v>
      </c>
      <c r="X266" s="7">
        <v>509.26</v>
      </c>
      <c r="Y266" s="7">
        <v>0</v>
      </c>
      <c r="Z266" s="7">
        <v>0</v>
      </c>
      <c r="AA266" s="7">
        <v>476.89</v>
      </c>
      <c r="AB266" s="7">
        <v>0</v>
      </c>
      <c r="AC266" s="7">
        <v>0</v>
      </c>
      <c r="AD266" s="7">
        <v>421.97</v>
      </c>
      <c r="AE266" s="7">
        <v>0</v>
      </c>
      <c r="AF266" s="7">
        <v>0</v>
      </c>
      <c r="AG266" s="7">
        <v>383.47</v>
      </c>
      <c r="AH266" s="7">
        <v>0</v>
      </c>
      <c r="AI266" s="7">
        <v>0</v>
      </c>
      <c r="AJ266" s="7">
        <v>0</v>
      </c>
      <c r="AK266" s="7">
        <v>0</v>
      </c>
      <c r="AL266" s="7">
        <v>0</v>
      </c>
      <c r="AM266" s="7">
        <v>0</v>
      </c>
      <c r="AN266" s="7">
        <v>0</v>
      </c>
      <c r="AO266" s="7">
        <v>0</v>
      </c>
      <c r="AP266" s="7">
        <v>11909.069999999996</v>
      </c>
      <c r="AQ266" s="7">
        <v>10537.48</v>
      </c>
      <c r="AR266" s="7">
        <v>8447.5499999999993</v>
      </c>
      <c r="AS266" s="7">
        <v>9679.15</v>
      </c>
      <c r="AT266" s="7">
        <v>8953.619999999999</v>
      </c>
      <c r="AU266" s="7">
        <v>2955.4499999999971</v>
      </c>
      <c r="AV266" s="7">
        <v>0</v>
      </c>
      <c r="AW266" s="7">
        <v>0</v>
      </c>
      <c r="AX266" s="7">
        <v>9478.2200000000012</v>
      </c>
      <c r="AY266" s="7">
        <v>1059.2599999999984</v>
      </c>
      <c r="AZ266" s="7">
        <v>0</v>
      </c>
      <c r="BA266" s="7">
        <v>0</v>
      </c>
      <c r="BB266" s="7">
        <v>8147.1399999999994</v>
      </c>
      <c r="BC266" s="7">
        <v>300.40999999999985</v>
      </c>
      <c r="BD266" s="7">
        <v>0</v>
      </c>
      <c r="BE266" s="7">
        <f>AS266-BF266-BH266</f>
        <v>8071.74</v>
      </c>
      <c r="BF266" s="7">
        <v>411.80999999999995</v>
      </c>
      <c r="BG266" s="7">
        <v>0</v>
      </c>
      <c r="BH266" s="7">
        <v>1195.5999999999999</v>
      </c>
      <c r="BI266" s="7">
        <v>0</v>
      </c>
      <c r="BJ266" s="7">
        <v>0</v>
      </c>
      <c r="BK266" s="7">
        <v>0</v>
      </c>
      <c r="BL266" s="7">
        <v>0</v>
      </c>
      <c r="BM266" s="7">
        <v>0</v>
      </c>
      <c r="BN266" s="7">
        <v>0</v>
      </c>
      <c r="BO266" s="7">
        <v>0</v>
      </c>
      <c r="BP266" s="7">
        <v>0</v>
      </c>
      <c r="BQ266" s="7">
        <v>0</v>
      </c>
      <c r="BR266" s="7">
        <v>0</v>
      </c>
      <c r="BS266" s="7">
        <v>0</v>
      </c>
      <c r="BT266" s="7">
        <v>0</v>
      </c>
      <c r="BU266" s="7">
        <v>9041.844000000001</v>
      </c>
      <c r="BV266" s="7">
        <v>14602.05</v>
      </c>
      <c r="BW266" s="7">
        <v>16259.4</v>
      </c>
      <c r="BX266" s="7">
        <v>20536.330000000002</v>
      </c>
      <c r="BY266" s="7">
        <v>8797.98</v>
      </c>
      <c r="BZ266" s="7">
        <v>14536.1</v>
      </c>
      <c r="CA266" s="7">
        <v>16179.96</v>
      </c>
      <c r="CB266" s="7">
        <v>20455.009999999998</v>
      </c>
      <c r="CC266" s="1">
        <v>243.864</v>
      </c>
      <c r="CD266" s="1">
        <v>65.95</v>
      </c>
      <c r="CE266" s="1">
        <v>79.440000000000012</v>
      </c>
      <c r="CF266" s="1">
        <v>81.320000000000007</v>
      </c>
      <c r="CG266" s="1">
        <v>0</v>
      </c>
      <c r="CH266" s="1">
        <v>0</v>
      </c>
      <c r="CI266" s="1">
        <v>0</v>
      </c>
      <c r="CJ266" s="1">
        <v>0</v>
      </c>
      <c r="CK266" s="1">
        <v>0</v>
      </c>
      <c r="CL266" s="1">
        <v>0</v>
      </c>
      <c r="CM266" s="1">
        <v>0</v>
      </c>
      <c r="CN266" s="1">
        <v>0</v>
      </c>
      <c r="CO266" s="1">
        <v>0</v>
      </c>
      <c r="CP266" s="1">
        <v>0</v>
      </c>
      <c r="CQ266" s="1">
        <v>0</v>
      </c>
      <c r="CR266" s="1">
        <v>0</v>
      </c>
      <c r="CS266" s="7">
        <v>2954.55</v>
      </c>
      <c r="CT266" s="7">
        <v>3131.51</v>
      </c>
      <c r="CU266" s="7">
        <v>2839.16</v>
      </c>
      <c r="CV266" s="7">
        <v>2927.12</v>
      </c>
      <c r="CW266" s="7">
        <v>2954.55</v>
      </c>
      <c r="CX266" s="7">
        <v>3131.51</v>
      </c>
      <c r="CY266" s="7">
        <v>2822.71</v>
      </c>
      <c r="CZ266" s="7">
        <v>2927.12</v>
      </c>
      <c r="DA266" s="1">
        <v>0</v>
      </c>
      <c r="DB266" s="1">
        <v>0</v>
      </c>
      <c r="DC266" s="1">
        <v>16.45</v>
      </c>
      <c r="DD266" s="1">
        <v>0</v>
      </c>
      <c r="DE266" s="1">
        <v>0</v>
      </c>
      <c r="DF266" s="1">
        <v>0</v>
      </c>
      <c r="DG266" s="1">
        <v>0</v>
      </c>
      <c r="DH266" s="1">
        <v>0</v>
      </c>
      <c r="DI266" s="1">
        <v>0</v>
      </c>
      <c r="DJ266" s="1">
        <v>0</v>
      </c>
      <c r="DK266" s="1">
        <v>0</v>
      </c>
      <c r="DL266" s="1">
        <v>0</v>
      </c>
      <c r="DM266" s="1">
        <v>4397.43</v>
      </c>
      <c r="DN266" s="1">
        <v>5461.85</v>
      </c>
      <c r="DO266" s="1">
        <v>4587.9699999999993</v>
      </c>
      <c r="DP266" s="1">
        <v>4951.17</v>
      </c>
      <c r="DQ266" s="1">
        <v>4397.43</v>
      </c>
      <c r="DR266" s="1">
        <v>5461.85</v>
      </c>
      <c r="DS266" s="1">
        <v>4587.9699999999993</v>
      </c>
      <c r="DT266" s="1">
        <v>4951.17</v>
      </c>
      <c r="DU266" s="1">
        <v>0</v>
      </c>
      <c r="DV266" s="1">
        <v>0</v>
      </c>
      <c r="DW266" s="1">
        <v>0</v>
      </c>
      <c r="DX266" s="1">
        <v>0</v>
      </c>
      <c r="DY266" s="1">
        <v>0</v>
      </c>
      <c r="DZ266" s="1">
        <v>0</v>
      </c>
      <c r="EA266" s="1">
        <v>0</v>
      </c>
      <c r="EB266" s="1">
        <v>0</v>
      </c>
      <c r="EC266" s="1">
        <v>0</v>
      </c>
      <c r="ED266" s="1">
        <v>0</v>
      </c>
      <c r="EE266" s="1">
        <v>0</v>
      </c>
      <c r="EF266" s="1">
        <v>0</v>
      </c>
      <c r="EG266" s="1">
        <v>0</v>
      </c>
      <c r="EH266" s="1">
        <v>0</v>
      </c>
      <c r="EI266" s="1">
        <v>0</v>
      </c>
      <c r="EJ266" s="1">
        <v>0</v>
      </c>
      <c r="EK266" s="1">
        <v>1459.19</v>
      </c>
      <c r="EL266" s="1">
        <v>1469.03</v>
      </c>
      <c r="EM266" s="1">
        <v>2285.37</v>
      </c>
      <c r="EN266" s="1">
        <v>2072.33</v>
      </c>
      <c r="EO266" s="1">
        <v>1452.52</v>
      </c>
      <c r="EP266" s="1">
        <v>1456.47</v>
      </c>
      <c r="EQ266" s="1">
        <v>2264.31</v>
      </c>
      <c r="ER266" s="1">
        <v>2054.21</v>
      </c>
      <c r="ES266" s="1">
        <v>6.67</v>
      </c>
      <c r="ET266" s="1">
        <v>12.56</v>
      </c>
      <c r="EU266" s="1">
        <v>21.06</v>
      </c>
      <c r="EV266" s="1">
        <v>18.12</v>
      </c>
      <c r="EW266" s="1">
        <v>0</v>
      </c>
      <c r="EX266" s="1">
        <v>0</v>
      </c>
      <c r="EY266" s="1">
        <v>0</v>
      </c>
      <c r="EZ266" s="1">
        <v>0</v>
      </c>
      <c r="FA266" s="1">
        <v>0</v>
      </c>
      <c r="FB266" s="1">
        <v>0</v>
      </c>
      <c r="FC266" s="1">
        <v>0</v>
      </c>
      <c r="FD266" s="1">
        <v>0</v>
      </c>
      <c r="FE266" s="1">
        <v>873.35500000000002</v>
      </c>
      <c r="FF266" s="1">
        <v>743.42399999999998</v>
      </c>
      <c r="FG266" s="1">
        <v>1820.26</v>
      </c>
      <c r="FH266" s="1">
        <v>779.23</v>
      </c>
      <c r="FI266" s="1">
        <v>272.26900000000001</v>
      </c>
      <c r="FJ266" s="1">
        <v>284.19</v>
      </c>
      <c r="FK266" s="1">
        <v>124.97</v>
      </c>
      <c r="FL266" s="1">
        <v>284.04000000000002</v>
      </c>
      <c r="FM266" s="1">
        <v>601.08600000000001</v>
      </c>
      <c r="FN266" s="1">
        <v>459.23399999999998</v>
      </c>
      <c r="FO266" s="1">
        <v>1695.29</v>
      </c>
      <c r="FP266" s="1">
        <v>495.19000000000011</v>
      </c>
      <c r="FQ266" s="1">
        <v>0</v>
      </c>
      <c r="FR266" s="1">
        <v>0</v>
      </c>
      <c r="FS266" s="1">
        <v>0</v>
      </c>
      <c r="FT266" s="1">
        <v>0</v>
      </c>
      <c r="FU266" s="1">
        <v>0</v>
      </c>
      <c r="FV266" s="1">
        <v>0</v>
      </c>
      <c r="FW266" s="1">
        <v>0</v>
      </c>
      <c r="FX266" s="1">
        <v>0</v>
      </c>
      <c r="FY266" s="1">
        <v>0</v>
      </c>
      <c r="FZ266" s="1">
        <v>0</v>
      </c>
      <c r="GA266" s="1">
        <v>0</v>
      </c>
      <c r="GB266" s="1">
        <v>0</v>
      </c>
      <c r="GC266" s="1">
        <v>1323.912</v>
      </c>
      <c r="GD266" s="1">
        <v>1248.75</v>
      </c>
      <c r="GE266" s="1">
        <v>1813.36</v>
      </c>
      <c r="GF266" s="1">
        <v>2727.45</v>
      </c>
      <c r="GG266" s="1">
        <v>820.43</v>
      </c>
      <c r="GH266" s="1">
        <v>1248.75</v>
      </c>
      <c r="GI266" s="1">
        <v>1429.21</v>
      </c>
      <c r="GJ266" s="1">
        <v>2727.45</v>
      </c>
      <c r="GK266" s="1">
        <v>503.48200000000003</v>
      </c>
      <c r="GL266" s="1">
        <v>0</v>
      </c>
      <c r="GM266" s="1">
        <v>384.15</v>
      </c>
      <c r="GN266" s="1">
        <v>0</v>
      </c>
      <c r="GO266" s="1">
        <v>0</v>
      </c>
      <c r="GP266" s="1">
        <v>0</v>
      </c>
      <c r="GQ266" s="1">
        <v>0</v>
      </c>
      <c r="GR266" s="1">
        <v>0</v>
      </c>
      <c r="GS266" s="1">
        <v>0</v>
      </c>
      <c r="GT266" s="1">
        <v>0</v>
      </c>
      <c r="GU266" s="1">
        <v>0</v>
      </c>
      <c r="GV266" s="1">
        <v>0</v>
      </c>
      <c r="GW266" s="1">
        <v>0</v>
      </c>
      <c r="GX266" s="1">
        <v>0</v>
      </c>
      <c r="GY266" s="1">
        <v>0</v>
      </c>
      <c r="GZ266" s="1">
        <v>0</v>
      </c>
      <c r="HA266" s="1">
        <v>0</v>
      </c>
      <c r="HB266" s="1">
        <v>0</v>
      </c>
      <c r="HC266" s="1">
        <v>0</v>
      </c>
      <c r="HD266" s="1">
        <v>0</v>
      </c>
      <c r="HE266" s="1">
        <v>2823.51</v>
      </c>
      <c r="HF266" s="1">
        <v>4950.2700000000004</v>
      </c>
      <c r="HG266" s="1">
        <v>5163.59</v>
      </c>
      <c r="HH266" s="1">
        <v>4470.1000000000004</v>
      </c>
      <c r="HI266" s="1">
        <v>2823.51</v>
      </c>
      <c r="HJ266" s="1">
        <v>4166.74</v>
      </c>
      <c r="HK266" s="1">
        <v>3431.75</v>
      </c>
      <c r="HL266" s="1">
        <v>4275.17</v>
      </c>
      <c r="HM266" s="1">
        <v>0</v>
      </c>
      <c r="HN266" s="1">
        <v>0</v>
      </c>
      <c r="HO266" s="1">
        <v>0</v>
      </c>
      <c r="HP266" s="1">
        <v>0</v>
      </c>
      <c r="HQ266" s="1">
        <v>0</v>
      </c>
      <c r="HR266" s="1">
        <v>0</v>
      </c>
      <c r="HS266" s="1">
        <v>0</v>
      </c>
      <c r="HT266" s="1">
        <v>0</v>
      </c>
      <c r="HU266" s="1">
        <v>0</v>
      </c>
      <c r="HV266" s="1">
        <v>0</v>
      </c>
      <c r="HW266" s="1">
        <v>0</v>
      </c>
      <c r="HX266" s="1">
        <v>0</v>
      </c>
      <c r="HY266" s="1">
        <v>0</v>
      </c>
      <c r="HZ266" s="1">
        <v>0</v>
      </c>
      <c r="IA266" s="1">
        <v>0</v>
      </c>
      <c r="IB266" s="1">
        <v>0</v>
      </c>
      <c r="IC266" s="1">
        <v>0</v>
      </c>
      <c r="ID266" s="1">
        <v>783.53</v>
      </c>
      <c r="IE266" s="1">
        <v>1731.84</v>
      </c>
      <c r="IF266" s="1">
        <v>194.93</v>
      </c>
      <c r="IG266" s="1">
        <v>0</v>
      </c>
      <c r="IH266" s="1">
        <v>0</v>
      </c>
      <c r="II266" s="1">
        <v>0</v>
      </c>
      <c r="IJ266" s="1">
        <v>0</v>
      </c>
      <c r="IK266" s="1">
        <v>0</v>
      </c>
      <c r="IL266" s="1">
        <v>0</v>
      </c>
      <c r="IM266" s="1">
        <v>0</v>
      </c>
      <c r="IN266" s="1">
        <v>0</v>
      </c>
      <c r="IO266" s="1">
        <v>207.73400000000001</v>
      </c>
      <c r="IP266" s="1">
        <v>23.03</v>
      </c>
      <c r="IQ266" s="1">
        <v>94.36999999999999</v>
      </c>
      <c r="IR266" s="1">
        <v>269.2</v>
      </c>
      <c r="IS266" s="1">
        <v>40.46</v>
      </c>
      <c r="IT266" s="1">
        <v>23.03</v>
      </c>
      <c r="IU266" s="1">
        <v>44.99</v>
      </c>
      <c r="IV266" s="1">
        <v>243.13</v>
      </c>
      <c r="IW266" s="1">
        <v>167.274</v>
      </c>
      <c r="IX266" s="1">
        <v>0</v>
      </c>
      <c r="IY266" s="1">
        <v>40.71</v>
      </c>
      <c r="IZ266" s="1">
        <v>26.07</v>
      </c>
      <c r="JA266" s="1">
        <v>0</v>
      </c>
      <c r="JB266" s="1">
        <v>0</v>
      </c>
      <c r="JC266" s="1">
        <v>0</v>
      </c>
      <c r="JD266" s="1">
        <v>0</v>
      </c>
      <c r="JE266" s="1">
        <v>0</v>
      </c>
      <c r="JF266" s="1">
        <v>0</v>
      </c>
      <c r="JG266" s="1">
        <v>0</v>
      </c>
      <c r="JH266" s="1">
        <v>0</v>
      </c>
      <c r="JI266" s="1">
        <v>0</v>
      </c>
      <c r="JJ266" s="1">
        <v>0</v>
      </c>
      <c r="JK266" s="1">
        <v>0</v>
      </c>
      <c r="JL266" s="1">
        <v>0</v>
      </c>
      <c r="JM266" s="1">
        <v>0</v>
      </c>
      <c r="JN266" s="1">
        <v>0</v>
      </c>
      <c r="JO266" s="1">
        <v>0</v>
      </c>
      <c r="JP266" s="1">
        <v>0</v>
      </c>
      <c r="JQ266" s="9"/>
      <c r="JR266" s="1">
        <f t="shared" si="60"/>
        <v>10713.828689999998</v>
      </c>
      <c r="JS266" s="1">
        <f t="shared" si="60"/>
        <v>10049.481000000002</v>
      </c>
      <c r="JT266" s="1">
        <f t="shared" si="60"/>
        <v>9732.4038</v>
      </c>
      <c r="JU266" s="1">
        <f t="shared" si="58"/>
        <v>8817.0228000000025</v>
      </c>
      <c r="JV266" s="1">
        <f t="shared" si="61"/>
        <v>1984.0423499999997</v>
      </c>
      <c r="JW266" s="1">
        <f t="shared" si="61"/>
        <v>1861.0150000000003</v>
      </c>
      <c r="JX266" s="1">
        <f t="shared" si="61"/>
        <v>1802.2969999999998</v>
      </c>
      <c r="JY266" s="1">
        <f t="shared" si="59"/>
        <v>1632.7820000000004</v>
      </c>
    </row>
    <row r="267" spans="1:285" x14ac:dyDescent="0.35">
      <c r="A267" s="2" t="s">
        <v>274</v>
      </c>
      <c r="B267" s="1">
        <v>333678</v>
      </c>
      <c r="C267" s="1">
        <v>328429</v>
      </c>
      <c r="D267" s="1">
        <v>330447</v>
      </c>
      <c r="E267" s="1">
        <v>333859</v>
      </c>
      <c r="F267" s="1">
        <v>137300.87</v>
      </c>
      <c r="G267" s="1">
        <v>135815.32999999999</v>
      </c>
      <c r="H267" s="1">
        <v>119009.71</v>
      </c>
      <c r="I267" s="1">
        <v>117285.89</v>
      </c>
      <c r="J267" s="1">
        <f t="shared" si="62"/>
        <v>105272.09999999999</v>
      </c>
      <c r="K267" s="1">
        <f t="shared" si="63"/>
        <v>103971.22</v>
      </c>
      <c r="L267" s="1">
        <f t="shared" si="64"/>
        <v>91287.14</v>
      </c>
      <c r="M267" s="1">
        <f t="shared" si="65"/>
        <v>90345.48000000001</v>
      </c>
      <c r="N267" s="1">
        <f t="shared" si="66"/>
        <v>32028.770000000004</v>
      </c>
      <c r="O267" s="1">
        <f t="shared" si="67"/>
        <v>31844.109999999986</v>
      </c>
      <c r="P267" s="1">
        <f t="shared" si="68"/>
        <v>27722.570000000007</v>
      </c>
      <c r="Q267" s="1">
        <f t="shared" si="69"/>
        <v>26940.409999999989</v>
      </c>
      <c r="R267" s="1">
        <v>0</v>
      </c>
      <c r="S267" s="1">
        <v>0</v>
      </c>
      <c r="T267" s="1">
        <v>0</v>
      </c>
      <c r="U267" s="1">
        <v>187.56</v>
      </c>
      <c r="V267" s="1">
        <v>0</v>
      </c>
      <c r="W267" s="1">
        <v>0</v>
      </c>
      <c r="X267" s="1">
        <v>0</v>
      </c>
      <c r="Y267" s="1">
        <v>0</v>
      </c>
      <c r="Z267" s="1">
        <v>0</v>
      </c>
      <c r="AA267" s="1">
        <v>0</v>
      </c>
      <c r="AB267" s="1">
        <v>0</v>
      </c>
      <c r="AC267" s="1">
        <v>0</v>
      </c>
      <c r="AD267" s="1">
        <v>0</v>
      </c>
      <c r="AE267" s="1">
        <v>0</v>
      </c>
      <c r="AF267" s="1">
        <v>0</v>
      </c>
      <c r="AG267" s="1">
        <v>187.56</v>
      </c>
      <c r="AH267" s="1">
        <v>0</v>
      </c>
      <c r="AI267" s="1">
        <v>0</v>
      </c>
      <c r="AJ267" s="1">
        <v>0</v>
      </c>
      <c r="AK267" s="1">
        <v>0</v>
      </c>
      <c r="AL267" s="1">
        <v>0</v>
      </c>
      <c r="AM267" s="1">
        <v>0</v>
      </c>
      <c r="AN267" s="1">
        <v>0</v>
      </c>
      <c r="AO267" s="1">
        <v>0</v>
      </c>
      <c r="AP267" s="1">
        <v>1342.8</v>
      </c>
      <c r="AQ267" s="1">
        <v>1242.4899999999998</v>
      </c>
      <c r="AR267" s="1">
        <v>976.76</v>
      </c>
      <c r="AS267" s="1">
        <v>1059.74</v>
      </c>
      <c r="AT267" s="1">
        <v>0</v>
      </c>
      <c r="AU267" s="1">
        <v>1342.8</v>
      </c>
      <c r="AV267" s="1">
        <v>0</v>
      </c>
      <c r="AW267" s="1">
        <v>0</v>
      </c>
      <c r="AX267" s="1">
        <v>0</v>
      </c>
      <c r="AY267" s="1">
        <v>1242.4899999999998</v>
      </c>
      <c r="AZ267" s="1">
        <v>0</v>
      </c>
      <c r="BA267" s="1">
        <v>0</v>
      </c>
      <c r="BB267" s="1">
        <v>0</v>
      </c>
      <c r="BC267" s="1">
        <v>976.76</v>
      </c>
      <c r="BD267" s="1">
        <v>0</v>
      </c>
      <c r="BE267" s="1">
        <v>0</v>
      </c>
      <c r="BF267" s="1">
        <v>1059.74</v>
      </c>
      <c r="BG267" s="1">
        <v>0</v>
      </c>
      <c r="BH267" s="1">
        <v>0</v>
      </c>
      <c r="BI267" s="1">
        <v>0</v>
      </c>
      <c r="BJ267" s="1">
        <v>0</v>
      </c>
      <c r="BK267" s="1">
        <v>0</v>
      </c>
      <c r="BL267" s="1">
        <v>0</v>
      </c>
      <c r="BM267" s="1">
        <v>0</v>
      </c>
      <c r="BN267" s="1">
        <v>0</v>
      </c>
      <c r="BO267" s="1">
        <v>0</v>
      </c>
      <c r="BP267" s="1">
        <v>0</v>
      </c>
      <c r="BQ267" s="1">
        <v>0</v>
      </c>
      <c r="BR267" s="1">
        <v>0</v>
      </c>
      <c r="BS267" s="1">
        <v>0</v>
      </c>
      <c r="BT267" s="1">
        <v>0</v>
      </c>
      <c r="BU267" s="1">
        <v>20801.849999999999</v>
      </c>
      <c r="BV267" s="1">
        <v>20521.61</v>
      </c>
      <c r="BW267" s="1">
        <v>18004.95</v>
      </c>
      <c r="BX267" s="1">
        <v>17642.72</v>
      </c>
      <c r="BY267" s="1">
        <v>20801.849999999999</v>
      </c>
      <c r="BZ267" s="1">
        <v>20521.61</v>
      </c>
      <c r="CA267" s="1">
        <v>18004.95</v>
      </c>
      <c r="CB267" s="1">
        <v>17642.72</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20102.13</v>
      </c>
      <c r="CT267" s="1">
        <v>19947.8</v>
      </c>
      <c r="CU267" s="1">
        <v>21973.08</v>
      </c>
      <c r="CV267" s="1">
        <v>17458.3</v>
      </c>
      <c r="CW267" s="1">
        <v>20102.13</v>
      </c>
      <c r="CX267" s="1">
        <v>19947.8</v>
      </c>
      <c r="CY267" s="1">
        <v>21973.08</v>
      </c>
      <c r="CZ267" s="1">
        <v>17458.3</v>
      </c>
      <c r="DA267" s="1">
        <v>0</v>
      </c>
      <c r="DB267" s="1">
        <v>0</v>
      </c>
      <c r="DC267" s="1">
        <v>0</v>
      </c>
      <c r="DD267" s="1">
        <v>0</v>
      </c>
      <c r="DE267" s="1">
        <v>0</v>
      </c>
      <c r="DF267" s="1">
        <v>0</v>
      </c>
      <c r="DG267" s="1">
        <v>0</v>
      </c>
      <c r="DH267" s="1">
        <v>0</v>
      </c>
      <c r="DI267" s="1">
        <v>0</v>
      </c>
      <c r="DJ267" s="1">
        <v>0</v>
      </c>
      <c r="DK267" s="1">
        <v>0</v>
      </c>
      <c r="DL267" s="1">
        <v>0</v>
      </c>
      <c r="DM267" s="1">
        <v>19836.919999999998</v>
      </c>
      <c r="DN267" s="1">
        <v>19521.47</v>
      </c>
      <c r="DO267" s="1">
        <v>17124.13</v>
      </c>
      <c r="DP267" s="1">
        <v>16878.310000000001</v>
      </c>
      <c r="DQ267" s="1">
        <v>19836.919999999998</v>
      </c>
      <c r="DR267" s="1">
        <v>19521.47</v>
      </c>
      <c r="DS267" s="1">
        <v>17124.13</v>
      </c>
      <c r="DT267" s="1">
        <v>16878.310000000001</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20898.560000000001</v>
      </c>
      <c r="EL267" s="1">
        <v>20645.310000000001</v>
      </c>
      <c r="EM267" s="1">
        <v>18040.88</v>
      </c>
      <c r="EN267" s="1">
        <v>17638.07</v>
      </c>
      <c r="EO267" s="1">
        <v>20892.419999999998</v>
      </c>
      <c r="EP267" s="1">
        <v>20641.16</v>
      </c>
      <c r="EQ267" s="1">
        <v>18029.400000000001</v>
      </c>
      <c r="ER267" s="1">
        <v>17633.29</v>
      </c>
      <c r="ES267" s="1">
        <v>6.1400000000000006</v>
      </c>
      <c r="ET267" s="1">
        <v>4.1500000000000004</v>
      </c>
      <c r="EU267" s="1">
        <v>11.48</v>
      </c>
      <c r="EV267" s="1">
        <v>4.78</v>
      </c>
      <c r="EW267" s="1">
        <v>0</v>
      </c>
      <c r="EX267" s="1">
        <v>0</v>
      </c>
      <c r="EY267" s="1">
        <v>0</v>
      </c>
      <c r="EZ267" s="1">
        <v>0</v>
      </c>
      <c r="FA267" s="1">
        <v>0</v>
      </c>
      <c r="FB267" s="1">
        <v>0</v>
      </c>
      <c r="FC267" s="1">
        <v>0</v>
      </c>
      <c r="FD267" s="1">
        <v>0</v>
      </c>
      <c r="FE267" s="1">
        <v>747.65</v>
      </c>
      <c r="FF267" s="1">
        <v>742.27</v>
      </c>
      <c r="FG267" s="1">
        <v>543.74</v>
      </c>
      <c r="FH267" s="1">
        <v>623.98</v>
      </c>
      <c r="FI267" s="1">
        <v>747.65</v>
      </c>
      <c r="FJ267" s="1">
        <v>742.27</v>
      </c>
      <c r="FK267" s="1">
        <v>543.74</v>
      </c>
      <c r="FL267" s="1">
        <v>623.98</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v>0</v>
      </c>
      <c r="GC267" s="1">
        <v>20961.490000000002</v>
      </c>
      <c r="GD267" s="1">
        <v>20622.150000000001</v>
      </c>
      <c r="GE267" s="1">
        <v>13760.76</v>
      </c>
      <c r="GF267" s="1">
        <v>17752.27</v>
      </c>
      <c r="GG267" s="1">
        <v>20961.490000000002</v>
      </c>
      <c r="GH267" s="1">
        <v>20622.150000000001</v>
      </c>
      <c r="GI267" s="1">
        <v>13760.76</v>
      </c>
      <c r="GJ267" s="1">
        <v>17752.27</v>
      </c>
      <c r="GK267" s="1">
        <v>0</v>
      </c>
      <c r="GL267" s="1">
        <v>0</v>
      </c>
      <c r="GM267" s="1">
        <v>0</v>
      </c>
      <c r="GN267" s="1">
        <v>0</v>
      </c>
      <c r="GO267" s="1">
        <v>0</v>
      </c>
      <c r="GP267" s="1">
        <v>0</v>
      </c>
      <c r="GQ267" s="1">
        <v>0</v>
      </c>
      <c r="GR267" s="1">
        <v>0</v>
      </c>
      <c r="GS267" s="1">
        <v>0</v>
      </c>
      <c r="GT267" s="1">
        <v>0</v>
      </c>
      <c r="GU267" s="1">
        <v>0</v>
      </c>
      <c r="GV267" s="1">
        <v>0</v>
      </c>
      <c r="GW267" s="1">
        <v>0</v>
      </c>
      <c r="GX267" s="1">
        <v>0</v>
      </c>
      <c r="GY267" s="1">
        <v>0</v>
      </c>
      <c r="GZ267" s="1">
        <v>0</v>
      </c>
      <c r="HA267" s="1">
        <v>0</v>
      </c>
      <c r="HB267" s="1">
        <v>0</v>
      </c>
      <c r="HC267" s="1">
        <v>0</v>
      </c>
      <c r="HD267" s="1">
        <v>0</v>
      </c>
      <c r="HE267" s="1">
        <v>0</v>
      </c>
      <c r="HF267" s="1">
        <v>0</v>
      </c>
      <c r="HG267" s="1">
        <v>0</v>
      </c>
      <c r="HH267" s="1">
        <v>0</v>
      </c>
      <c r="HI267" s="1">
        <v>0</v>
      </c>
      <c r="HJ267" s="1">
        <v>0</v>
      </c>
      <c r="HK267" s="1">
        <v>0</v>
      </c>
      <c r="HL267" s="1">
        <v>0</v>
      </c>
      <c r="HM267" s="1">
        <v>0</v>
      </c>
      <c r="HN267" s="1">
        <v>0</v>
      </c>
      <c r="HO267" s="1">
        <v>0</v>
      </c>
      <c r="HP267" s="1">
        <v>0</v>
      </c>
      <c r="HQ267" s="1">
        <v>0</v>
      </c>
      <c r="HR267" s="1">
        <v>0</v>
      </c>
      <c r="HS267" s="1">
        <v>0</v>
      </c>
      <c r="HT267" s="1">
        <v>0</v>
      </c>
      <c r="HU267" s="1">
        <v>0</v>
      </c>
      <c r="HV267" s="1">
        <v>0</v>
      </c>
      <c r="HW267" s="1">
        <v>0</v>
      </c>
      <c r="HX267" s="1">
        <v>0</v>
      </c>
      <c r="HY267" s="1">
        <v>0</v>
      </c>
      <c r="HZ267" s="1">
        <v>0</v>
      </c>
      <c r="IA267" s="1">
        <v>0</v>
      </c>
      <c r="IB267" s="1">
        <v>0</v>
      </c>
      <c r="IC267" s="1">
        <v>0</v>
      </c>
      <c r="ID267" s="1">
        <v>0</v>
      </c>
      <c r="IE267" s="1">
        <v>0</v>
      </c>
      <c r="IF267" s="1">
        <v>0</v>
      </c>
      <c r="IG267" s="1">
        <v>0</v>
      </c>
      <c r="IH267" s="1">
        <v>0</v>
      </c>
      <c r="II267" s="1">
        <v>0</v>
      </c>
      <c r="IJ267" s="1">
        <v>0</v>
      </c>
      <c r="IK267" s="1">
        <v>0</v>
      </c>
      <c r="IL267" s="1">
        <v>0</v>
      </c>
      <c r="IM267" s="1">
        <v>0</v>
      </c>
      <c r="IN267" s="1">
        <v>0</v>
      </c>
      <c r="IO267" s="1">
        <v>580.69999999999993</v>
      </c>
      <c r="IP267" s="1">
        <v>728.12</v>
      </c>
      <c r="IQ267" s="1">
        <v>862.84</v>
      </c>
      <c r="IR267" s="1">
        <v>1104.53</v>
      </c>
      <c r="IS267" s="1">
        <v>580.69999999999993</v>
      </c>
      <c r="IT267" s="1">
        <v>728.12</v>
      </c>
      <c r="IU267" s="1">
        <v>862.84</v>
      </c>
      <c r="IV267" s="1">
        <v>1104.53</v>
      </c>
      <c r="IW267" s="1">
        <v>0</v>
      </c>
      <c r="IX267" s="1">
        <v>0</v>
      </c>
      <c r="IY267" s="1">
        <v>0</v>
      </c>
      <c r="IZ267" s="1">
        <v>0</v>
      </c>
      <c r="JA267" s="1">
        <v>0</v>
      </c>
      <c r="JB267" s="1">
        <v>0</v>
      </c>
      <c r="JC267" s="1">
        <v>0</v>
      </c>
      <c r="JD267" s="1">
        <v>0</v>
      </c>
      <c r="JE267" s="1">
        <v>0</v>
      </c>
      <c r="JF267" s="1">
        <v>0</v>
      </c>
      <c r="JG267" s="1">
        <v>0</v>
      </c>
      <c r="JH267" s="1">
        <v>0</v>
      </c>
      <c r="JI267" s="1">
        <v>0</v>
      </c>
      <c r="JJ267" s="1">
        <v>0</v>
      </c>
      <c r="JK267" s="1">
        <v>0</v>
      </c>
      <c r="JL267" s="1">
        <v>0</v>
      </c>
      <c r="JM267" s="1">
        <v>0</v>
      </c>
      <c r="JN267" s="1">
        <v>0</v>
      </c>
      <c r="JO267" s="1">
        <v>0</v>
      </c>
      <c r="JP267" s="1">
        <v>0</v>
      </c>
      <c r="JQ267" s="9"/>
      <c r="JR267" s="1">
        <f t="shared" si="60"/>
        <v>8647.7679000000026</v>
      </c>
      <c r="JS267" s="1">
        <f t="shared" si="60"/>
        <v>8597.9096999999965</v>
      </c>
      <c r="JT267" s="1">
        <f t="shared" si="60"/>
        <v>7485.0939000000026</v>
      </c>
      <c r="JU267" s="1">
        <f t="shared" si="58"/>
        <v>7273.9106999999976</v>
      </c>
      <c r="JV267" s="1">
        <f t="shared" si="61"/>
        <v>1601.4385000000002</v>
      </c>
      <c r="JW267" s="1">
        <f t="shared" si="61"/>
        <v>1592.2054999999993</v>
      </c>
      <c r="JX267" s="1">
        <f t="shared" si="61"/>
        <v>1386.1285000000005</v>
      </c>
      <c r="JY267" s="1">
        <f t="shared" si="59"/>
        <v>1347.0204999999996</v>
      </c>
    </row>
    <row r="268" spans="1:285" x14ac:dyDescent="0.35">
      <c r="A268" s="2" t="s">
        <v>275</v>
      </c>
      <c r="B268" s="1">
        <v>211627</v>
      </c>
      <c r="C268" s="1">
        <v>211182</v>
      </c>
      <c r="D268" s="1">
        <v>211756</v>
      </c>
      <c r="E268" s="1">
        <v>213598</v>
      </c>
      <c r="F268" s="1">
        <v>213206.97899999999</v>
      </c>
      <c r="G268" s="1">
        <v>225431.076</v>
      </c>
      <c r="H268" s="1">
        <v>207891.68799999999</v>
      </c>
      <c r="I268" s="1">
        <v>186184.274</v>
      </c>
      <c r="J268" s="1">
        <f t="shared" si="62"/>
        <v>72987.405999999988</v>
      </c>
      <c r="K268" s="1">
        <f t="shared" si="63"/>
        <v>78851.665000000008</v>
      </c>
      <c r="L268" s="1">
        <f t="shared" si="64"/>
        <v>78440.681000000011</v>
      </c>
      <c r="M268" s="1">
        <f t="shared" si="65"/>
        <v>61512.479000000007</v>
      </c>
      <c r="N268" s="1">
        <f t="shared" si="66"/>
        <v>140219.573</v>
      </c>
      <c r="O268" s="1">
        <f t="shared" si="67"/>
        <v>146579.41099999999</v>
      </c>
      <c r="P268" s="1">
        <f t="shared" si="68"/>
        <v>129451.00699999998</v>
      </c>
      <c r="Q268" s="1">
        <f t="shared" si="69"/>
        <v>124671.795</v>
      </c>
      <c r="R268" s="1">
        <v>0</v>
      </c>
      <c r="S268" s="1">
        <v>0</v>
      </c>
      <c r="T268" s="1">
        <v>0</v>
      </c>
      <c r="U268" s="1">
        <v>0</v>
      </c>
      <c r="V268" s="1">
        <v>0</v>
      </c>
      <c r="W268" s="1">
        <v>0</v>
      </c>
      <c r="X268" s="1">
        <v>0</v>
      </c>
      <c r="Y268" s="1">
        <v>0</v>
      </c>
      <c r="Z268" s="1">
        <v>0</v>
      </c>
      <c r="AA268" s="1">
        <v>0</v>
      </c>
      <c r="AB268" s="1">
        <v>0</v>
      </c>
      <c r="AC268" s="1">
        <v>0</v>
      </c>
      <c r="AD268" s="1">
        <v>0</v>
      </c>
      <c r="AE268" s="1">
        <v>0</v>
      </c>
      <c r="AF268" s="1">
        <v>0</v>
      </c>
      <c r="AG268" s="1">
        <v>0</v>
      </c>
      <c r="AH268" s="1">
        <v>0</v>
      </c>
      <c r="AI268" s="1">
        <v>0</v>
      </c>
      <c r="AJ268" s="1">
        <v>0</v>
      </c>
      <c r="AK268" s="1">
        <v>0</v>
      </c>
      <c r="AL268" s="1">
        <v>0</v>
      </c>
      <c r="AM268" s="1">
        <v>0</v>
      </c>
      <c r="AN268" s="1">
        <v>0</v>
      </c>
      <c r="AO268" s="1">
        <v>0</v>
      </c>
      <c r="AP268" s="1">
        <v>15509.449999999999</v>
      </c>
      <c r="AQ268" s="1">
        <v>14955.39</v>
      </c>
      <c r="AR268" s="1">
        <v>13338.279999999999</v>
      </c>
      <c r="AS268" s="1">
        <v>12366.330000000002</v>
      </c>
      <c r="AT268" s="1">
        <v>0</v>
      </c>
      <c r="AU268" s="1">
        <v>15509.449999999999</v>
      </c>
      <c r="AV268" s="1">
        <v>0</v>
      </c>
      <c r="AW268" s="1">
        <v>0</v>
      </c>
      <c r="AX268" s="1">
        <v>0</v>
      </c>
      <c r="AY268" s="1">
        <v>14955.39</v>
      </c>
      <c r="AZ268" s="1">
        <v>0</v>
      </c>
      <c r="BA268" s="1">
        <v>0</v>
      </c>
      <c r="BB268" s="1">
        <v>0</v>
      </c>
      <c r="BC268" s="1">
        <v>13338.279999999999</v>
      </c>
      <c r="BD268" s="1">
        <v>0</v>
      </c>
      <c r="BE268" s="1">
        <v>0</v>
      </c>
      <c r="BF268" s="1">
        <v>12366.330000000002</v>
      </c>
      <c r="BG268" s="1">
        <v>0</v>
      </c>
      <c r="BH268" s="1">
        <v>0</v>
      </c>
      <c r="BI268" s="1">
        <v>0</v>
      </c>
      <c r="BJ268" s="1">
        <v>0</v>
      </c>
      <c r="BK268" s="1">
        <v>0</v>
      </c>
      <c r="BL268" s="1">
        <v>0</v>
      </c>
      <c r="BM268" s="1">
        <v>0</v>
      </c>
      <c r="BN268" s="1">
        <v>0</v>
      </c>
      <c r="BO268" s="1">
        <v>0</v>
      </c>
      <c r="BP268" s="1">
        <v>0</v>
      </c>
      <c r="BQ268" s="1">
        <v>0</v>
      </c>
      <c r="BR268" s="1">
        <v>0</v>
      </c>
      <c r="BS268" s="1">
        <v>0</v>
      </c>
      <c r="BT268" s="1">
        <v>0</v>
      </c>
      <c r="BU268" s="1">
        <v>21261.782999999999</v>
      </c>
      <c r="BV268" s="1">
        <v>20996.315999999999</v>
      </c>
      <c r="BW268" s="1">
        <v>16356.008</v>
      </c>
      <c r="BX268" s="1">
        <v>14418.843000000001</v>
      </c>
      <c r="BY268" s="1">
        <v>21261.782999999999</v>
      </c>
      <c r="BZ268" s="1">
        <v>20996.315999999999</v>
      </c>
      <c r="CA268" s="1">
        <v>16356.008</v>
      </c>
      <c r="CB268" s="1">
        <v>14418.843000000001</v>
      </c>
      <c r="CC268" s="1">
        <v>0</v>
      </c>
      <c r="CD268" s="1">
        <v>0</v>
      </c>
      <c r="CE268" s="1">
        <v>0</v>
      </c>
      <c r="CF268" s="1">
        <v>0</v>
      </c>
      <c r="CG268" s="1">
        <v>0</v>
      </c>
      <c r="CH268" s="1">
        <v>0</v>
      </c>
      <c r="CI268" s="1">
        <v>0</v>
      </c>
      <c r="CJ268" s="1">
        <v>0</v>
      </c>
      <c r="CK268" s="1">
        <v>0</v>
      </c>
      <c r="CL268" s="1">
        <v>0</v>
      </c>
      <c r="CM268" s="1">
        <v>0</v>
      </c>
      <c r="CN268" s="1">
        <v>0</v>
      </c>
      <c r="CO268" s="1">
        <v>0</v>
      </c>
      <c r="CP268" s="1">
        <v>0</v>
      </c>
      <c r="CQ268" s="1">
        <v>0</v>
      </c>
      <c r="CR268" s="1">
        <v>0</v>
      </c>
      <c r="CS268" s="1">
        <v>7828.5870000000004</v>
      </c>
      <c r="CT268" s="1">
        <v>11370.492</v>
      </c>
      <c r="CU268" s="1">
        <v>14242.232</v>
      </c>
      <c r="CV268" s="1">
        <v>8031.2790000000005</v>
      </c>
      <c r="CW268" s="1">
        <v>7828.5870000000004</v>
      </c>
      <c r="CX268" s="1">
        <v>11370.492</v>
      </c>
      <c r="CY268" s="1">
        <v>14242.232</v>
      </c>
      <c r="CZ268" s="1">
        <v>8031.2790000000005</v>
      </c>
      <c r="DA268" s="1">
        <v>0</v>
      </c>
      <c r="DB268" s="1">
        <v>0</v>
      </c>
      <c r="DC268" s="1">
        <v>0</v>
      </c>
      <c r="DD268" s="1">
        <v>0</v>
      </c>
      <c r="DE268" s="1">
        <v>0</v>
      </c>
      <c r="DF268" s="1">
        <v>0</v>
      </c>
      <c r="DG268" s="1">
        <v>0</v>
      </c>
      <c r="DH268" s="1">
        <v>0</v>
      </c>
      <c r="DI268" s="1">
        <v>0</v>
      </c>
      <c r="DJ268" s="1">
        <v>0</v>
      </c>
      <c r="DK268" s="1">
        <v>0</v>
      </c>
      <c r="DL268" s="1">
        <v>0</v>
      </c>
      <c r="DM268" s="1">
        <v>6088.1059999999998</v>
      </c>
      <c r="DN268" s="1">
        <v>4895.0640000000003</v>
      </c>
      <c r="DO268" s="1">
        <v>6636.4940000000006</v>
      </c>
      <c r="DP268" s="1">
        <v>4644.1530000000002</v>
      </c>
      <c r="DQ268" s="1">
        <v>6088.1059999999998</v>
      </c>
      <c r="DR268" s="1">
        <v>4895.0640000000003</v>
      </c>
      <c r="DS268" s="1">
        <v>6636.4940000000006</v>
      </c>
      <c r="DT268" s="1">
        <v>4644.1530000000002</v>
      </c>
      <c r="DU268" s="1">
        <v>0</v>
      </c>
      <c r="DV268" s="1">
        <v>0</v>
      </c>
      <c r="DW268" s="1">
        <v>0</v>
      </c>
      <c r="DX268" s="1">
        <v>0</v>
      </c>
      <c r="DY268" s="1">
        <v>0</v>
      </c>
      <c r="DZ268" s="1">
        <v>0</v>
      </c>
      <c r="EA268" s="1">
        <v>0</v>
      </c>
      <c r="EB268" s="1">
        <v>0</v>
      </c>
      <c r="EC268" s="1">
        <v>0</v>
      </c>
      <c r="ED268" s="1">
        <v>0</v>
      </c>
      <c r="EE268" s="1">
        <v>0</v>
      </c>
      <c r="EF268" s="1">
        <v>0</v>
      </c>
      <c r="EG268" s="1">
        <v>0</v>
      </c>
      <c r="EH268" s="1">
        <v>0</v>
      </c>
      <c r="EI268" s="1">
        <v>0</v>
      </c>
      <c r="EJ268" s="1">
        <v>0</v>
      </c>
      <c r="EK268" s="1">
        <v>11536.862999999999</v>
      </c>
      <c r="EL268" s="1">
        <v>11441.949000000001</v>
      </c>
      <c r="EM268" s="1">
        <v>11683.2</v>
      </c>
      <c r="EN268" s="1">
        <v>6587.2349999999997</v>
      </c>
      <c r="EO268" s="1">
        <v>11392.192999999999</v>
      </c>
      <c r="EP268" s="1">
        <v>11441.949000000001</v>
      </c>
      <c r="EQ268" s="1">
        <v>11683.2</v>
      </c>
      <c r="ER268" s="1">
        <v>6587.2349999999997</v>
      </c>
      <c r="ES268" s="1">
        <v>144.66999999999999</v>
      </c>
      <c r="ET268" s="1">
        <v>0</v>
      </c>
      <c r="EU268" s="1">
        <v>0</v>
      </c>
      <c r="EV268" s="1">
        <v>0</v>
      </c>
      <c r="EW268" s="1">
        <v>0</v>
      </c>
      <c r="EX268" s="1">
        <v>0</v>
      </c>
      <c r="EY268" s="1">
        <v>0</v>
      </c>
      <c r="EZ268" s="1">
        <v>0</v>
      </c>
      <c r="FA268" s="1">
        <v>0</v>
      </c>
      <c r="FB268" s="1">
        <v>0</v>
      </c>
      <c r="FC268" s="1">
        <v>0</v>
      </c>
      <c r="FD268" s="1">
        <v>0</v>
      </c>
      <c r="FE268" s="1">
        <v>3986.6410000000001</v>
      </c>
      <c r="FF268" s="1">
        <v>5175.4750000000004</v>
      </c>
      <c r="FG268" s="1">
        <v>6557.8540000000003</v>
      </c>
      <c r="FH268" s="1">
        <v>5726.0220000000008</v>
      </c>
      <c r="FI268" s="1">
        <v>3986.6410000000001</v>
      </c>
      <c r="FJ268" s="1">
        <v>5175.4750000000004</v>
      </c>
      <c r="FK268" s="1">
        <v>6557.8540000000003</v>
      </c>
      <c r="FL268" s="1">
        <v>5726.0220000000008</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v>0</v>
      </c>
      <c r="GC268" s="1">
        <v>1602.7460000000001</v>
      </c>
      <c r="GD268" s="1">
        <v>1526.921</v>
      </c>
      <c r="GE268" s="1">
        <v>1040.3789999999999</v>
      </c>
      <c r="GF268" s="1">
        <v>1980.3440000000001</v>
      </c>
      <c r="GG268" s="1">
        <v>1584.39</v>
      </c>
      <c r="GH268" s="1">
        <v>1513.925</v>
      </c>
      <c r="GI268" s="1">
        <v>1023.681</v>
      </c>
      <c r="GJ268" s="1">
        <v>1974.0350000000001</v>
      </c>
      <c r="GK268" s="1">
        <v>18.356000000000002</v>
      </c>
      <c r="GL268" s="1">
        <v>12.996</v>
      </c>
      <c r="GM268" s="1">
        <v>16.698</v>
      </c>
      <c r="GN268" s="1">
        <v>6.3089999999999993</v>
      </c>
      <c r="GO268" s="1">
        <v>0</v>
      </c>
      <c r="GP268" s="1">
        <v>0</v>
      </c>
      <c r="GQ268" s="1">
        <v>0</v>
      </c>
      <c r="GR268" s="1">
        <v>0</v>
      </c>
      <c r="GS268" s="1">
        <v>0</v>
      </c>
      <c r="GT268" s="1">
        <v>0</v>
      </c>
      <c r="GU268" s="1">
        <v>0</v>
      </c>
      <c r="GV268" s="1">
        <v>0</v>
      </c>
      <c r="GW268" s="1">
        <v>0</v>
      </c>
      <c r="GX268" s="1">
        <v>0</v>
      </c>
      <c r="GY268" s="1">
        <v>0</v>
      </c>
      <c r="GZ268" s="1">
        <v>0</v>
      </c>
      <c r="HA268" s="1">
        <v>0</v>
      </c>
      <c r="HB268" s="1">
        <v>0</v>
      </c>
      <c r="HC268" s="1">
        <v>0</v>
      </c>
      <c r="HD268" s="1">
        <v>0</v>
      </c>
      <c r="HE268" s="1">
        <v>2909.94</v>
      </c>
      <c r="HF268" s="1">
        <v>5844.7309999999998</v>
      </c>
      <c r="HG268" s="1">
        <v>4290.8230000000003</v>
      </c>
      <c r="HH268" s="1">
        <v>3315.0419999999999</v>
      </c>
      <c r="HI268" s="1">
        <v>2909.94</v>
      </c>
      <c r="HJ268" s="1">
        <v>3911.451</v>
      </c>
      <c r="HK268" s="1">
        <v>3712.973</v>
      </c>
      <c r="HL268" s="1">
        <v>3315.0419999999999</v>
      </c>
      <c r="HM268" s="1">
        <v>0</v>
      </c>
      <c r="HN268" s="1">
        <v>0</v>
      </c>
      <c r="HO268" s="1">
        <v>0</v>
      </c>
      <c r="HP268" s="1">
        <v>0</v>
      </c>
      <c r="HQ268" s="1">
        <v>0</v>
      </c>
      <c r="HR268" s="1">
        <v>0</v>
      </c>
      <c r="HS268" s="1">
        <v>0</v>
      </c>
      <c r="HT268" s="1">
        <v>0</v>
      </c>
      <c r="HU268" s="1">
        <v>0</v>
      </c>
      <c r="HV268" s="1">
        <v>0</v>
      </c>
      <c r="HW268" s="1">
        <v>0</v>
      </c>
      <c r="HX268" s="1">
        <v>0</v>
      </c>
      <c r="HY268" s="1">
        <v>0</v>
      </c>
      <c r="HZ268" s="1">
        <v>0</v>
      </c>
      <c r="IA268" s="1">
        <v>0</v>
      </c>
      <c r="IB268" s="1">
        <v>0</v>
      </c>
      <c r="IC268" s="1">
        <v>0</v>
      </c>
      <c r="ID268" s="1">
        <v>1933.28</v>
      </c>
      <c r="IE268" s="1">
        <v>577.85</v>
      </c>
      <c r="IF268" s="1">
        <v>0</v>
      </c>
      <c r="IG268" s="1">
        <v>0</v>
      </c>
      <c r="IH268" s="1">
        <v>0</v>
      </c>
      <c r="II268" s="1">
        <v>0</v>
      </c>
      <c r="IJ268" s="1">
        <v>0</v>
      </c>
      <c r="IK268" s="1">
        <v>0</v>
      </c>
      <c r="IL268" s="1">
        <v>0</v>
      </c>
      <c r="IM268" s="1">
        <v>0</v>
      </c>
      <c r="IN268" s="1">
        <v>0</v>
      </c>
      <c r="IO268" s="1">
        <v>2263.29</v>
      </c>
      <c r="IP268" s="1">
        <v>2645.3270000000002</v>
      </c>
      <c r="IQ268" s="1">
        <v>4295.4110000000001</v>
      </c>
      <c r="IR268" s="1">
        <v>4443.2309999999998</v>
      </c>
      <c r="IS268" s="1">
        <v>1458.02</v>
      </c>
      <c r="IT268" s="1">
        <v>1699.28</v>
      </c>
      <c r="IU268" s="1">
        <v>2784.7829999999999</v>
      </c>
      <c r="IV268" s="1">
        <v>2943.6329999999998</v>
      </c>
      <c r="IW268" s="1">
        <v>805.27</v>
      </c>
      <c r="IX268" s="1">
        <v>946.04699999999991</v>
      </c>
      <c r="IY268" s="1">
        <v>1510.6279999999999</v>
      </c>
      <c r="IZ268" s="1">
        <v>1499.598</v>
      </c>
      <c r="JA268" s="1">
        <v>0</v>
      </c>
      <c r="JB268" s="1">
        <v>0</v>
      </c>
      <c r="JC268" s="1">
        <v>0</v>
      </c>
      <c r="JD268" s="1">
        <v>0</v>
      </c>
      <c r="JE268" s="1">
        <v>0</v>
      </c>
      <c r="JF268" s="1">
        <v>0</v>
      </c>
      <c r="JG268" s="1">
        <v>0</v>
      </c>
      <c r="JH268" s="1">
        <v>0</v>
      </c>
      <c r="JI268" s="1">
        <v>0</v>
      </c>
      <c r="JJ268" s="1">
        <v>0</v>
      </c>
      <c r="JK268" s="1">
        <v>0</v>
      </c>
      <c r="JL268" s="1">
        <v>0</v>
      </c>
      <c r="JM268" s="1">
        <v>0</v>
      </c>
      <c r="JN268" s="1">
        <v>0</v>
      </c>
      <c r="JO268" s="1">
        <v>0</v>
      </c>
      <c r="JP268" s="1">
        <v>0</v>
      </c>
      <c r="JQ268" s="9"/>
      <c r="JR268" s="1">
        <f t="shared" si="60"/>
        <v>37859.284710000007</v>
      </c>
      <c r="JS268" s="1">
        <f t="shared" si="60"/>
        <v>39576.440970000003</v>
      </c>
      <c r="JT268" s="1">
        <f t="shared" si="60"/>
        <v>34951.771889999996</v>
      </c>
      <c r="JU268" s="1">
        <f t="shared" si="58"/>
        <v>33661.38465</v>
      </c>
      <c r="JV268" s="1">
        <f t="shared" si="61"/>
        <v>7010.9786500000009</v>
      </c>
      <c r="JW268" s="1">
        <f t="shared" si="61"/>
        <v>7328.97055</v>
      </c>
      <c r="JX268" s="1">
        <f t="shared" si="61"/>
        <v>6472.5503499999995</v>
      </c>
      <c r="JY268" s="1">
        <f t="shared" si="59"/>
        <v>6233.5897500000001</v>
      </c>
    </row>
    <row r="269" spans="1:285" x14ac:dyDescent="0.35">
      <c r="A269" s="2" t="s">
        <v>276</v>
      </c>
      <c r="B269" s="1">
        <v>146643</v>
      </c>
      <c r="C269" s="1">
        <v>148693</v>
      </c>
      <c r="D269" s="1">
        <v>151610</v>
      </c>
      <c r="E269" s="1">
        <v>153101</v>
      </c>
      <c r="F269" s="1">
        <v>39996.091999999997</v>
      </c>
      <c r="G269" s="1">
        <v>38017.817000000003</v>
      </c>
      <c r="H269" s="1">
        <v>44827.43</v>
      </c>
      <c r="I269" s="1">
        <v>59651.256999999998</v>
      </c>
      <c r="J269" s="1">
        <f t="shared" si="62"/>
        <v>31436.103000000003</v>
      </c>
      <c r="K269" s="1">
        <f t="shared" si="63"/>
        <v>30195.265999999996</v>
      </c>
      <c r="L269" s="1">
        <f t="shared" si="64"/>
        <v>29931.249999999996</v>
      </c>
      <c r="M269" s="1">
        <f t="shared" si="65"/>
        <v>37287.706999999995</v>
      </c>
      <c r="N269" s="1">
        <f t="shared" si="66"/>
        <v>8559.9889999999941</v>
      </c>
      <c r="O269" s="1">
        <f t="shared" si="67"/>
        <v>7822.5510000000068</v>
      </c>
      <c r="P269" s="1">
        <f t="shared" si="68"/>
        <v>14896.180000000004</v>
      </c>
      <c r="Q269" s="1">
        <f t="shared" si="69"/>
        <v>22363.550000000003</v>
      </c>
      <c r="R269" s="1">
        <v>0</v>
      </c>
      <c r="S269" s="1">
        <v>0</v>
      </c>
      <c r="T269" s="1">
        <v>1373.3</v>
      </c>
      <c r="U269" s="1">
        <v>4946.1099999999997</v>
      </c>
      <c r="V269" s="1">
        <v>0</v>
      </c>
      <c r="W269" s="1">
        <v>0</v>
      </c>
      <c r="X269" s="1">
        <v>0</v>
      </c>
      <c r="Y269" s="1">
        <v>0</v>
      </c>
      <c r="Z269" s="1">
        <v>0</v>
      </c>
      <c r="AA269" s="1">
        <v>0</v>
      </c>
      <c r="AB269" s="1">
        <v>1373.3</v>
      </c>
      <c r="AC269" s="1">
        <v>0</v>
      </c>
      <c r="AD269" s="1">
        <v>0</v>
      </c>
      <c r="AE269" s="1">
        <v>2538.1999999999998</v>
      </c>
      <c r="AF269" s="1">
        <v>0</v>
      </c>
      <c r="AG269" s="1">
        <v>2407.91</v>
      </c>
      <c r="AH269" s="1">
        <v>0</v>
      </c>
      <c r="AI269" s="1">
        <v>0</v>
      </c>
      <c r="AJ269" s="1">
        <v>0</v>
      </c>
      <c r="AK269" s="1">
        <v>0</v>
      </c>
      <c r="AL269" s="1">
        <v>0</v>
      </c>
      <c r="AM269" s="1">
        <v>0</v>
      </c>
      <c r="AN269" s="1">
        <v>0</v>
      </c>
      <c r="AO269" s="1">
        <v>0</v>
      </c>
      <c r="AP269" s="1">
        <v>16696.169999999998</v>
      </c>
      <c r="AQ269" s="1">
        <v>16566.14</v>
      </c>
      <c r="AR269" s="1">
        <v>12566.94</v>
      </c>
      <c r="AS269" s="1">
        <v>11088.51</v>
      </c>
      <c r="AT269" s="1">
        <v>16696.169999999998</v>
      </c>
      <c r="AU269" s="1">
        <v>0</v>
      </c>
      <c r="AV269" s="1">
        <v>0</v>
      </c>
      <c r="AW269" s="1">
        <v>0</v>
      </c>
      <c r="AX269" s="1">
        <v>16566.14</v>
      </c>
      <c r="AY269" s="1">
        <v>0</v>
      </c>
      <c r="AZ269" s="1">
        <v>0</v>
      </c>
      <c r="BA269" s="1">
        <v>0</v>
      </c>
      <c r="BB269" s="1">
        <v>12566.94</v>
      </c>
      <c r="BC269" s="1">
        <v>0</v>
      </c>
      <c r="BD269" s="1">
        <v>0</v>
      </c>
      <c r="BE269" s="1">
        <v>11088.51</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6700.48</v>
      </c>
      <c r="BV269" s="1">
        <v>6188.3160000000007</v>
      </c>
      <c r="BW269" s="1">
        <v>8644.65</v>
      </c>
      <c r="BX269" s="1">
        <v>13693.61</v>
      </c>
      <c r="BY269" s="1">
        <v>6700.48</v>
      </c>
      <c r="BZ269" s="1">
        <v>6188.3160000000007</v>
      </c>
      <c r="CA269" s="1">
        <v>8644.65</v>
      </c>
      <c r="CB269" s="1">
        <v>13693.61</v>
      </c>
      <c r="CC269" s="1">
        <v>0</v>
      </c>
      <c r="CD269" s="1">
        <v>0</v>
      </c>
      <c r="CE269" s="1">
        <v>0</v>
      </c>
      <c r="CF269" s="1">
        <v>0</v>
      </c>
      <c r="CG269" s="1">
        <v>0</v>
      </c>
      <c r="CH269" s="1">
        <v>0</v>
      </c>
      <c r="CI269" s="1">
        <v>0</v>
      </c>
      <c r="CJ269" s="1">
        <v>0</v>
      </c>
      <c r="CK269" s="1">
        <v>0</v>
      </c>
      <c r="CL269" s="1">
        <v>0</v>
      </c>
      <c r="CM269" s="1">
        <v>0</v>
      </c>
      <c r="CN269" s="1">
        <v>0</v>
      </c>
      <c r="CO269" s="1">
        <v>0</v>
      </c>
      <c r="CP269" s="1">
        <v>0</v>
      </c>
      <c r="CQ269" s="1">
        <v>0</v>
      </c>
      <c r="CR269" s="1">
        <v>0</v>
      </c>
      <c r="CS269" s="1">
        <v>1450.646</v>
      </c>
      <c r="CT269" s="1">
        <v>1451.038</v>
      </c>
      <c r="CU269" s="1">
        <v>1891.19</v>
      </c>
      <c r="CV269" s="1">
        <v>2782.634</v>
      </c>
      <c r="CW269" s="1">
        <v>1450.646</v>
      </c>
      <c r="CX269" s="1">
        <v>1451.038</v>
      </c>
      <c r="CY269" s="1">
        <v>1891.19</v>
      </c>
      <c r="CZ269" s="1">
        <v>2782.634</v>
      </c>
      <c r="DA269" s="1">
        <v>0</v>
      </c>
      <c r="DB269" s="1">
        <v>0</v>
      </c>
      <c r="DC269" s="1">
        <v>0</v>
      </c>
      <c r="DD269" s="1">
        <v>0</v>
      </c>
      <c r="DE269" s="1">
        <v>0</v>
      </c>
      <c r="DF269" s="1">
        <v>0</v>
      </c>
      <c r="DG269" s="1">
        <v>0</v>
      </c>
      <c r="DH269" s="1">
        <v>0</v>
      </c>
      <c r="DI269" s="1">
        <v>0</v>
      </c>
      <c r="DJ269" s="1">
        <v>0</v>
      </c>
      <c r="DK269" s="1">
        <v>0</v>
      </c>
      <c r="DL269" s="1">
        <v>0</v>
      </c>
      <c r="DM269" s="1">
        <v>4718.1400000000003</v>
      </c>
      <c r="DN269" s="1">
        <v>4181.8940000000002</v>
      </c>
      <c r="DO269" s="1">
        <v>3593.48</v>
      </c>
      <c r="DP269" s="1">
        <v>2858.06</v>
      </c>
      <c r="DQ269" s="1">
        <v>4718.1400000000003</v>
      </c>
      <c r="DR269" s="1">
        <v>4181.8940000000002</v>
      </c>
      <c r="DS269" s="1">
        <v>3593.48</v>
      </c>
      <c r="DT269" s="1">
        <v>2858.06</v>
      </c>
      <c r="DU269" s="1">
        <v>0</v>
      </c>
      <c r="DV269" s="1">
        <v>0</v>
      </c>
      <c r="DW269" s="1">
        <v>0</v>
      </c>
      <c r="DX269" s="1">
        <v>0</v>
      </c>
      <c r="DY269" s="1">
        <v>0</v>
      </c>
      <c r="DZ269" s="1">
        <v>0</v>
      </c>
      <c r="EA269" s="1">
        <v>0</v>
      </c>
      <c r="EB269" s="1">
        <v>0</v>
      </c>
      <c r="EC269" s="1">
        <v>0</v>
      </c>
      <c r="ED269" s="1">
        <v>0</v>
      </c>
      <c r="EE269" s="1">
        <v>0</v>
      </c>
      <c r="EF269" s="1">
        <v>0</v>
      </c>
      <c r="EG269" s="1">
        <v>0</v>
      </c>
      <c r="EH269" s="1">
        <v>0</v>
      </c>
      <c r="EI269" s="1">
        <v>0</v>
      </c>
      <c r="EJ269" s="1">
        <v>0</v>
      </c>
      <c r="EK269" s="1">
        <v>648.54199999999992</v>
      </c>
      <c r="EL269" s="1">
        <v>742.47900000000004</v>
      </c>
      <c r="EM269" s="1">
        <v>818.78</v>
      </c>
      <c r="EN269" s="1">
        <v>714.92399999999998</v>
      </c>
      <c r="EO269" s="1">
        <v>648.54199999999992</v>
      </c>
      <c r="EP269" s="1">
        <v>742.47900000000004</v>
      </c>
      <c r="EQ269" s="1">
        <v>818.78</v>
      </c>
      <c r="ER269" s="1">
        <v>714.92399999999998</v>
      </c>
      <c r="ES269" s="1">
        <v>0</v>
      </c>
      <c r="ET269" s="1">
        <v>0</v>
      </c>
      <c r="EU269" s="1">
        <v>0</v>
      </c>
      <c r="EV269" s="1">
        <v>0</v>
      </c>
      <c r="EW269" s="1">
        <v>0</v>
      </c>
      <c r="EX269" s="1">
        <v>0</v>
      </c>
      <c r="EY269" s="1">
        <v>0</v>
      </c>
      <c r="EZ269" s="1">
        <v>0</v>
      </c>
      <c r="FA269" s="1">
        <v>0</v>
      </c>
      <c r="FB269" s="1">
        <v>0</v>
      </c>
      <c r="FC269" s="1">
        <v>0</v>
      </c>
      <c r="FD269" s="1">
        <v>0</v>
      </c>
      <c r="FE269" s="1">
        <v>57.775000000000013</v>
      </c>
      <c r="FF269" s="1">
        <v>74.14</v>
      </c>
      <c r="FG269" s="1">
        <v>60.91</v>
      </c>
      <c r="FH269" s="1">
        <v>95.158999999999992</v>
      </c>
      <c r="FI269" s="1">
        <v>57.775000000000013</v>
      </c>
      <c r="FJ269" s="1">
        <v>74.14</v>
      </c>
      <c r="FK269" s="1">
        <v>60.91</v>
      </c>
      <c r="FL269" s="1">
        <v>95.158999999999992</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v>0</v>
      </c>
      <c r="GC269" s="1">
        <v>94.625</v>
      </c>
      <c r="GD269" s="1">
        <v>44.335999999999999</v>
      </c>
      <c r="GE269" s="1">
        <v>0</v>
      </c>
      <c r="GF269" s="1">
        <v>0</v>
      </c>
      <c r="GG269" s="1">
        <v>94.625</v>
      </c>
      <c r="GH269" s="1">
        <v>44.335999999999999</v>
      </c>
      <c r="GI269" s="1">
        <v>0</v>
      </c>
      <c r="GJ269" s="1">
        <v>0</v>
      </c>
      <c r="GK269" s="1">
        <v>0</v>
      </c>
      <c r="GL269" s="1">
        <v>0</v>
      </c>
      <c r="GM269" s="1">
        <v>0</v>
      </c>
      <c r="GN269" s="1">
        <v>0</v>
      </c>
      <c r="GO269" s="1">
        <v>0</v>
      </c>
      <c r="GP269" s="1">
        <v>0</v>
      </c>
      <c r="GQ269" s="1">
        <v>0</v>
      </c>
      <c r="GR269" s="1">
        <v>0</v>
      </c>
      <c r="GS269" s="1">
        <v>0</v>
      </c>
      <c r="GT269" s="1">
        <v>0</v>
      </c>
      <c r="GU269" s="1">
        <v>0</v>
      </c>
      <c r="GV269" s="1">
        <v>0</v>
      </c>
      <c r="GW269" s="1">
        <v>0</v>
      </c>
      <c r="GX269" s="1">
        <v>0</v>
      </c>
      <c r="GY269" s="1">
        <v>0</v>
      </c>
      <c r="GZ269" s="1">
        <v>0</v>
      </c>
      <c r="HA269" s="1">
        <v>0</v>
      </c>
      <c r="HB269" s="1">
        <v>0</v>
      </c>
      <c r="HC269" s="1">
        <v>0</v>
      </c>
      <c r="HD269" s="1">
        <v>0</v>
      </c>
      <c r="HE269" s="1">
        <v>0.98499999999999999</v>
      </c>
      <c r="HF269" s="1">
        <v>9.1430000000000007</v>
      </c>
      <c r="HG269" s="1">
        <v>6.93</v>
      </c>
      <c r="HH269" s="1">
        <v>0</v>
      </c>
      <c r="HI269" s="1">
        <v>0.98499999999999999</v>
      </c>
      <c r="HJ269" s="1">
        <v>9.1430000000000007</v>
      </c>
      <c r="HK269" s="1">
        <v>6.93</v>
      </c>
      <c r="HL269" s="1">
        <v>0</v>
      </c>
      <c r="HM269" s="1">
        <v>0</v>
      </c>
      <c r="HN269" s="1">
        <v>0</v>
      </c>
      <c r="HO269" s="1">
        <v>0</v>
      </c>
      <c r="HP269" s="1">
        <v>0</v>
      </c>
      <c r="HQ269" s="1">
        <v>0</v>
      </c>
      <c r="HR269" s="1">
        <v>0</v>
      </c>
      <c r="HS269" s="1">
        <v>0</v>
      </c>
      <c r="HT269" s="1">
        <v>0</v>
      </c>
      <c r="HU269" s="1">
        <v>0</v>
      </c>
      <c r="HV269" s="1">
        <v>0</v>
      </c>
      <c r="HW269" s="1">
        <v>0</v>
      </c>
      <c r="HX269" s="1">
        <v>0</v>
      </c>
      <c r="HY269" s="1">
        <v>0</v>
      </c>
      <c r="HZ269" s="1">
        <v>0</v>
      </c>
      <c r="IA269" s="1">
        <v>0</v>
      </c>
      <c r="IB269" s="1">
        <v>0</v>
      </c>
      <c r="IC269" s="1">
        <v>0</v>
      </c>
      <c r="ID269" s="1">
        <v>0</v>
      </c>
      <c r="IE269" s="1">
        <v>0</v>
      </c>
      <c r="IF269" s="1">
        <v>0</v>
      </c>
      <c r="IG269" s="1">
        <v>0</v>
      </c>
      <c r="IH269" s="1">
        <v>0</v>
      </c>
      <c r="II269" s="1">
        <v>0</v>
      </c>
      <c r="IJ269" s="1">
        <v>0</v>
      </c>
      <c r="IK269" s="1">
        <v>0</v>
      </c>
      <c r="IL269" s="1">
        <v>0</v>
      </c>
      <c r="IM269" s="1">
        <v>0</v>
      </c>
      <c r="IN269" s="1">
        <v>0</v>
      </c>
      <c r="IO269" s="1">
        <v>1068.74</v>
      </c>
      <c r="IP269" s="1">
        <v>937.78</v>
      </c>
      <c r="IQ269" s="1">
        <v>975.06999999999994</v>
      </c>
      <c r="IR269" s="1">
        <v>1108.7</v>
      </c>
      <c r="IS269" s="1">
        <v>1068.74</v>
      </c>
      <c r="IT269" s="1">
        <v>937.78</v>
      </c>
      <c r="IU269" s="1">
        <v>975.06999999999994</v>
      </c>
      <c r="IV269" s="1">
        <v>1108.7</v>
      </c>
      <c r="IW269" s="1">
        <v>0</v>
      </c>
      <c r="IX269" s="1">
        <v>0</v>
      </c>
      <c r="IY269" s="1">
        <v>0</v>
      </c>
      <c r="IZ269" s="1">
        <v>0</v>
      </c>
      <c r="JA269" s="1">
        <v>0</v>
      </c>
      <c r="JB269" s="1">
        <v>0</v>
      </c>
      <c r="JC269" s="1">
        <v>0</v>
      </c>
      <c r="JD269" s="1">
        <v>0</v>
      </c>
      <c r="JE269" s="1">
        <v>0</v>
      </c>
      <c r="JF269" s="1">
        <v>0</v>
      </c>
      <c r="JG269" s="1">
        <v>0</v>
      </c>
      <c r="JH269" s="1">
        <v>0</v>
      </c>
      <c r="JI269" s="1">
        <v>0</v>
      </c>
      <c r="JJ269" s="1">
        <v>0</v>
      </c>
      <c r="JK269" s="1">
        <v>0</v>
      </c>
      <c r="JL269" s="1">
        <v>0</v>
      </c>
      <c r="JM269" s="1">
        <v>0</v>
      </c>
      <c r="JN269" s="1">
        <v>0</v>
      </c>
      <c r="JO269" s="1">
        <v>0</v>
      </c>
      <c r="JP269" s="1">
        <v>0</v>
      </c>
      <c r="JQ269" s="9"/>
      <c r="JR269" s="1">
        <f t="shared" si="60"/>
        <v>2311.1970299999984</v>
      </c>
      <c r="JS269" s="1">
        <f t="shared" si="60"/>
        <v>2112.0887700000021</v>
      </c>
      <c r="JT269" s="1">
        <f t="shared" si="60"/>
        <v>4021.9686000000015</v>
      </c>
      <c r="JU269" s="1">
        <f t="shared" si="58"/>
        <v>6038.1585000000014</v>
      </c>
      <c r="JV269" s="1">
        <f t="shared" si="61"/>
        <v>427.99944999999974</v>
      </c>
      <c r="JW269" s="1">
        <f t="shared" si="61"/>
        <v>391.12755000000038</v>
      </c>
      <c r="JX269" s="1">
        <f t="shared" si="61"/>
        <v>744.8090000000002</v>
      </c>
      <c r="JY269" s="1">
        <f t="shared" si="59"/>
        <v>1118.1775000000002</v>
      </c>
    </row>
    <row r="270" spans="1:285" x14ac:dyDescent="0.35">
      <c r="A270" s="2" t="s">
        <v>277</v>
      </c>
      <c r="B270" s="1">
        <v>102322</v>
      </c>
      <c r="C270" s="1">
        <v>102507</v>
      </c>
      <c r="D270" s="1">
        <v>103038</v>
      </c>
      <c r="E270" s="1">
        <v>105261</v>
      </c>
      <c r="F270" s="1">
        <v>34108.449999999997</v>
      </c>
      <c r="G270" s="1">
        <v>31251.27</v>
      </c>
      <c r="H270" s="1">
        <v>26470.991999999998</v>
      </c>
      <c r="I270" s="1">
        <v>26983.697</v>
      </c>
      <c r="J270" s="1">
        <f t="shared" si="62"/>
        <v>15832.9</v>
      </c>
      <c r="K270" s="1">
        <f t="shared" si="63"/>
        <v>15111.180000000002</v>
      </c>
      <c r="L270" s="1">
        <f t="shared" si="64"/>
        <v>14021.128000000001</v>
      </c>
      <c r="M270" s="1">
        <f t="shared" si="65"/>
        <v>15848.736999999997</v>
      </c>
      <c r="N270" s="1">
        <f t="shared" si="66"/>
        <v>18275.549999999996</v>
      </c>
      <c r="O270" s="1">
        <f t="shared" si="67"/>
        <v>16140.089999999998</v>
      </c>
      <c r="P270" s="1">
        <f t="shared" si="68"/>
        <v>12449.863999999998</v>
      </c>
      <c r="Q270" s="1">
        <f t="shared" si="69"/>
        <v>11134.960000000003</v>
      </c>
      <c r="R270" s="1">
        <v>0</v>
      </c>
      <c r="S270" s="1">
        <v>0</v>
      </c>
      <c r="T270" s="1">
        <v>0</v>
      </c>
      <c r="U270" s="1">
        <v>1491.76</v>
      </c>
      <c r="V270" s="1">
        <v>0</v>
      </c>
      <c r="W270" s="1">
        <v>0</v>
      </c>
      <c r="X270" s="1">
        <v>0</v>
      </c>
      <c r="Y270" s="1">
        <v>0</v>
      </c>
      <c r="Z270" s="1">
        <v>0</v>
      </c>
      <c r="AA270" s="1">
        <v>0</v>
      </c>
      <c r="AB270" s="1">
        <v>0</v>
      </c>
      <c r="AC270" s="1">
        <v>0</v>
      </c>
      <c r="AD270" s="1">
        <v>0</v>
      </c>
      <c r="AE270" s="1">
        <v>0</v>
      </c>
      <c r="AF270" s="1">
        <v>0</v>
      </c>
      <c r="AG270" s="1">
        <v>1491.76</v>
      </c>
      <c r="AH270" s="1">
        <v>0</v>
      </c>
      <c r="AI270" s="1">
        <v>0</v>
      </c>
      <c r="AJ270" s="1">
        <v>0</v>
      </c>
      <c r="AK270" s="1">
        <v>0</v>
      </c>
      <c r="AL270" s="1">
        <v>0</v>
      </c>
      <c r="AM270" s="1">
        <v>0</v>
      </c>
      <c r="AN270" s="1">
        <v>0</v>
      </c>
      <c r="AO270" s="1">
        <v>0</v>
      </c>
      <c r="AP270" s="1">
        <v>6705.24</v>
      </c>
      <c r="AQ270" s="1">
        <v>5748.1200000000008</v>
      </c>
      <c r="AR270" s="1">
        <v>5071.71</v>
      </c>
      <c r="AS270" s="1">
        <v>5411.61</v>
      </c>
      <c r="AT270" s="1">
        <v>6705.24</v>
      </c>
      <c r="AU270" s="1">
        <v>0</v>
      </c>
      <c r="AV270" s="1">
        <v>0</v>
      </c>
      <c r="AW270" s="1">
        <v>0</v>
      </c>
      <c r="AX270" s="1">
        <v>5748.1200000000008</v>
      </c>
      <c r="AY270" s="1">
        <v>0</v>
      </c>
      <c r="AZ270" s="1">
        <v>0</v>
      </c>
      <c r="BA270" s="1">
        <v>0</v>
      </c>
      <c r="BB270" s="1">
        <v>5071.71</v>
      </c>
      <c r="BC270" s="1">
        <v>0</v>
      </c>
      <c r="BD270" s="1">
        <v>0</v>
      </c>
      <c r="BE270" s="1">
        <v>5411.61</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5047.1399999999994</v>
      </c>
      <c r="BV270" s="1">
        <v>5207.72</v>
      </c>
      <c r="BW270" s="1">
        <v>4987.04</v>
      </c>
      <c r="BX270" s="1">
        <v>4979.82</v>
      </c>
      <c r="BY270" s="1">
        <v>4995.5200000000004</v>
      </c>
      <c r="BZ270" s="1">
        <v>5207.72</v>
      </c>
      <c r="CA270" s="1">
        <v>4987.04</v>
      </c>
      <c r="CB270" s="1">
        <v>4979.82</v>
      </c>
      <c r="CC270" s="1">
        <v>51.62</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870.26</v>
      </c>
      <c r="CT270" s="1">
        <v>897.88000000000011</v>
      </c>
      <c r="CU270" s="1">
        <v>859.62</v>
      </c>
      <c r="CV270" s="1">
        <v>857.19</v>
      </c>
      <c r="CW270" s="1">
        <v>870.26</v>
      </c>
      <c r="CX270" s="1">
        <v>897.88000000000011</v>
      </c>
      <c r="CY270" s="1">
        <v>859.62</v>
      </c>
      <c r="CZ270" s="1">
        <v>857.19</v>
      </c>
      <c r="DA270" s="1">
        <v>0</v>
      </c>
      <c r="DB270" s="1">
        <v>0</v>
      </c>
      <c r="DC270" s="1">
        <v>0</v>
      </c>
      <c r="DD270" s="1">
        <v>0</v>
      </c>
      <c r="DE270" s="1">
        <v>0</v>
      </c>
      <c r="DF270" s="1">
        <v>0</v>
      </c>
      <c r="DG270" s="1">
        <v>0</v>
      </c>
      <c r="DH270" s="1">
        <v>0</v>
      </c>
      <c r="DI270" s="1">
        <v>0</v>
      </c>
      <c r="DJ270" s="1">
        <v>0</v>
      </c>
      <c r="DK270" s="1">
        <v>0</v>
      </c>
      <c r="DL270" s="1">
        <v>0</v>
      </c>
      <c r="DM270" s="1">
        <v>2344.52</v>
      </c>
      <c r="DN270" s="1">
        <v>2424.54</v>
      </c>
      <c r="DO270" s="1">
        <v>2321.46</v>
      </c>
      <c r="DP270" s="1">
        <v>2320.8069999999998</v>
      </c>
      <c r="DQ270" s="1">
        <v>2344.52</v>
      </c>
      <c r="DR270" s="1">
        <v>2424.54</v>
      </c>
      <c r="DS270" s="1">
        <v>2321.46</v>
      </c>
      <c r="DT270" s="1">
        <v>2320.8069999999998</v>
      </c>
      <c r="DU270" s="1">
        <v>0</v>
      </c>
      <c r="DV270" s="1">
        <v>0</v>
      </c>
      <c r="DW270" s="1">
        <v>0</v>
      </c>
      <c r="DX270" s="1">
        <v>0</v>
      </c>
      <c r="DY270" s="1">
        <v>0</v>
      </c>
      <c r="DZ270" s="1">
        <v>0</v>
      </c>
      <c r="EA270" s="1">
        <v>0</v>
      </c>
      <c r="EB270" s="1">
        <v>0</v>
      </c>
      <c r="EC270" s="1">
        <v>0</v>
      </c>
      <c r="ED270" s="1">
        <v>0</v>
      </c>
      <c r="EE270" s="1">
        <v>0</v>
      </c>
      <c r="EF270" s="1">
        <v>0</v>
      </c>
      <c r="EG270" s="1">
        <v>0</v>
      </c>
      <c r="EH270" s="1">
        <v>0</v>
      </c>
      <c r="EI270" s="1">
        <v>0</v>
      </c>
      <c r="EJ270" s="1">
        <v>0</v>
      </c>
      <c r="EK270" s="1">
        <v>435.11</v>
      </c>
      <c r="EL270" s="1">
        <v>449.04</v>
      </c>
      <c r="EM270" s="1">
        <v>430</v>
      </c>
      <c r="EN270" s="1">
        <v>430.63</v>
      </c>
      <c r="EO270" s="1">
        <v>435.11</v>
      </c>
      <c r="EP270" s="1">
        <v>449.04</v>
      </c>
      <c r="EQ270" s="1">
        <v>430</v>
      </c>
      <c r="ER270" s="1">
        <v>430.63</v>
      </c>
      <c r="ES270" s="1">
        <v>0</v>
      </c>
      <c r="ET270" s="1">
        <v>0</v>
      </c>
      <c r="EU270" s="1">
        <v>0</v>
      </c>
      <c r="EV270" s="1">
        <v>0</v>
      </c>
      <c r="EW270" s="1">
        <v>0</v>
      </c>
      <c r="EX270" s="1">
        <v>0</v>
      </c>
      <c r="EY270" s="1">
        <v>0</v>
      </c>
      <c r="EZ270" s="1">
        <v>0</v>
      </c>
      <c r="FA270" s="1">
        <v>0</v>
      </c>
      <c r="FB270" s="1">
        <v>0</v>
      </c>
      <c r="FC270" s="1">
        <v>0</v>
      </c>
      <c r="FD270" s="1">
        <v>0</v>
      </c>
      <c r="FE270" s="1">
        <v>8.3000000000000007</v>
      </c>
      <c r="FF270" s="1">
        <v>9.5599999999999987</v>
      </c>
      <c r="FG270" s="1">
        <v>9.33</v>
      </c>
      <c r="FH270" s="1">
        <v>7.7720000000000002</v>
      </c>
      <c r="FI270" s="1">
        <v>3.79</v>
      </c>
      <c r="FJ270" s="1">
        <v>4.37</v>
      </c>
      <c r="FK270" s="1">
        <v>3.81</v>
      </c>
      <c r="FL270" s="1">
        <v>0.85</v>
      </c>
      <c r="FM270" s="1">
        <v>4.51</v>
      </c>
      <c r="FN270" s="1">
        <v>5.19</v>
      </c>
      <c r="FO270" s="1">
        <v>5.52</v>
      </c>
      <c r="FP270" s="1">
        <v>6.9220000000000006</v>
      </c>
      <c r="FQ270" s="1">
        <v>0</v>
      </c>
      <c r="FR270" s="1">
        <v>0</v>
      </c>
      <c r="FS270" s="1">
        <v>0</v>
      </c>
      <c r="FT270" s="1">
        <v>0</v>
      </c>
      <c r="FU270" s="1">
        <v>0</v>
      </c>
      <c r="FV270" s="1">
        <v>0</v>
      </c>
      <c r="FW270" s="1">
        <v>0</v>
      </c>
      <c r="FX270" s="1">
        <v>0</v>
      </c>
      <c r="FY270" s="1">
        <v>0</v>
      </c>
      <c r="FZ270" s="1">
        <v>0</v>
      </c>
      <c r="GA270" s="1">
        <v>0</v>
      </c>
      <c r="GB270" s="1">
        <v>0</v>
      </c>
      <c r="GC270" s="1">
        <v>37.93</v>
      </c>
      <c r="GD270" s="1">
        <v>37.51</v>
      </c>
      <c r="GE270" s="1">
        <v>28.774000000000001</v>
      </c>
      <c r="GF270" s="1">
        <v>29.838000000000001</v>
      </c>
      <c r="GG270" s="1">
        <v>36.613999999999997</v>
      </c>
      <c r="GH270" s="1">
        <v>36.662999999999997</v>
      </c>
      <c r="GI270" s="1">
        <v>27.646000000000001</v>
      </c>
      <c r="GJ270" s="1">
        <v>28.707000000000001</v>
      </c>
      <c r="GK270" s="1">
        <v>1.3160000000000001</v>
      </c>
      <c r="GL270" s="1">
        <v>0.84699999999999998</v>
      </c>
      <c r="GM270" s="1">
        <v>1.1279999999999999</v>
      </c>
      <c r="GN270" s="1">
        <v>1.131</v>
      </c>
      <c r="GO270" s="1">
        <v>0</v>
      </c>
      <c r="GP270" s="1">
        <v>0</v>
      </c>
      <c r="GQ270" s="1">
        <v>0</v>
      </c>
      <c r="GR270" s="1">
        <v>0</v>
      </c>
      <c r="GS270" s="1">
        <v>0</v>
      </c>
      <c r="GT270" s="1">
        <v>0</v>
      </c>
      <c r="GU270" s="1">
        <v>0</v>
      </c>
      <c r="GV270" s="1">
        <v>0</v>
      </c>
      <c r="GW270" s="1">
        <v>0</v>
      </c>
      <c r="GX270" s="1">
        <v>0</v>
      </c>
      <c r="GY270" s="1">
        <v>0</v>
      </c>
      <c r="GZ270" s="1">
        <v>0</v>
      </c>
      <c r="HA270" s="1">
        <v>0</v>
      </c>
      <c r="HB270" s="1">
        <v>0</v>
      </c>
      <c r="HC270" s="1">
        <v>0</v>
      </c>
      <c r="HD270" s="1">
        <v>0</v>
      </c>
      <c r="HE270" s="1">
        <v>0</v>
      </c>
      <c r="HF270" s="1">
        <v>0</v>
      </c>
      <c r="HG270" s="1">
        <v>0</v>
      </c>
      <c r="HH270" s="1">
        <v>0</v>
      </c>
      <c r="HI270" s="1">
        <v>0</v>
      </c>
      <c r="HJ270" s="1">
        <v>0</v>
      </c>
      <c r="HK270" s="1">
        <v>0</v>
      </c>
      <c r="HL270" s="1">
        <v>0</v>
      </c>
      <c r="HM270" s="1">
        <v>0</v>
      </c>
      <c r="HN270" s="1">
        <v>0</v>
      </c>
      <c r="HO270" s="1">
        <v>0</v>
      </c>
      <c r="HP270" s="1">
        <v>0</v>
      </c>
      <c r="HQ270" s="1">
        <v>0</v>
      </c>
      <c r="HR270" s="1">
        <v>0</v>
      </c>
      <c r="HS270" s="1">
        <v>0</v>
      </c>
      <c r="HT270" s="1">
        <v>0</v>
      </c>
      <c r="HU270" s="1">
        <v>0</v>
      </c>
      <c r="HV270" s="1">
        <v>0</v>
      </c>
      <c r="HW270" s="1">
        <v>0</v>
      </c>
      <c r="HX270" s="1">
        <v>0</v>
      </c>
      <c r="HY270" s="1">
        <v>0</v>
      </c>
      <c r="HZ270" s="1">
        <v>0</v>
      </c>
      <c r="IA270" s="1">
        <v>0</v>
      </c>
      <c r="IB270" s="1">
        <v>0</v>
      </c>
      <c r="IC270" s="1">
        <v>0</v>
      </c>
      <c r="ID270" s="1">
        <v>0</v>
      </c>
      <c r="IE270" s="1">
        <v>0</v>
      </c>
      <c r="IF270" s="1">
        <v>0</v>
      </c>
      <c r="IG270" s="1">
        <v>0</v>
      </c>
      <c r="IH270" s="1">
        <v>0</v>
      </c>
      <c r="II270" s="1">
        <v>0</v>
      </c>
      <c r="IJ270" s="1">
        <v>0</v>
      </c>
      <c r="IK270" s="1">
        <v>0</v>
      </c>
      <c r="IL270" s="1">
        <v>0</v>
      </c>
      <c r="IM270" s="1">
        <v>0</v>
      </c>
      <c r="IN270" s="1">
        <v>0</v>
      </c>
      <c r="IO270" s="1">
        <v>384.4</v>
      </c>
      <c r="IP270" s="1">
        <v>336.81</v>
      </c>
      <c r="IQ270" s="1">
        <v>313.19400000000002</v>
      </c>
      <c r="IR270" s="1">
        <v>319.31</v>
      </c>
      <c r="IS270" s="1">
        <v>384.4</v>
      </c>
      <c r="IT270" s="1">
        <v>336.81</v>
      </c>
      <c r="IU270" s="1">
        <v>313.19400000000002</v>
      </c>
      <c r="IV270" s="1">
        <v>319.31</v>
      </c>
      <c r="IW270" s="1">
        <v>0</v>
      </c>
      <c r="IX270" s="1">
        <v>0</v>
      </c>
      <c r="IY270" s="1">
        <v>0</v>
      </c>
      <c r="IZ270" s="1">
        <v>0</v>
      </c>
      <c r="JA270" s="1">
        <v>0</v>
      </c>
      <c r="JB270" s="1">
        <v>0</v>
      </c>
      <c r="JC270" s="1">
        <v>0</v>
      </c>
      <c r="JD270" s="1">
        <v>0</v>
      </c>
      <c r="JE270" s="1">
        <v>0</v>
      </c>
      <c r="JF270" s="1">
        <v>0</v>
      </c>
      <c r="JG270" s="1">
        <v>0</v>
      </c>
      <c r="JH270" s="1">
        <v>0</v>
      </c>
      <c r="JI270" s="1">
        <v>0</v>
      </c>
      <c r="JJ270" s="1">
        <v>0</v>
      </c>
      <c r="JK270" s="1">
        <v>0</v>
      </c>
      <c r="JL270" s="1">
        <v>0</v>
      </c>
      <c r="JM270" s="1">
        <v>0</v>
      </c>
      <c r="JN270" s="1">
        <v>0</v>
      </c>
      <c r="JO270" s="1">
        <v>0</v>
      </c>
      <c r="JP270" s="1">
        <v>0</v>
      </c>
      <c r="JQ270" s="9"/>
      <c r="JR270" s="1">
        <f t="shared" si="60"/>
        <v>4934.3984999999993</v>
      </c>
      <c r="JS270" s="1">
        <f t="shared" si="60"/>
        <v>4357.8243000000002</v>
      </c>
      <c r="JT270" s="1">
        <f t="shared" si="60"/>
        <v>3361.4632799999995</v>
      </c>
      <c r="JU270" s="1">
        <f t="shared" si="58"/>
        <v>3006.4392000000012</v>
      </c>
      <c r="JV270" s="1">
        <f t="shared" si="61"/>
        <v>913.7774999999998</v>
      </c>
      <c r="JW270" s="1">
        <f t="shared" si="61"/>
        <v>807.00450000000001</v>
      </c>
      <c r="JX270" s="1">
        <f t="shared" si="61"/>
        <v>622.49319999999989</v>
      </c>
      <c r="JY270" s="1">
        <f t="shared" si="59"/>
        <v>556.74800000000016</v>
      </c>
    </row>
    <row r="271" spans="1:285" x14ac:dyDescent="0.35">
      <c r="A271" s="2" t="s">
        <v>278</v>
      </c>
      <c r="B271" s="1">
        <v>126260</v>
      </c>
      <c r="C271" s="1">
        <v>128880</v>
      </c>
      <c r="D271" s="1">
        <v>130327</v>
      </c>
      <c r="E271" s="1">
        <v>132749</v>
      </c>
      <c r="F271" s="1">
        <v>45959.4</v>
      </c>
      <c r="G271" s="1">
        <v>45720.76</v>
      </c>
      <c r="H271" s="1">
        <v>42631.839999999997</v>
      </c>
      <c r="I271" s="1">
        <v>43033.25</v>
      </c>
      <c r="J271" s="1">
        <f t="shared" si="62"/>
        <v>26587.26</v>
      </c>
      <c r="K271" s="1">
        <f t="shared" si="63"/>
        <v>27415.340000000004</v>
      </c>
      <c r="L271" s="1">
        <f t="shared" si="64"/>
        <v>25091.739999999998</v>
      </c>
      <c r="M271" s="1">
        <f t="shared" si="65"/>
        <v>24843.250000000004</v>
      </c>
      <c r="N271" s="1">
        <f t="shared" si="66"/>
        <v>19372.140000000003</v>
      </c>
      <c r="O271" s="1">
        <f t="shared" si="67"/>
        <v>18305.419999999998</v>
      </c>
      <c r="P271" s="1">
        <f t="shared" si="68"/>
        <v>17540.099999999999</v>
      </c>
      <c r="Q271" s="1">
        <f t="shared" si="69"/>
        <v>18189.999999999996</v>
      </c>
      <c r="R271" s="1">
        <v>4417.3999999999996</v>
      </c>
      <c r="S271" s="1">
        <v>4399</v>
      </c>
      <c r="T271" s="1">
        <v>3910</v>
      </c>
      <c r="U271" s="1">
        <v>3709</v>
      </c>
      <c r="V271" s="1">
        <v>0</v>
      </c>
      <c r="W271" s="1">
        <v>0</v>
      </c>
      <c r="X271" s="1">
        <v>4417.3999999999996</v>
      </c>
      <c r="Y271" s="1">
        <v>0</v>
      </c>
      <c r="Z271" s="1">
        <v>0</v>
      </c>
      <c r="AA271" s="1">
        <v>4399</v>
      </c>
      <c r="AB271" s="1">
        <v>0</v>
      </c>
      <c r="AC271" s="1">
        <v>1191.69</v>
      </c>
      <c r="AD271" s="1">
        <v>2718.31</v>
      </c>
      <c r="AE271" s="1">
        <v>0</v>
      </c>
      <c r="AF271" s="1">
        <v>0</v>
      </c>
      <c r="AG271" s="1">
        <v>3709</v>
      </c>
      <c r="AH271" s="1">
        <v>0</v>
      </c>
      <c r="AI271" s="1">
        <v>0</v>
      </c>
      <c r="AJ271" s="1">
        <v>0</v>
      </c>
      <c r="AK271" s="1">
        <v>0</v>
      </c>
      <c r="AL271" s="1">
        <v>0</v>
      </c>
      <c r="AM271" s="1">
        <v>0</v>
      </c>
      <c r="AN271" s="1">
        <v>0</v>
      </c>
      <c r="AO271" s="1">
        <v>0</v>
      </c>
      <c r="AP271" s="1">
        <v>7202.3600000000006</v>
      </c>
      <c r="AQ271" s="1">
        <v>7859</v>
      </c>
      <c r="AR271" s="1">
        <v>7542.4</v>
      </c>
      <c r="AS271" s="1">
        <v>8248</v>
      </c>
      <c r="AT271" s="1">
        <v>0</v>
      </c>
      <c r="AU271" s="1">
        <v>7202.3600000000006</v>
      </c>
      <c r="AV271" s="1">
        <v>0</v>
      </c>
      <c r="AW271" s="1">
        <v>0</v>
      </c>
      <c r="AX271" s="1">
        <v>0</v>
      </c>
      <c r="AY271" s="1">
        <v>7859</v>
      </c>
      <c r="AZ271" s="1">
        <v>0</v>
      </c>
      <c r="BA271" s="1">
        <v>0</v>
      </c>
      <c r="BB271" s="1">
        <v>0</v>
      </c>
      <c r="BC271" s="1">
        <v>7542.4</v>
      </c>
      <c r="BD271" s="1">
        <v>0</v>
      </c>
      <c r="BE271" s="1">
        <v>0</v>
      </c>
      <c r="BF271" s="1">
        <v>8248</v>
      </c>
      <c r="BG271" s="1">
        <v>0</v>
      </c>
      <c r="BH271" s="1">
        <v>0</v>
      </c>
      <c r="BI271" s="1">
        <v>0</v>
      </c>
      <c r="BJ271" s="1">
        <v>0</v>
      </c>
      <c r="BK271" s="1">
        <v>0</v>
      </c>
      <c r="BL271" s="1">
        <v>0</v>
      </c>
      <c r="BM271" s="1">
        <v>0</v>
      </c>
      <c r="BN271" s="1">
        <v>0</v>
      </c>
      <c r="BO271" s="1">
        <v>0</v>
      </c>
      <c r="BP271" s="1">
        <v>0</v>
      </c>
      <c r="BQ271" s="1">
        <v>0</v>
      </c>
      <c r="BR271" s="1">
        <v>0</v>
      </c>
      <c r="BS271" s="1">
        <v>0</v>
      </c>
      <c r="BT271" s="1">
        <v>0</v>
      </c>
      <c r="BU271" s="1">
        <v>7552.1100000000006</v>
      </c>
      <c r="BV271" s="1">
        <v>7599.9400000000014</v>
      </c>
      <c r="BW271" s="1">
        <v>6834.2199999999993</v>
      </c>
      <c r="BX271" s="1">
        <v>6228.51</v>
      </c>
      <c r="BY271" s="1">
        <v>7548.66</v>
      </c>
      <c r="BZ271" s="1">
        <v>7590.21</v>
      </c>
      <c r="CA271" s="1">
        <v>6828.81</v>
      </c>
      <c r="CB271" s="1">
        <v>6216.3899999999994</v>
      </c>
      <c r="CC271" s="1">
        <v>3.45</v>
      </c>
      <c r="CD271" s="1">
        <v>9.73</v>
      </c>
      <c r="CE271" s="1">
        <v>5.41</v>
      </c>
      <c r="CF271" s="1">
        <v>12.12</v>
      </c>
      <c r="CG271" s="1">
        <v>0</v>
      </c>
      <c r="CH271" s="1">
        <v>0</v>
      </c>
      <c r="CI271" s="1">
        <v>0</v>
      </c>
      <c r="CJ271" s="1">
        <v>0</v>
      </c>
      <c r="CK271" s="1">
        <v>0</v>
      </c>
      <c r="CL271" s="1">
        <v>0</v>
      </c>
      <c r="CM271" s="1">
        <v>0</v>
      </c>
      <c r="CN271" s="1">
        <v>0</v>
      </c>
      <c r="CO271" s="1">
        <v>0</v>
      </c>
      <c r="CP271" s="1">
        <v>0</v>
      </c>
      <c r="CQ271" s="1">
        <v>0</v>
      </c>
      <c r="CR271" s="1">
        <v>0</v>
      </c>
      <c r="CS271" s="1">
        <v>1570.69</v>
      </c>
      <c r="CT271" s="1">
        <v>1715.43</v>
      </c>
      <c r="CU271" s="1">
        <v>1661.89</v>
      </c>
      <c r="CV271" s="1">
        <v>1441</v>
      </c>
      <c r="CW271" s="1">
        <v>1570.69</v>
      </c>
      <c r="CX271" s="1">
        <v>1715.43</v>
      </c>
      <c r="CY271" s="1">
        <v>1661.89</v>
      </c>
      <c r="CZ271" s="1">
        <v>1441</v>
      </c>
      <c r="DA271" s="1">
        <v>0</v>
      </c>
      <c r="DB271" s="1">
        <v>0</v>
      </c>
      <c r="DC271" s="1">
        <v>0</v>
      </c>
      <c r="DD271" s="1">
        <v>0</v>
      </c>
      <c r="DE271" s="1">
        <v>0</v>
      </c>
      <c r="DF271" s="1">
        <v>0</v>
      </c>
      <c r="DG271" s="1">
        <v>0</v>
      </c>
      <c r="DH271" s="1">
        <v>0</v>
      </c>
      <c r="DI271" s="1">
        <v>0</v>
      </c>
      <c r="DJ271" s="1">
        <v>0</v>
      </c>
      <c r="DK271" s="1">
        <v>0</v>
      </c>
      <c r="DL271" s="1">
        <v>0</v>
      </c>
      <c r="DM271" s="1">
        <v>4247.22</v>
      </c>
      <c r="DN271" s="1">
        <v>3990.11</v>
      </c>
      <c r="DO271" s="1">
        <v>3933.5</v>
      </c>
      <c r="DP271" s="1">
        <v>3641.39</v>
      </c>
      <c r="DQ271" s="1">
        <v>4247.22</v>
      </c>
      <c r="DR271" s="1">
        <v>3990.11</v>
      </c>
      <c r="DS271" s="1">
        <v>3933.5</v>
      </c>
      <c r="DT271" s="1">
        <v>3641.39</v>
      </c>
      <c r="DU271" s="1">
        <v>0</v>
      </c>
      <c r="DV271" s="1">
        <v>0</v>
      </c>
      <c r="DW271" s="1">
        <v>0</v>
      </c>
      <c r="DX271" s="1">
        <v>0</v>
      </c>
      <c r="DY271" s="1">
        <v>0</v>
      </c>
      <c r="DZ271" s="1">
        <v>0</v>
      </c>
      <c r="EA271" s="1">
        <v>0</v>
      </c>
      <c r="EB271" s="1">
        <v>0</v>
      </c>
      <c r="EC271" s="1">
        <v>0</v>
      </c>
      <c r="ED271" s="1">
        <v>0</v>
      </c>
      <c r="EE271" s="1">
        <v>0</v>
      </c>
      <c r="EF271" s="1">
        <v>0</v>
      </c>
      <c r="EG271" s="1">
        <v>0</v>
      </c>
      <c r="EH271" s="1">
        <v>0</v>
      </c>
      <c r="EI271" s="1">
        <v>0</v>
      </c>
      <c r="EJ271" s="1">
        <v>0</v>
      </c>
      <c r="EK271" s="1">
        <v>677.69</v>
      </c>
      <c r="EL271" s="1">
        <v>802.8900000000001</v>
      </c>
      <c r="EM271" s="1">
        <v>811.5</v>
      </c>
      <c r="EN271" s="1">
        <v>626</v>
      </c>
      <c r="EO271" s="1">
        <v>677.69</v>
      </c>
      <c r="EP271" s="1">
        <v>802.8900000000001</v>
      </c>
      <c r="EQ271" s="1">
        <v>811.5</v>
      </c>
      <c r="ER271" s="1">
        <v>626</v>
      </c>
      <c r="ES271" s="1">
        <v>0</v>
      </c>
      <c r="ET271" s="1">
        <v>0</v>
      </c>
      <c r="EU271" s="1">
        <v>0</v>
      </c>
      <c r="EV271" s="1">
        <v>0</v>
      </c>
      <c r="EW271" s="1">
        <v>0</v>
      </c>
      <c r="EX271" s="1">
        <v>0</v>
      </c>
      <c r="EY271" s="1">
        <v>0</v>
      </c>
      <c r="EZ271" s="1">
        <v>0</v>
      </c>
      <c r="FA271" s="1">
        <v>0</v>
      </c>
      <c r="FB271" s="1">
        <v>0</v>
      </c>
      <c r="FC271" s="1">
        <v>0</v>
      </c>
      <c r="FD271" s="1">
        <v>0</v>
      </c>
      <c r="FE271" s="1">
        <v>173.98</v>
      </c>
      <c r="FF271" s="1">
        <v>115.36</v>
      </c>
      <c r="FG271" s="1">
        <v>66.69</v>
      </c>
      <c r="FH271" s="1">
        <v>37.15</v>
      </c>
      <c r="FI271" s="1">
        <v>29.63</v>
      </c>
      <c r="FJ271" s="1">
        <v>21.48</v>
      </c>
      <c r="FK271" s="1">
        <v>15.79</v>
      </c>
      <c r="FL271" s="1">
        <v>1.6</v>
      </c>
      <c r="FM271" s="1">
        <v>144.35</v>
      </c>
      <c r="FN271" s="1">
        <v>93.88</v>
      </c>
      <c r="FO271" s="1">
        <v>50.900000000000013</v>
      </c>
      <c r="FP271" s="1">
        <v>35.549999999999997</v>
      </c>
      <c r="FQ271" s="1">
        <v>0</v>
      </c>
      <c r="FR271" s="1">
        <v>0</v>
      </c>
      <c r="FS271" s="1">
        <v>0</v>
      </c>
      <c r="FT271" s="1">
        <v>0</v>
      </c>
      <c r="FU271" s="1">
        <v>0</v>
      </c>
      <c r="FV271" s="1">
        <v>0</v>
      </c>
      <c r="FW271" s="1">
        <v>0</v>
      </c>
      <c r="FX271" s="1">
        <v>0</v>
      </c>
      <c r="FY271" s="1">
        <v>0</v>
      </c>
      <c r="FZ271" s="1">
        <v>0</v>
      </c>
      <c r="GA271" s="1">
        <v>0</v>
      </c>
      <c r="GB271" s="1">
        <v>0</v>
      </c>
      <c r="GC271" s="1">
        <v>24.21</v>
      </c>
      <c r="GD271" s="1">
        <v>12.61</v>
      </c>
      <c r="GE271" s="1">
        <v>4.54</v>
      </c>
      <c r="GF271" s="1">
        <v>3.2</v>
      </c>
      <c r="GG271" s="1">
        <v>13.91</v>
      </c>
      <c r="GH271" s="1">
        <v>12.61</v>
      </c>
      <c r="GI271" s="1">
        <v>4.54</v>
      </c>
      <c r="GJ271" s="1">
        <v>3.2</v>
      </c>
      <c r="GK271" s="1">
        <v>10.3</v>
      </c>
      <c r="GL271" s="1">
        <v>0</v>
      </c>
      <c r="GM271" s="1">
        <v>0</v>
      </c>
      <c r="GN271" s="1">
        <v>0</v>
      </c>
      <c r="GO271" s="1">
        <v>0</v>
      </c>
      <c r="GP271" s="1">
        <v>0</v>
      </c>
      <c r="GQ271" s="1">
        <v>0</v>
      </c>
      <c r="GR271" s="1">
        <v>0</v>
      </c>
      <c r="GS271" s="1">
        <v>0</v>
      </c>
      <c r="GT271" s="1">
        <v>0</v>
      </c>
      <c r="GU271" s="1">
        <v>0</v>
      </c>
      <c r="GV271" s="1">
        <v>0</v>
      </c>
      <c r="GW271" s="1">
        <v>0</v>
      </c>
      <c r="GX271" s="1">
        <v>0</v>
      </c>
      <c r="GY271" s="1">
        <v>0</v>
      </c>
      <c r="GZ271" s="1">
        <v>0</v>
      </c>
      <c r="HA271" s="1">
        <v>0</v>
      </c>
      <c r="HB271" s="1">
        <v>0</v>
      </c>
      <c r="HC271" s="1">
        <v>0</v>
      </c>
      <c r="HD271" s="1">
        <v>0</v>
      </c>
      <c r="HE271" s="1">
        <v>0</v>
      </c>
      <c r="HF271" s="1">
        <v>0</v>
      </c>
      <c r="HG271" s="1">
        <v>0</v>
      </c>
      <c r="HH271" s="1">
        <v>0</v>
      </c>
      <c r="HI271" s="1">
        <v>0</v>
      </c>
      <c r="HJ271" s="1">
        <v>0</v>
      </c>
      <c r="HK271" s="1">
        <v>0</v>
      </c>
      <c r="HL271" s="1">
        <v>0</v>
      </c>
      <c r="HM271" s="1">
        <v>0</v>
      </c>
      <c r="HN271" s="1">
        <v>0</v>
      </c>
      <c r="HO271" s="1">
        <v>0</v>
      </c>
      <c r="HP271" s="1">
        <v>0</v>
      </c>
      <c r="HQ271" s="1">
        <v>0</v>
      </c>
      <c r="HR271" s="1">
        <v>0</v>
      </c>
      <c r="HS271" s="1">
        <v>0</v>
      </c>
      <c r="HT271" s="1">
        <v>0</v>
      </c>
      <c r="HU271" s="1">
        <v>0</v>
      </c>
      <c r="HV271" s="1">
        <v>0</v>
      </c>
      <c r="HW271" s="1">
        <v>0</v>
      </c>
      <c r="HX271" s="1">
        <v>0</v>
      </c>
      <c r="HY271" s="1">
        <v>0</v>
      </c>
      <c r="HZ271" s="1">
        <v>0</v>
      </c>
      <c r="IA271" s="1">
        <v>0</v>
      </c>
      <c r="IB271" s="1">
        <v>0</v>
      </c>
      <c r="IC271" s="1">
        <v>0</v>
      </c>
      <c r="ID271" s="1">
        <v>0</v>
      </c>
      <c r="IE271" s="1">
        <v>0</v>
      </c>
      <c r="IF271" s="1">
        <v>0</v>
      </c>
      <c r="IG271" s="1">
        <v>0</v>
      </c>
      <c r="IH271" s="1">
        <v>0</v>
      </c>
      <c r="II271" s="1">
        <v>0</v>
      </c>
      <c r="IJ271" s="1">
        <v>0</v>
      </c>
      <c r="IK271" s="1">
        <v>0</v>
      </c>
      <c r="IL271" s="1">
        <v>0</v>
      </c>
      <c r="IM271" s="1">
        <v>0</v>
      </c>
      <c r="IN271" s="1">
        <v>0</v>
      </c>
      <c r="IO271" s="1">
        <v>721.6</v>
      </c>
      <c r="IP271" s="1">
        <v>921</v>
      </c>
      <c r="IQ271" s="1">
        <v>327</v>
      </c>
      <c r="IR271" s="1">
        <v>909</v>
      </c>
      <c r="IS271" s="1">
        <v>721.6</v>
      </c>
      <c r="IT271" s="1">
        <v>921</v>
      </c>
      <c r="IU271" s="1">
        <v>327</v>
      </c>
      <c r="IV271" s="1">
        <v>909</v>
      </c>
      <c r="IW271" s="1">
        <v>0</v>
      </c>
      <c r="IX271" s="1">
        <v>0</v>
      </c>
      <c r="IY271" s="1">
        <v>0</v>
      </c>
      <c r="IZ271" s="1">
        <v>0</v>
      </c>
      <c r="JA271" s="1">
        <v>0</v>
      </c>
      <c r="JB271" s="1">
        <v>0</v>
      </c>
      <c r="JC271" s="1">
        <v>0</v>
      </c>
      <c r="JD271" s="1">
        <v>0</v>
      </c>
      <c r="JE271" s="1">
        <v>0</v>
      </c>
      <c r="JF271" s="1">
        <v>0</v>
      </c>
      <c r="JG271" s="1">
        <v>0</v>
      </c>
      <c r="JH271" s="1">
        <v>0</v>
      </c>
      <c r="JI271" s="1">
        <v>0</v>
      </c>
      <c r="JJ271" s="1">
        <v>0</v>
      </c>
      <c r="JK271" s="1">
        <v>0</v>
      </c>
      <c r="JL271" s="1">
        <v>0</v>
      </c>
      <c r="JM271" s="1">
        <v>0</v>
      </c>
      <c r="JN271" s="1">
        <v>0</v>
      </c>
      <c r="JO271" s="1">
        <v>0</v>
      </c>
      <c r="JP271" s="1">
        <v>0</v>
      </c>
      <c r="JQ271" s="9"/>
      <c r="JR271" s="1">
        <f t="shared" si="60"/>
        <v>5230.4778000000015</v>
      </c>
      <c r="JS271" s="1">
        <f t="shared" si="60"/>
        <v>4942.4633999999996</v>
      </c>
      <c r="JT271" s="1">
        <f t="shared" si="60"/>
        <v>4735.8270000000002</v>
      </c>
      <c r="JU271" s="1">
        <f t="shared" si="58"/>
        <v>4911.2999999999993</v>
      </c>
      <c r="JV271" s="1">
        <f t="shared" si="61"/>
        <v>968.6070000000002</v>
      </c>
      <c r="JW271" s="1">
        <f t="shared" si="61"/>
        <v>915.27099999999996</v>
      </c>
      <c r="JX271" s="1">
        <f t="shared" si="61"/>
        <v>877.005</v>
      </c>
      <c r="JY271" s="1">
        <f t="shared" si="59"/>
        <v>909.49999999999989</v>
      </c>
    </row>
    <row r="272" spans="1:285" x14ac:dyDescent="0.35">
      <c r="A272" s="2" t="s">
        <v>279</v>
      </c>
      <c r="B272" s="1">
        <v>158291</v>
      </c>
      <c r="C272" s="1">
        <v>160711</v>
      </c>
      <c r="D272" s="1">
        <v>163091</v>
      </c>
      <c r="E272" s="1">
        <v>164861</v>
      </c>
      <c r="F272" s="1">
        <v>52820.311999999998</v>
      </c>
      <c r="G272" s="1">
        <v>53444.466</v>
      </c>
      <c r="H272" s="1">
        <v>46940.072</v>
      </c>
      <c r="I272" s="1">
        <v>50806.288999999997</v>
      </c>
      <c r="J272" s="1">
        <f t="shared" si="62"/>
        <v>29646.563000000002</v>
      </c>
      <c r="K272" s="1">
        <f t="shared" si="63"/>
        <v>28466.932000000001</v>
      </c>
      <c r="L272" s="1">
        <f t="shared" si="64"/>
        <v>27562.619999999995</v>
      </c>
      <c r="M272" s="1">
        <f t="shared" si="65"/>
        <v>28742.245999999996</v>
      </c>
      <c r="N272" s="1">
        <f t="shared" si="66"/>
        <v>23173.748999999996</v>
      </c>
      <c r="O272" s="1">
        <f t="shared" si="67"/>
        <v>24977.534</v>
      </c>
      <c r="P272" s="1">
        <f t="shared" si="68"/>
        <v>19377.452000000005</v>
      </c>
      <c r="Q272" s="1">
        <f t="shared" si="69"/>
        <v>22064.043000000001</v>
      </c>
      <c r="R272" s="1">
        <v>0</v>
      </c>
      <c r="S272" s="1">
        <v>0</v>
      </c>
      <c r="T272" s="1">
        <v>0</v>
      </c>
      <c r="U272" s="1">
        <v>0</v>
      </c>
      <c r="V272" s="1">
        <v>0</v>
      </c>
      <c r="W272" s="1">
        <v>0</v>
      </c>
      <c r="X272" s="1">
        <v>0</v>
      </c>
      <c r="Y272" s="1">
        <v>0</v>
      </c>
      <c r="Z272" s="1">
        <v>0</v>
      </c>
      <c r="AA272" s="1">
        <v>0</v>
      </c>
      <c r="AB272" s="1">
        <v>0</v>
      </c>
      <c r="AC272" s="1">
        <v>0</v>
      </c>
      <c r="AD272" s="1">
        <v>0</v>
      </c>
      <c r="AE272" s="1">
        <v>0</v>
      </c>
      <c r="AF272" s="1">
        <v>0</v>
      </c>
      <c r="AG272" s="1">
        <v>0</v>
      </c>
      <c r="AH272" s="1">
        <v>0</v>
      </c>
      <c r="AI272" s="1">
        <v>0</v>
      </c>
      <c r="AJ272" s="1">
        <v>0</v>
      </c>
      <c r="AK272" s="1">
        <v>0</v>
      </c>
      <c r="AL272" s="1">
        <v>0</v>
      </c>
      <c r="AM272" s="1">
        <v>0</v>
      </c>
      <c r="AN272" s="1">
        <v>0</v>
      </c>
      <c r="AO272" s="1">
        <v>0</v>
      </c>
      <c r="AP272" s="1">
        <v>12230.24</v>
      </c>
      <c r="AQ272" s="1">
        <v>10604.213</v>
      </c>
      <c r="AR272" s="1">
        <v>11245.52</v>
      </c>
      <c r="AS272" s="1">
        <v>13666.12</v>
      </c>
      <c r="AT272" s="1">
        <v>12230.24</v>
      </c>
      <c r="AU272" s="1">
        <v>0</v>
      </c>
      <c r="AV272" s="1">
        <v>0</v>
      </c>
      <c r="AW272" s="1">
        <v>0</v>
      </c>
      <c r="AX272" s="1">
        <v>10126.379999999999</v>
      </c>
      <c r="AY272" s="1">
        <v>477.83300000000003</v>
      </c>
      <c r="AZ272" s="1">
        <v>0</v>
      </c>
      <c r="BA272" s="1">
        <v>0</v>
      </c>
      <c r="BB272" s="1">
        <v>11245.52</v>
      </c>
      <c r="BC272" s="1">
        <v>0</v>
      </c>
      <c r="BD272" s="1">
        <v>0</v>
      </c>
      <c r="BE272" s="1">
        <v>13626.216</v>
      </c>
      <c r="BF272" s="1">
        <v>39.904000000000003</v>
      </c>
      <c r="BG272" s="1">
        <v>0</v>
      </c>
      <c r="BH272" s="1">
        <v>0</v>
      </c>
      <c r="BI272" s="1">
        <v>0</v>
      </c>
      <c r="BJ272" s="1">
        <v>0</v>
      </c>
      <c r="BK272" s="1">
        <v>0</v>
      </c>
      <c r="BL272" s="1">
        <v>0</v>
      </c>
      <c r="BM272" s="1">
        <v>0</v>
      </c>
      <c r="BN272" s="1">
        <v>0</v>
      </c>
      <c r="BO272" s="1">
        <v>0</v>
      </c>
      <c r="BP272" s="1">
        <v>0</v>
      </c>
      <c r="BQ272" s="1">
        <v>0</v>
      </c>
      <c r="BR272" s="1">
        <v>0</v>
      </c>
      <c r="BS272" s="1">
        <v>0</v>
      </c>
      <c r="BT272" s="1">
        <v>0</v>
      </c>
      <c r="BU272" s="1">
        <v>8698.0969999999998</v>
      </c>
      <c r="BV272" s="1">
        <v>8963.6080000000002</v>
      </c>
      <c r="BW272" s="1">
        <v>8212.4470000000001</v>
      </c>
      <c r="BX272" s="1">
        <v>7215.1179999999986</v>
      </c>
      <c r="BY272" s="1">
        <v>8698.0969999999998</v>
      </c>
      <c r="BZ272" s="1">
        <v>8963.6080000000002</v>
      </c>
      <c r="CA272" s="1">
        <v>8212.4470000000001</v>
      </c>
      <c r="CB272" s="1">
        <v>7215.1179999999986</v>
      </c>
      <c r="CC272" s="1">
        <v>0</v>
      </c>
      <c r="CD272" s="1">
        <v>0</v>
      </c>
      <c r="CE272" s="1">
        <v>0</v>
      </c>
      <c r="CF272" s="1">
        <v>0</v>
      </c>
      <c r="CG272" s="1">
        <v>0</v>
      </c>
      <c r="CH272" s="1">
        <v>0</v>
      </c>
      <c r="CI272" s="1">
        <v>0</v>
      </c>
      <c r="CJ272" s="1">
        <v>0</v>
      </c>
      <c r="CK272" s="1">
        <v>0</v>
      </c>
      <c r="CL272" s="1">
        <v>0</v>
      </c>
      <c r="CM272" s="1">
        <v>0</v>
      </c>
      <c r="CN272" s="1">
        <v>0</v>
      </c>
      <c r="CO272" s="1">
        <v>0</v>
      </c>
      <c r="CP272" s="1">
        <v>0</v>
      </c>
      <c r="CQ272" s="1">
        <v>0</v>
      </c>
      <c r="CR272" s="1">
        <v>0</v>
      </c>
      <c r="CS272" s="1">
        <v>2498.1819999999998</v>
      </c>
      <c r="CT272" s="1">
        <v>2594.3789999999999</v>
      </c>
      <c r="CU272" s="1">
        <v>2883.9580000000001</v>
      </c>
      <c r="CV272" s="1">
        <v>2305.393</v>
      </c>
      <c r="CW272" s="1">
        <v>2498.1819999999998</v>
      </c>
      <c r="CX272" s="1">
        <v>2594.3789999999999</v>
      </c>
      <c r="CY272" s="1">
        <v>2883.9580000000001</v>
      </c>
      <c r="CZ272" s="1">
        <v>2305.393</v>
      </c>
      <c r="DA272" s="1">
        <v>0</v>
      </c>
      <c r="DB272" s="1">
        <v>0</v>
      </c>
      <c r="DC272" s="1">
        <v>0</v>
      </c>
      <c r="DD272" s="1">
        <v>0</v>
      </c>
      <c r="DE272" s="1">
        <v>0</v>
      </c>
      <c r="DF272" s="1">
        <v>0</v>
      </c>
      <c r="DG272" s="1">
        <v>0</v>
      </c>
      <c r="DH272" s="1">
        <v>0</v>
      </c>
      <c r="DI272" s="1">
        <v>0</v>
      </c>
      <c r="DJ272" s="1">
        <v>0</v>
      </c>
      <c r="DK272" s="1">
        <v>0</v>
      </c>
      <c r="DL272" s="1">
        <v>0</v>
      </c>
      <c r="DM272" s="1">
        <v>4769.28</v>
      </c>
      <c r="DN272" s="1">
        <v>4689.4719999999998</v>
      </c>
      <c r="DO272" s="1">
        <v>3834.924</v>
      </c>
      <c r="DP272" s="1">
        <v>3931.4070000000002</v>
      </c>
      <c r="DQ272" s="1">
        <v>4769.28</v>
      </c>
      <c r="DR272" s="1">
        <v>4689.4719999999998</v>
      </c>
      <c r="DS272" s="1">
        <v>3834.924</v>
      </c>
      <c r="DT272" s="1">
        <v>3931.4070000000002</v>
      </c>
      <c r="DU272" s="1">
        <v>0</v>
      </c>
      <c r="DV272" s="1">
        <v>0</v>
      </c>
      <c r="DW272" s="1">
        <v>0</v>
      </c>
      <c r="DX272" s="1">
        <v>0</v>
      </c>
      <c r="DY272" s="1">
        <v>0</v>
      </c>
      <c r="DZ272" s="1">
        <v>0</v>
      </c>
      <c r="EA272" s="1">
        <v>0</v>
      </c>
      <c r="EB272" s="1">
        <v>0</v>
      </c>
      <c r="EC272" s="1">
        <v>0</v>
      </c>
      <c r="ED272" s="1">
        <v>0</v>
      </c>
      <c r="EE272" s="1">
        <v>0</v>
      </c>
      <c r="EF272" s="1">
        <v>0</v>
      </c>
      <c r="EG272" s="1">
        <v>0</v>
      </c>
      <c r="EH272" s="1">
        <v>0</v>
      </c>
      <c r="EI272" s="1">
        <v>0</v>
      </c>
      <c r="EJ272" s="1">
        <v>0</v>
      </c>
      <c r="EK272" s="1">
        <v>1132.729</v>
      </c>
      <c r="EL272" s="1">
        <v>1285.1089999999999</v>
      </c>
      <c r="EM272" s="1">
        <v>1120.4090000000001</v>
      </c>
      <c r="EN272" s="1">
        <v>1144.9659999999999</v>
      </c>
      <c r="EO272" s="1">
        <v>1132.729</v>
      </c>
      <c r="EP272" s="1">
        <v>1285.1089999999999</v>
      </c>
      <c r="EQ272" s="1">
        <v>1120.4090000000001</v>
      </c>
      <c r="ER272" s="1">
        <v>1144.9659999999999</v>
      </c>
      <c r="ES272" s="1">
        <v>0</v>
      </c>
      <c r="ET272" s="1">
        <v>0</v>
      </c>
      <c r="EU272" s="1">
        <v>0</v>
      </c>
      <c r="EV272" s="1">
        <v>0</v>
      </c>
      <c r="EW272" s="1">
        <v>0</v>
      </c>
      <c r="EX272" s="1">
        <v>0</v>
      </c>
      <c r="EY272" s="1">
        <v>0</v>
      </c>
      <c r="EZ272" s="1">
        <v>0</v>
      </c>
      <c r="FA272" s="1">
        <v>0</v>
      </c>
      <c r="FB272" s="1">
        <v>0</v>
      </c>
      <c r="FC272" s="1">
        <v>0</v>
      </c>
      <c r="FD272" s="1">
        <v>0</v>
      </c>
      <c r="FE272" s="1">
        <v>181.041</v>
      </c>
      <c r="FF272" s="1">
        <v>264.07799999999997</v>
      </c>
      <c r="FG272" s="1">
        <v>172.227</v>
      </c>
      <c r="FH272" s="1">
        <v>206.29599999999999</v>
      </c>
      <c r="FI272" s="1">
        <v>181.041</v>
      </c>
      <c r="FJ272" s="1">
        <v>264.07799999999997</v>
      </c>
      <c r="FK272" s="1">
        <v>172.227</v>
      </c>
      <c r="FL272" s="1">
        <v>206.29599999999999</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v>0</v>
      </c>
      <c r="GC272" s="1">
        <v>10.683999999999999</v>
      </c>
      <c r="GD272" s="1">
        <v>38.307000000000002</v>
      </c>
      <c r="GE272" s="1">
        <v>19.100000000000001</v>
      </c>
      <c r="GF272" s="1">
        <v>121.86</v>
      </c>
      <c r="GG272" s="1">
        <v>10.683999999999999</v>
      </c>
      <c r="GH272" s="1">
        <v>38.307000000000002</v>
      </c>
      <c r="GI272" s="1">
        <v>19.100000000000001</v>
      </c>
      <c r="GJ272" s="1">
        <v>121.86</v>
      </c>
      <c r="GK272" s="1">
        <v>0</v>
      </c>
      <c r="GL272" s="1">
        <v>0</v>
      </c>
      <c r="GM272" s="1">
        <v>0</v>
      </c>
      <c r="GN272" s="1">
        <v>0</v>
      </c>
      <c r="GO272" s="1">
        <v>0</v>
      </c>
      <c r="GP272" s="1">
        <v>0</v>
      </c>
      <c r="GQ272" s="1">
        <v>0</v>
      </c>
      <c r="GR272" s="1">
        <v>0</v>
      </c>
      <c r="GS272" s="1">
        <v>0</v>
      </c>
      <c r="GT272" s="1">
        <v>0</v>
      </c>
      <c r="GU272" s="1">
        <v>0</v>
      </c>
      <c r="GV272" s="1">
        <v>0</v>
      </c>
      <c r="GW272" s="1">
        <v>0</v>
      </c>
      <c r="GX272" s="1">
        <v>0</v>
      </c>
      <c r="GY272" s="1">
        <v>0</v>
      </c>
      <c r="GZ272" s="1">
        <v>0</v>
      </c>
      <c r="HA272" s="1">
        <v>0</v>
      </c>
      <c r="HB272" s="1">
        <v>0</v>
      </c>
      <c r="HC272" s="1">
        <v>0</v>
      </c>
      <c r="HD272" s="1">
        <v>0</v>
      </c>
      <c r="HE272" s="1">
        <v>0</v>
      </c>
      <c r="HF272" s="1">
        <v>0</v>
      </c>
      <c r="HG272" s="1">
        <v>0</v>
      </c>
      <c r="HH272" s="1">
        <v>0</v>
      </c>
      <c r="HI272" s="1">
        <v>0</v>
      </c>
      <c r="HJ272" s="1">
        <v>0</v>
      </c>
      <c r="HK272" s="1">
        <v>0</v>
      </c>
      <c r="HL272" s="1">
        <v>0</v>
      </c>
      <c r="HM272" s="1">
        <v>0</v>
      </c>
      <c r="HN272" s="1">
        <v>0</v>
      </c>
      <c r="HO272" s="1">
        <v>0</v>
      </c>
      <c r="HP272" s="1">
        <v>0</v>
      </c>
      <c r="HQ272" s="1">
        <v>0</v>
      </c>
      <c r="HR272" s="1">
        <v>0</v>
      </c>
      <c r="HS272" s="1">
        <v>0</v>
      </c>
      <c r="HT272" s="1">
        <v>0</v>
      </c>
      <c r="HU272" s="1">
        <v>0</v>
      </c>
      <c r="HV272" s="1">
        <v>0</v>
      </c>
      <c r="HW272" s="1">
        <v>0</v>
      </c>
      <c r="HX272" s="1">
        <v>0</v>
      </c>
      <c r="HY272" s="1">
        <v>0</v>
      </c>
      <c r="HZ272" s="1">
        <v>0</v>
      </c>
      <c r="IA272" s="1">
        <v>0</v>
      </c>
      <c r="IB272" s="1">
        <v>0</v>
      </c>
      <c r="IC272" s="1">
        <v>0</v>
      </c>
      <c r="ID272" s="1">
        <v>0</v>
      </c>
      <c r="IE272" s="1">
        <v>0</v>
      </c>
      <c r="IF272" s="1">
        <v>0</v>
      </c>
      <c r="IG272" s="1">
        <v>0</v>
      </c>
      <c r="IH272" s="1">
        <v>0</v>
      </c>
      <c r="II272" s="1">
        <v>0</v>
      </c>
      <c r="IJ272" s="1">
        <v>0</v>
      </c>
      <c r="IK272" s="1">
        <v>0</v>
      </c>
      <c r="IL272" s="1">
        <v>0</v>
      </c>
      <c r="IM272" s="1">
        <v>0</v>
      </c>
      <c r="IN272" s="1">
        <v>0</v>
      </c>
      <c r="IO272" s="1">
        <v>126.31</v>
      </c>
      <c r="IP272" s="1">
        <v>27.765999999999998</v>
      </c>
      <c r="IQ272" s="1">
        <v>74.034999999999997</v>
      </c>
      <c r="IR272" s="1">
        <v>151.08600000000001</v>
      </c>
      <c r="IS272" s="1">
        <v>126.31</v>
      </c>
      <c r="IT272" s="1">
        <v>27.765999999999998</v>
      </c>
      <c r="IU272" s="1">
        <v>74.034999999999997</v>
      </c>
      <c r="IV272" s="1">
        <v>151.08600000000001</v>
      </c>
      <c r="IW272" s="1">
        <v>0</v>
      </c>
      <c r="IX272" s="1">
        <v>0</v>
      </c>
      <c r="IY272" s="1">
        <v>0</v>
      </c>
      <c r="IZ272" s="1">
        <v>0</v>
      </c>
      <c r="JA272" s="1">
        <v>0</v>
      </c>
      <c r="JB272" s="1">
        <v>0</v>
      </c>
      <c r="JC272" s="1">
        <v>0</v>
      </c>
      <c r="JD272" s="1">
        <v>0</v>
      </c>
      <c r="JE272" s="1">
        <v>0</v>
      </c>
      <c r="JF272" s="1">
        <v>0</v>
      </c>
      <c r="JG272" s="1">
        <v>0</v>
      </c>
      <c r="JH272" s="1">
        <v>0</v>
      </c>
      <c r="JI272" s="1">
        <v>0</v>
      </c>
      <c r="JJ272" s="1">
        <v>0</v>
      </c>
      <c r="JK272" s="1">
        <v>0</v>
      </c>
      <c r="JL272" s="1">
        <v>0</v>
      </c>
      <c r="JM272" s="1">
        <v>0</v>
      </c>
      <c r="JN272" s="1">
        <v>0</v>
      </c>
      <c r="JO272" s="1">
        <v>0</v>
      </c>
      <c r="JP272" s="1">
        <v>0</v>
      </c>
      <c r="JQ272" s="9"/>
      <c r="JR272" s="1">
        <f t="shared" si="60"/>
        <v>6256.912229999999</v>
      </c>
      <c r="JS272" s="1">
        <f t="shared" si="60"/>
        <v>6743.9341800000002</v>
      </c>
      <c r="JT272" s="1">
        <f t="shared" si="60"/>
        <v>5231.912040000002</v>
      </c>
      <c r="JU272" s="1">
        <f t="shared" si="58"/>
        <v>5957.2916100000011</v>
      </c>
      <c r="JV272" s="1">
        <f t="shared" si="61"/>
        <v>1158.6874499999999</v>
      </c>
      <c r="JW272" s="1">
        <f t="shared" si="61"/>
        <v>1248.8767</v>
      </c>
      <c r="JX272" s="1">
        <f t="shared" si="61"/>
        <v>968.87260000000026</v>
      </c>
      <c r="JY272" s="1">
        <f t="shared" si="59"/>
        <v>1103.2021500000001</v>
      </c>
    </row>
    <row r="273" spans="1:285" x14ac:dyDescent="0.35">
      <c r="A273" s="2" t="s">
        <v>280</v>
      </c>
      <c r="B273" s="1">
        <v>119806</v>
      </c>
      <c r="C273" s="1">
        <v>119747</v>
      </c>
      <c r="D273" s="1">
        <v>120308</v>
      </c>
      <c r="E273" s="1">
        <v>121668</v>
      </c>
      <c r="F273" s="1">
        <v>35871.436000000002</v>
      </c>
      <c r="G273" s="1">
        <v>33717.410000000003</v>
      </c>
      <c r="H273" s="1">
        <v>30274.541000000001</v>
      </c>
      <c r="I273" s="1">
        <v>30635.455999999998</v>
      </c>
      <c r="J273" s="1">
        <f t="shared" si="62"/>
        <v>23377.306</v>
      </c>
      <c r="K273" s="1">
        <f t="shared" si="63"/>
        <v>22752.110000000004</v>
      </c>
      <c r="L273" s="1">
        <f t="shared" si="64"/>
        <v>19373.690999999995</v>
      </c>
      <c r="M273" s="1">
        <f t="shared" si="65"/>
        <v>19944.445999999996</v>
      </c>
      <c r="N273" s="1">
        <f t="shared" si="66"/>
        <v>12494.130000000001</v>
      </c>
      <c r="O273" s="1">
        <f t="shared" si="67"/>
        <v>10965.3</v>
      </c>
      <c r="P273" s="1">
        <f t="shared" si="68"/>
        <v>10900.850000000006</v>
      </c>
      <c r="Q273" s="1">
        <f t="shared" si="69"/>
        <v>10691.010000000002</v>
      </c>
      <c r="R273" s="1">
        <v>325.08</v>
      </c>
      <c r="S273" s="1">
        <v>2513.2399999999998</v>
      </c>
      <c r="T273" s="1">
        <v>2183.6999999999998</v>
      </c>
      <c r="U273" s="1">
        <v>2084.54</v>
      </c>
      <c r="V273" s="1">
        <v>0</v>
      </c>
      <c r="W273" s="1">
        <v>0</v>
      </c>
      <c r="X273" s="1">
        <v>325.08</v>
      </c>
      <c r="Y273" s="1">
        <v>0</v>
      </c>
      <c r="Z273" s="1">
        <v>0</v>
      </c>
      <c r="AA273" s="1">
        <v>2513.2399999999998</v>
      </c>
      <c r="AB273" s="1">
        <v>0</v>
      </c>
      <c r="AC273" s="1">
        <v>0</v>
      </c>
      <c r="AD273" s="1">
        <v>2183.6999999999998</v>
      </c>
      <c r="AE273" s="1">
        <v>0</v>
      </c>
      <c r="AF273" s="1">
        <v>0</v>
      </c>
      <c r="AG273" s="1">
        <v>2084.54</v>
      </c>
      <c r="AH273" s="1">
        <v>0</v>
      </c>
      <c r="AI273" s="1">
        <v>0</v>
      </c>
      <c r="AJ273" s="1">
        <v>0</v>
      </c>
      <c r="AK273" s="1">
        <v>0</v>
      </c>
      <c r="AL273" s="1">
        <v>0</v>
      </c>
      <c r="AM273" s="1">
        <v>0</v>
      </c>
      <c r="AN273" s="1">
        <v>0</v>
      </c>
      <c r="AO273" s="1">
        <v>0</v>
      </c>
      <c r="AP273" s="1">
        <v>8438.07</v>
      </c>
      <c r="AQ273" s="1">
        <v>8372.9599999999991</v>
      </c>
      <c r="AR273" s="1">
        <v>6694.82</v>
      </c>
      <c r="AS273" s="1">
        <v>7350.6600000000008</v>
      </c>
      <c r="AT273" s="1">
        <v>8438.07</v>
      </c>
      <c r="AU273" s="1">
        <v>0</v>
      </c>
      <c r="AV273" s="1">
        <v>0</v>
      </c>
      <c r="AW273" s="1">
        <v>0</v>
      </c>
      <c r="AX273" s="1">
        <v>8372.9599999999991</v>
      </c>
      <c r="AY273" s="1">
        <v>0</v>
      </c>
      <c r="AZ273" s="1">
        <v>0</v>
      </c>
      <c r="BA273" s="1">
        <v>0</v>
      </c>
      <c r="BB273" s="1">
        <v>6694.82</v>
      </c>
      <c r="BC273" s="1">
        <v>0</v>
      </c>
      <c r="BD273" s="1">
        <v>0</v>
      </c>
      <c r="BE273" s="1">
        <v>7350.6600000000008</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6530.38</v>
      </c>
      <c r="BV273" s="1">
        <v>5341.01</v>
      </c>
      <c r="BW273" s="1">
        <v>4736.53</v>
      </c>
      <c r="BX273" s="1">
        <v>4476.37</v>
      </c>
      <c r="BY273" s="1">
        <v>6530.38</v>
      </c>
      <c r="BZ273" s="1">
        <v>5341.01</v>
      </c>
      <c r="CA273" s="1">
        <v>4736.53</v>
      </c>
      <c r="CB273" s="1">
        <v>4476.37</v>
      </c>
      <c r="CC273" s="1">
        <v>0</v>
      </c>
      <c r="CD273" s="1">
        <v>0</v>
      </c>
      <c r="CE273" s="1">
        <v>0</v>
      </c>
      <c r="CF273" s="1">
        <v>0</v>
      </c>
      <c r="CG273" s="1">
        <v>0</v>
      </c>
      <c r="CH273" s="1">
        <v>0</v>
      </c>
      <c r="CI273" s="1">
        <v>0</v>
      </c>
      <c r="CJ273" s="1">
        <v>0</v>
      </c>
      <c r="CK273" s="1">
        <v>0</v>
      </c>
      <c r="CL273" s="1">
        <v>0</v>
      </c>
      <c r="CM273" s="1">
        <v>0</v>
      </c>
      <c r="CN273" s="1">
        <v>0</v>
      </c>
      <c r="CO273" s="1">
        <v>0</v>
      </c>
      <c r="CP273" s="1">
        <v>0</v>
      </c>
      <c r="CQ273" s="1">
        <v>0</v>
      </c>
      <c r="CR273" s="1">
        <v>0</v>
      </c>
      <c r="CS273" s="1">
        <v>2461.8620000000001</v>
      </c>
      <c r="CT273" s="1">
        <v>1447.72</v>
      </c>
      <c r="CU273" s="1">
        <v>1296.77</v>
      </c>
      <c r="CV273" s="1">
        <v>1565.04</v>
      </c>
      <c r="CW273" s="1">
        <v>2461.8620000000001</v>
      </c>
      <c r="CX273" s="1">
        <v>1447.72</v>
      </c>
      <c r="CY273" s="1">
        <v>1296.77</v>
      </c>
      <c r="CZ273" s="1">
        <v>1565.04</v>
      </c>
      <c r="DA273" s="1">
        <v>0</v>
      </c>
      <c r="DB273" s="1">
        <v>0</v>
      </c>
      <c r="DC273" s="1">
        <v>0</v>
      </c>
      <c r="DD273" s="1">
        <v>0</v>
      </c>
      <c r="DE273" s="1">
        <v>0</v>
      </c>
      <c r="DF273" s="1">
        <v>0</v>
      </c>
      <c r="DG273" s="1">
        <v>0</v>
      </c>
      <c r="DH273" s="1">
        <v>0</v>
      </c>
      <c r="DI273" s="1">
        <v>0</v>
      </c>
      <c r="DJ273" s="1">
        <v>0</v>
      </c>
      <c r="DK273" s="1">
        <v>0</v>
      </c>
      <c r="DL273" s="1">
        <v>0</v>
      </c>
      <c r="DM273" s="1">
        <v>4076.37</v>
      </c>
      <c r="DN273" s="1">
        <v>4091.88</v>
      </c>
      <c r="DO273" s="1">
        <v>3655.92</v>
      </c>
      <c r="DP273" s="1">
        <v>3634.67</v>
      </c>
      <c r="DQ273" s="1">
        <v>4076.37</v>
      </c>
      <c r="DR273" s="1">
        <v>4091.88</v>
      </c>
      <c r="DS273" s="1">
        <v>3655.92</v>
      </c>
      <c r="DT273" s="1">
        <v>3634.67</v>
      </c>
      <c r="DU273" s="1">
        <v>0</v>
      </c>
      <c r="DV273" s="1">
        <v>0</v>
      </c>
      <c r="DW273" s="1">
        <v>0</v>
      </c>
      <c r="DX273" s="1">
        <v>0</v>
      </c>
      <c r="DY273" s="1">
        <v>0</v>
      </c>
      <c r="DZ273" s="1">
        <v>0</v>
      </c>
      <c r="EA273" s="1">
        <v>0</v>
      </c>
      <c r="EB273" s="1">
        <v>0</v>
      </c>
      <c r="EC273" s="1">
        <v>0</v>
      </c>
      <c r="ED273" s="1">
        <v>0</v>
      </c>
      <c r="EE273" s="1">
        <v>0</v>
      </c>
      <c r="EF273" s="1">
        <v>0</v>
      </c>
      <c r="EG273" s="1">
        <v>0</v>
      </c>
      <c r="EH273" s="1">
        <v>0</v>
      </c>
      <c r="EI273" s="1">
        <v>0</v>
      </c>
      <c r="EJ273" s="1">
        <v>0</v>
      </c>
      <c r="EK273" s="1">
        <v>745.7</v>
      </c>
      <c r="EL273" s="1">
        <v>755.94</v>
      </c>
      <c r="EM273" s="1">
        <v>684.21</v>
      </c>
      <c r="EN273" s="1">
        <v>720.03</v>
      </c>
      <c r="EO273" s="1">
        <v>745.7</v>
      </c>
      <c r="EP273" s="1">
        <v>755.94</v>
      </c>
      <c r="EQ273" s="1">
        <v>684.21</v>
      </c>
      <c r="ER273" s="1">
        <v>720.03</v>
      </c>
      <c r="ES273" s="1">
        <v>0</v>
      </c>
      <c r="ET273" s="1">
        <v>0</v>
      </c>
      <c r="EU273" s="1">
        <v>0</v>
      </c>
      <c r="EV273" s="1">
        <v>0</v>
      </c>
      <c r="EW273" s="1">
        <v>0</v>
      </c>
      <c r="EX273" s="1">
        <v>0</v>
      </c>
      <c r="EY273" s="1">
        <v>0</v>
      </c>
      <c r="EZ273" s="1">
        <v>0</v>
      </c>
      <c r="FA273" s="1">
        <v>0</v>
      </c>
      <c r="FB273" s="1">
        <v>0</v>
      </c>
      <c r="FC273" s="1">
        <v>0</v>
      </c>
      <c r="FD273" s="1">
        <v>0</v>
      </c>
      <c r="FE273" s="1">
        <v>93.122</v>
      </c>
      <c r="FF273" s="1">
        <v>83.63</v>
      </c>
      <c r="FG273" s="1">
        <v>79.206000000000003</v>
      </c>
      <c r="FH273" s="1">
        <v>76.587000000000003</v>
      </c>
      <c r="FI273" s="1">
        <v>54.051999999999992</v>
      </c>
      <c r="FJ273" s="1">
        <v>34.36</v>
      </c>
      <c r="FK273" s="1">
        <v>20.67</v>
      </c>
      <c r="FL273" s="1">
        <v>5.8940000000000001</v>
      </c>
      <c r="FM273" s="1">
        <v>39.07</v>
      </c>
      <c r="FN273" s="1">
        <v>49.27</v>
      </c>
      <c r="FO273" s="1">
        <v>58.536000000000001</v>
      </c>
      <c r="FP273" s="1">
        <v>70.692999999999998</v>
      </c>
      <c r="FQ273" s="1">
        <v>0</v>
      </c>
      <c r="FR273" s="1">
        <v>0</v>
      </c>
      <c r="FS273" s="1">
        <v>0</v>
      </c>
      <c r="FT273" s="1">
        <v>0</v>
      </c>
      <c r="FU273" s="1">
        <v>0</v>
      </c>
      <c r="FV273" s="1">
        <v>0</v>
      </c>
      <c r="FW273" s="1">
        <v>0</v>
      </c>
      <c r="FX273" s="1">
        <v>0</v>
      </c>
      <c r="FY273" s="1">
        <v>0</v>
      </c>
      <c r="FZ273" s="1">
        <v>0</v>
      </c>
      <c r="GA273" s="1">
        <v>0</v>
      </c>
      <c r="GB273" s="1">
        <v>0</v>
      </c>
      <c r="GC273" s="1">
        <v>41.737000000000002</v>
      </c>
      <c r="GD273" s="1">
        <v>52.15</v>
      </c>
      <c r="GE273" s="1">
        <v>42.534999999999997</v>
      </c>
      <c r="GF273" s="1">
        <v>36.548999999999999</v>
      </c>
      <c r="GG273" s="1">
        <v>41.737000000000002</v>
      </c>
      <c r="GH273" s="1">
        <v>52.15</v>
      </c>
      <c r="GI273" s="1">
        <v>42.534999999999997</v>
      </c>
      <c r="GJ273" s="1">
        <v>36.548999999999999</v>
      </c>
      <c r="GK273" s="1">
        <v>0</v>
      </c>
      <c r="GL273" s="1">
        <v>0</v>
      </c>
      <c r="GM273" s="1">
        <v>0</v>
      </c>
      <c r="GN273" s="1">
        <v>0</v>
      </c>
      <c r="GO273" s="1">
        <v>0</v>
      </c>
      <c r="GP273" s="1">
        <v>0</v>
      </c>
      <c r="GQ273" s="1">
        <v>0</v>
      </c>
      <c r="GR273" s="1">
        <v>0</v>
      </c>
      <c r="GS273" s="1">
        <v>0</v>
      </c>
      <c r="GT273" s="1">
        <v>0</v>
      </c>
      <c r="GU273" s="1">
        <v>0</v>
      </c>
      <c r="GV273" s="1">
        <v>0</v>
      </c>
      <c r="GW273" s="1">
        <v>0</v>
      </c>
      <c r="GX273" s="1">
        <v>0</v>
      </c>
      <c r="GY273" s="1">
        <v>0</v>
      </c>
      <c r="GZ273" s="1">
        <v>0</v>
      </c>
      <c r="HA273" s="1">
        <v>0</v>
      </c>
      <c r="HB273" s="1">
        <v>0</v>
      </c>
      <c r="HC273" s="1">
        <v>0</v>
      </c>
      <c r="HD273" s="1">
        <v>0</v>
      </c>
      <c r="HE273" s="1">
        <v>0</v>
      </c>
      <c r="HF273" s="1">
        <v>0</v>
      </c>
      <c r="HG273" s="1">
        <v>0</v>
      </c>
      <c r="HH273" s="1">
        <v>0</v>
      </c>
      <c r="HI273" s="1">
        <v>0</v>
      </c>
      <c r="HJ273" s="1">
        <v>0</v>
      </c>
      <c r="HK273" s="1">
        <v>0</v>
      </c>
      <c r="HL273" s="1">
        <v>0</v>
      </c>
      <c r="HM273" s="1">
        <v>0</v>
      </c>
      <c r="HN273" s="1">
        <v>0</v>
      </c>
      <c r="HO273" s="1">
        <v>0</v>
      </c>
      <c r="HP273" s="1">
        <v>0</v>
      </c>
      <c r="HQ273" s="1">
        <v>0</v>
      </c>
      <c r="HR273" s="1">
        <v>0</v>
      </c>
      <c r="HS273" s="1">
        <v>0</v>
      </c>
      <c r="HT273" s="1">
        <v>0</v>
      </c>
      <c r="HU273" s="1">
        <v>0</v>
      </c>
      <c r="HV273" s="1">
        <v>0</v>
      </c>
      <c r="HW273" s="1">
        <v>0</v>
      </c>
      <c r="HX273" s="1">
        <v>0</v>
      </c>
      <c r="HY273" s="1">
        <v>0</v>
      </c>
      <c r="HZ273" s="1">
        <v>0</v>
      </c>
      <c r="IA273" s="1">
        <v>0</v>
      </c>
      <c r="IB273" s="1">
        <v>0</v>
      </c>
      <c r="IC273" s="1">
        <v>0</v>
      </c>
      <c r="ID273" s="1">
        <v>0</v>
      </c>
      <c r="IE273" s="1">
        <v>0</v>
      </c>
      <c r="IF273" s="1">
        <v>0</v>
      </c>
      <c r="IG273" s="1">
        <v>0</v>
      </c>
      <c r="IH273" s="1">
        <v>0</v>
      </c>
      <c r="II273" s="1">
        <v>0</v>
      </c>
      <c r="IJ273" s="1">
        <v>0</v>
      </c>
      <c r="IK273" s="1">
        <v>0</v>
      </c>
      <c r="IL273" s="1">
        <v>0</v>
      </c>
      <c r="IM273" s="1">
        <v>0</v>
      </c>
      <c r="IN273" s="1">
        <v>0</v>
      </c>
      <c r="IO273" s="1">
        <v>664.98500000000001</v>
      </c>
      <c r="IP273" s="1">
        <v>93.58</v>
      </c>
      <c r="IQ273" s="1">
        <v>0</v>
      </c>
      <c r="IR273" s="1">
        <v>0</v>
      </c>
      <c r="IS273" s="1">
        <v>664.98500000000001</v>
      </c>
      <c r="IT273" s="1">
        <v>93.58</v>
      </c>
      <c r="IU273" s="1">
        <v>0</v>
      </c>
      <c r="IV273" s="1">
        <v>0</v>
      </c>
      <c r="IW273" s="1">
        <v>0</v>
      </c>
      <c r="IX273" s="1">
        <v>0</v>
      </c>
      <c r="IY273" s="1">
        <v>0</v>
      </c>
      <c r="IZ273" s="1">
        <v>0</v>
      </c>
      <c r="JA273" s="1">
        <v>0</v>
      </c>
      <c r="JB273" s="1">
        <v>0</v>
      </c>
      <c r="JC273" s="1">
        <v>0</v>
      </c>
      <c r="JD273" s="1">
        <v>0</v>
      </c>
      <c r="JE273" s="1">
        <v>0</v>
      </c>
      <c r="JF273" s="1">
        <v>0</v>
      </c>
      <c r="JG273" s="1">
        <v>0</v>
      </c>
      <c r="JH273" s="1">
        <v>0</v>
      </c>
      <c r="JI273" s="1">
        <v>0</v>
      </c>
      <c r="JJ273" s="1">
        <v>0</v>
      </c>
      <c r="JK273" s="1">
        <v>0</v>
      </c>
      <c r="JL273" s="1">
        <v>0</v>
      </c>
      <c r="JM273" s="1">
        <v>0</v>
      </c>
      <c r="JN273" s="1">
        <v>0</v>
      </c>
      <c r="JO273" s="1">
        <v>0</v>
      </c>
      <c r="JP273" s="1">
        <v>0</v>
      </c>
      <c r="JQ273" s="9"/>
      <c r="JR273" s="1">
        <f t="shared" si="60"/>
        <v>3373.4151000000006</v>
      </c>
      <c r="JS273" s="1">
        <f t="shared" si="60"/>
        <v>2960.6309999999999</v>
      </c>
      <c r="JT273" s="1">
        <f t="shared" si="60"/>
        <v>2943.2295000000017</v>
      </c>
      <c r="JU273" s="1">
        <f t="shared" si="58"/>
        <v>2886.5727000000006</v>
      </c>
      <c r="JV273" s="1">
        <f t="shared" si="61"/>
        <v>624.70650000000012</v>
      </c>
      <c r="JW273" s="1">
        <f t="shared" si="61"/>
        <v>548.26499999999999</v>
      </c>
      <c r="JX273" s="1">
        <f t="shared" si="61"/>
        <v>545.04250000000036</v>
      </c>
      <c r="JY273" s="1">
        <f t="shared" si="59"/>
        <v>534.55050000000017</v>
      </c>
    </row>
    <row r="274" spans="1:285" x14ac:dyDescent="0.35">
      <c r="A274" s="2" t="s">
        <v>281</v>
      </c>
      <c r="B274" s="1">
        <v>161026</v>
      </c>
      <c r="C274" s="1">
        <v>161864</v>
      </c>
      <c r="D274" s="1">
        <v>162484</v>
      </c>
      <c r="E274" s="1">
        <v>164189</v>
      </c>
      <c r="F274" s="1">
        <v>123458.52</v>
      </c>
      <c r="G274" s="1">
        <v>120580.72</v>
      </c>
      <c r="H274" s="1">
        <v>117338.05</v>
      </c>
      <c r="I274" s="1">
        <v>115742.93</v>
      </c>
      <c r="J274" s="1">
        <f t="shared" si="62"/>
        <v>39001.800000000003</v>
      </c>
      <c r="K274" s="1">
        <f t="shared" si="63"/>
        <v>40496.619999999995</v>
      </c>
      <c r="L274" s="1">
        <f t="shared" si="64"/>
        <v>36974.679999999993</v>
      </c>
      <c r="M274" s="1">
        <f t="shared" si="65"/>
        <v>40418.249999999993</v>
      </c>
      <c r="N274" s="1">
        <f t="shared" si="66"/>
        <v>84456.72</v>
      </c>
      <c r="O274" s="1">
        <f t="shared" si="67"/>
        <v>80084.100000000006</v>
      </c>
      <c r="P274" s="1">
        <f t="shared" si="68"/>
        <v>80363.37000000001</v>
      </c>
      <c r="Q274" s="1">
        <f t="shared" si="69"/>
        <v>75324.679999999993</v>
      </c>
      <c r="R274" s="1">
        <v>0</v>
      </c>
      <c r="S274" s="1">
        <v>0</v>
      </c>
      <c r="T274" s="1">
        <v>982.14</v>
      </c>
      <c r="U274" s="1">
        <v>4252.71</v>
      </c>
      <c r="V274" s="1">
        <v>0</v>
      </c>
      <c r="W274" s="1">
        <v>0</v>
      </c>
      <c r="X274" s="1">
        <v>0</v>
      </c>
      <c r="Y274" s="1">
        <v>0</v>
      </c>
      <c r="Z274" s="1">
        <v>0</v>
      </c>
      <c r="AA274" s="1">
        <v>0</v>
      </c>
      <c r="AB274" s="1">
        <v>708.71</v>
      </c>
      <c r="AC274" s="1">
        <v>0</v>
      </c>
      <c r="AD274" s="1">
        <v>0</v>
      </c>
      <c r="AE274" s="1">
        <v>4252.71</v>
      </c>
      <c r="AF274" s="1">
        <v>0</v>
      </c>
      <c r="AG274" s="1">
        <v>0</v>
      </c>
      <c r="AH274" s="1">
        <v>0</v>
      </c>
      <c r="AI274" s="1">
        <v>0</v>
      </c>
      <c r="AJ274" s="1">
        <v>0</v>
      </c>
      <c r="AK274" s="1">
        <v>0</v>
      </c>
      <c r="AL274" s="1">
        <v>0</v>
      </c>
      <c r="AM274" s="1">
        <v>0</v>
      </c>
      <c r="AN274" s="1">
        <v>0</v>
      </c>
      <c r="AO274" s="1">
        <v>0</v>
      </c>
      <c r="AP274" s="1">
        <v>16585.5</v>
      </c>
      <c r="AQ274" s="1">
        <v>16908.18</v>
      </c>
      <c r="AR274" s="1">
        <v>14596.31</v>
      </c>
      <c r="AS274" s="1">
        <v>14821.76</v>
      </c>
      <c r="AT274" s="1">
        <v>16585.5</v>
      </c>
      <c r="AU274" s="1">
        <v>0</v>
      </c>
      <c r="AV274" s="1">
        <v>0</v>
      </c>
      <c r="AW274" s="1">
        <v>0</v>
      </c>
      <c r="AX274" s="1">
        <v>16908.18</v>
      </c>
      <c r="AY274" s="1">
        <v>0</v>
      </c>
      <c r="AZ274" s="1">
        <v>0</v>
      </c>
      <c r="BA274" s="1">
        <v>0</v>
      </c>
      <c r="BB274" s="1">
        <v>14596.31</v>
      </c>
      <c r="BC274" s="1">
        <v>0</v>
      </c>
      <c r="BD274" s="1">
        <v>0</v>
      </c>
      <c r="BE274" s="1">
        <v>14821.76</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7614.380000000001</v>
      </c>
      <c r="BV274" s="1">
        <v>9391.48</v>
      </c>
      <c r="BW274" s="1">
        <v>8417.94</v>
      </c>
      <c r="BX274" s="1">
        <v>7041.89</v>
      </c>
      <c r="BY274" s="1">
        <v>7607.1</v>
      </c>
      <c r="BZ274" s="1">
        <v>9391.16</v>
      </c>
      <c r="CA274" s="1">
        <v>8417.94</v>
      </c>
      <c r="CB274" s="1">
        <v>7041.89</v>
      </c>
      <c r="CC274" s="1">
        <v>7.28</v>
      </c>
      <c r="CD274" s="1">
        <v>0.32</v>
      </c>
      <c r="CE274" s="1">
        <v>0</v>
      </c>
      <c r="CF274" s="1">
        <v>0</v>
      </c>
      <c r="CG274" s="1">
        <v>0</v>
      </c>
      <c r="CH274" s="1">
        <v>0</v>
      </c>
      <c r="CI274" s="1">
        <v>0</v>
      </c>
      <c r="CJ274" s="1">
        <v>0</v>
      </c>
      <c r="CK274" s="1">
        <v>0</v>
      </c>
      <c r="CL274" s="1">
        <v>0</v>
      </c>
      <c r="CM274" s="1">
        <v>0</v>
      </c>
      <c r="CN274" s="1">
        <v>0</v>
      </c>
      <c r="CO274" s="1">
        <v>0</v>
      </c>
      <c r="CP274" s="1">
        <v>0</v>
      </c>
      <c r="CQ274" s="1">
        <v>0</v>
      </c>
      <c r="CR274" s="1">
        <v>0</v>
      </c>
      <c r="CS274" s="1">
        <v>935.56999999999994</v>
      </c>
      <c r="CT274" s="1">
        <v>1177.6199999999999</v>
      </c>
      <c r="CU274" s="1">
        <v>1011.12</v>
      </c>
      <c r="CV274" s="1">
        <v>1523.14</v>
      </c>
      <c r="CW274" s="1">
        <v>935.56999999999994</v>
      </c>
      <c r="CX274" s="1">
        <v>1177.6199999999999</v>
      </c>
      <c r="CY274" s="1">
        <v>1011.12</v>
      </c>
      <c r="CZ274" s="1">
        <v>1523.14</v>
      </c>
      <c r="DA274" s="1">
        <v>0</v>
      </c>
      <c r="DB274" s="1">
        <v>0</v>
      </c>
      <c r="DC274" s="1">
        <v>0</v>
      </c>
      <c r="DD274" s="1">
        <v>0</v>
      </c>
      <c r="DE274" s="1">
        <v>0</v>
      </c>
      <c r="DF274" s="1">
        <v>0</v>
      </c>
      <c r="DG274" s="1">
        <v>0</v>
      </c>
      <c r="DH274" s="1">
        <v>0</v>
      </c>
      <c r="DI274" s="1">
        <v>0</v>
      </c>
      <c r="DJ274" s="1">
        <v>0</v>
      </c>
      <c r="DK274" s="1">
        <v>0</v>
      </c>
      <c r="DL274" s="1">
        <v>0</v>
      </c>
      <c r="DM274" s="1">
        <v>5603.13</v>
      </c>
      <c r="DN274" s="1">
        <v>4836.87</v>
      </c>
      <c r="DO274" s="1">
        <v>4507.26</v>
      </c>
      <c r="DP274" s="1">
        <v>4300.0999999999995</v>
      </c>
      <c r="DQ274" s="1">
        <v>5603.13</v>
      </c>
      <c r="DR274" s="1">
        <v>4836.87</v>
      </c>
      <c r="DS274" s="1">
        <v>4507.26</v>
      </c>
      <c r="DT274" s="1">
        <v>4300.0999999999995</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2893.2</v>
      </c>
      <c r="EL274" s="1">
        <v>2469.02</v>
      </c>
      <c r="EM274" s="1">
        <v>1931.56</v>
      </c>
      <c r="EN274" s="1">
        <v>2940.03</v>
      </c>
      <c r="EO274" s="1">
        <v>2831.83</v>
      </c>
      <c r="EP274" s="1">
        <v>2415.44</v>
      </c>
      <c r="EQ274" s="1">
        <v>1900.75</v>
      </c>
      <c r="ER274" s="1">
        <v>2895.99</v>
      </c>
      <c r="ES274" s="1">
        <v>61.37</v>
      </c>
      <c r="ET274" s="1">
        <v>53.58</v>
      </c>
      <c r="EU274" s="1">
        <v>30.81</v>
      </c>
      <c r="EV274" s="1">
        <v>44.040000000000013</v>
      </c>
      <c r="EW274" s="1">
        <v>0</v>
      </c>
      <c r="EX274" s="1">
        <v>0</v>
      </c>
      <c r="EY274" s="1">
        <v>0</v>
      </c>
      <c r="EZ274" s="1">
        <v>0</v>
      </c>
      <c r="FA274" s="1">
        <v>0</v>
      </c>
      <c r="FB274" s="1">
        <v>0</v>
      </c>
      <c r="FC274" s="1">
        <v>0</v>
      </c>
      <c r="FD274" s="1">
        <v>0</v>
      </c>
      <c r="FE274" s="1">
        <v>162.72</v>
      </c>
      <c r="FF274" s="1">
        <v>209.99</v>
      </c>
      <c r="FG274" s="1">
        <v>206.84</v>
      </c>
      <c r="FH274" s="1">
        <v>210.98</v>
      </c>
      <c r="FI274" s="1">
        <v>162.72</v>
      </c>
      <c r="FJ274" s="1">
        <v>207.59</v>
      </c>
      <c r="FK274" s="1">
        <v>206.84</v>
      </c>
      <c r="FL274" s="1">
        <v>210.98</v>
      </c>
      <c r="FM274" s="1">
        <v>0</v>
      </c>
      <c r="FN274" s="1">
        <v>2.4</v>
      </c>
      <c r="FO274" s="1">
        <v>0</v>
      </c>
      <c r="FP274" s="1">
        <v>0</v>
      </c>
      <c r="FQ274" s="1">
        <v>0</v>
      </c>
      <c r="FR274" s="1">
        <v>0</v>
      </c>
      <c r="FS274" s="1">
        <v>0</v>
      </c>
      <c r="FT274" s="1">
        <v>0</v>
      </c>
      <c r="FU274" s="1">
        <v>0</v>
      </c>
      <c r="FV274" s="1">
        <v>0</v>
      </c>
      <c r="FW274" s="1">
        <v>0</v>
      </c>
      <c r="FX274" s="1">
        <v>0</v>
      </c>
      <c r="FY274" s="1">
        <v>0</v>
      </c>
      <c r="FZ274" s="1">
        <v>0</v>
      </c>
      <c r="GA274" s="1">
        <v>0</v>
      </c>
      <c r="GB274" s="1">
        <v>0</v>
      </c>
      <c r="GC274" s="1">
        <v>1910.11</v>
      </c>
      <c r="GD274" s="1">
        <v>2220.98</v>
      </c>
      <c r="GE274" s="1">
        <v>1975.6</v>
      </c>
      <c r="GF274" s="1">
        <v>2284.77</v>
      </c>
      <c r="GG274" s="1">
        <v>1910.11</v>
      </c>
      <c r="GH274" s="1">
        <v>2220.98</v>
      </c>
      <c r="GI274" s="1">
        <v>1975.6</v>
      </c>
      <c r="GJ274" s="1">
        <v>2284.77</v>
      </c>
      <c r="GK274" s="1">
        <v>0</v>
      </c>
      <c r="GL274" s="1">
        <v>0</v>
      </c>
      <c r="GM274" s="1">
        <v>0</v>
      </c>
      <c r="GN274" s="1">
        <v>0</v>
      </c>
      <c r="GO274" s="1">
        <v>0</v>
      </c>
      <c r="GP274" s="1">
        <v>0</v>
      </c>
      <c r="GQ274" s="1">
        <v>0</v>
      </c>
      <c r="GR274" s="1">
        <v>0</v>
      </c>
      <c r="GS274" s="1">
        <v>0</v>
      </c>
      <c r="GT274" s="1">
        <v>0</v>
      </c>
      <c r="GU274" s="1">
        <v>0</v>
      </c>
      <c r="GV274" s="1">
        <v>0</v>
      </c>
      <c r="GW274" s="1">
        <v>0</v>
      </c>
      <c r="GX274" s="1">
        <v>0</v>
      </c>
      <c r="GY274" s="1">
        <v>0</v>
      </c>
      <c r="GZ274" s="1">
        <v>0</v>
      </c>
      <c r="HA274" s="1">
        <v>0</v>
      </c>
      <c r="HB274" s="1">
        <v>0</v>
      </c>
      <c r="HC274" s="1">
        <v>0</v>
      </c>
      <c r="HD274" s="1">
        <v>0</v>
      </c>
      <c r="HE274" s="1">
        <v>2309.36</v>
      </c>
      <c r="HF274" s="1">
        <v>2467.56</v>
      </c>
      <c r="HG274" s="1">
        <v>2329.17</v>
      </c>
      <c r="HH274" s="1">
        <v>2328.6</v>
      </c>
      <c r="HI274" s="1">
        <v>2309.36</v>
      </c>
      <c r="HJ274" s="1">
        <v>2467.56</v>
      </c>
      <c r="HK274" s="1">
        <v>2329.17</v>
      </c>
      <c r="HL274" s="1">
        <v>2328.6</v>
      </c>
      <c r="HM274" s="1">
        <v>0</v>
      </c>
      <c r="HN274" s="1">
        <v>0</v>
      </c>
      <c r="HO274" s="1">
        <v>0</v>
      </c>
      <c r="HP274" s="1">
        <v>0</v>
      </c>
      <c r="HQ274" s="1">
        <v>0</v>
      </c>
      <c r="HR274" s="1">
        <v>0</v>
      </c>
      <c r="HS274" s="1">
        <v>0</v>
      </c>
      <c r="HT274" s="1">
        <v>0</v>
      </c>
      <c r="HU274" s="1">
        <v>0</v>
      </c>
      <c r="HV274" s="1">
        <v>0</v>
      </c>
      <c r="HW274" s="1">
        <v>0</v>
      </c>
      <c r="HX274" s="1">
        <v>0</v>
      </c>
      <c r="HY274" s="1">
        <v>0</v>
      </c>
      <c r="HZ274" s="1">
        <v>0</v>
      </c>
      <c r="IA274" s="1">
        <v>0</v>
      </c>
      <c r="IB274" s="1">
        <v>0</v>
      </c>
      <c r="IC274" s="1">
        <v>0</v>
      </c>
      <c r="ID274" s="1">
        <v>0</v>
      </c>
      <c r="IE274" s="1">
        <v>0</v>
      </c>
      <c r="IF274" s="1">
        <v>0</v>
      </c>
      <c r="IG274" s="1">
        <v>0</v>
      </c>
      <c r="IH274" s="1">
        <v>0</v>
      </c>
      <c r="II274" s="1">
        <v>0</v>
      </c>
      <c r="IJ274" s="1">
        <v>0</v>
      </c>
      <c r="IK274" s="1">
        <v>0</v>
      </c>
      <c r="IL274" s="1">
        <v>0</v>
      </c>
      <c r="IM274" s="1">
        <v>0</v>
      </c>
      <c r="IN274" s="1">
        <v>0</v>
      </c>
      <c r="IO274" s="1">
        <v>987.83</v>
      </c>
      <c r="IP274" s="1">
        <v>814.92</v>
      </c>
      <c r="IQ274" s="1">
        <v>1016.74</v>
      </c>
      <c r="IR274" s="1">
        <v>714.27</v>
      </c>
      <c r="IS274" s="1">
        <v>966.7700000000001</v>
      </c>
      <c r="IT274" s="1">
        <v>775.39</v>
      </c>
      <c r="IU274" s="1">
        <v>962.8900000000001</v>
      </c>
      <c r="IV274" s="1">
        <v>670.64</v>
      </c>
      <c r="IW274" s="1">
        <v>21.06</v>
      </c>
      <c r="IX274" s="1">
        <v>39.53</v>
      </c>
      <c r="IY274" s="1">
        <v>53.85</v>
      </c>
      <c r="IZ274" s="1">
        <v>43.63</v>
      </c>
      <c r="JA274" s="1">
        <v>0</v>
      </c>
      <c r="JB274" s="1">
        <v>0</v>
      </c>
      <c r="JC274" s="1">
        <v>0</v>
      </c>
      <c r="JD274" s="1">
        <v>0</v>
      </c>
      <c r="JE274" s="1">
        <v>0</v>
      </c>
      <c r="JF274" s="1">
        <v>0</v>
      </c>
      <c r="JG274" s="1">
        <v>0</v>
      </c>
      <c r="JH274" s="1">
        <v>0</v>
      </c>
      <c r="JI274" s="1">
        <v>0</v>
      </c>
      <c r="JJ274" s="1">
        <v>0</v>
      </c>
      <c r="JK274" s="1">
        <v>0</v>
      </c>
      <c r="JL274" s="1">
        <v>0</v>
      </c>
      <c r="JM274" s="1">
        <v>0</v>
      </c>
      <c r="JN274" s="1">
        <v>0</v>
      </c>
      <c r="JO274" s="1">
        <v>0</v>
      </c>
      <c r="JP274" s="1">
        <v>0</v>
      </c>
      <c r="JQ274" s="9"/>
      <c r="JR274" s="1">
        <f t="shared" si="60"/>
        <v>22803.314400000003</v>
      </c>
      <c r="JS274" s="1">
        <f t="shared" si="60"/>
        <v>21622.707000000002</v>
      </c>
      <c r="JT274" s="1">
        <f t="shared" si="60"/>
        <v>21698.109900000003</v>
      </c>
      <c r="JU274" s="1">
        <f t="shared" si="58"/>
        <v>20337.6636</v>
      </c>
      <c r="JV274" s="1">
        <f t="shared" si="61"/>
        <v>4222.8360000000002</v>
      </c>
      <c r="JW274" s="1">
        <f t="shared" si="61"/>
        <v>4004.2050000000004</v>
      </c>
      <c r="JX274" s="1">
        <f t="shared" si="61"/>
        <v>4018.1685000000007</v>
      </c>
      <c r="JY274" s="1">
        <f t="shared" si="59"/>
        <v>3766.2339999999999</v>
      </c>
    </row>
    <row r="275" spans="1:285" x14ac:dyDescent="0.35">
      <c r="A275" s="2" t="s">
        <v>282</v>
      </c>
      <c r="B275" s="1">
        <v>56236</v>
      </c>
      <c r="C275" s="1">
        <v>57480</v>
      </c>
      <c r="D275" s="1">
        <v>58218</v>
      </c>
      <c r="E275" s="1">
        <v>58920</v>
      </c>
      <c r="F275" s="1">
        <v>12133.224</v>
      </c>
      <c r="G275" s="1">
        <v>11638.306</v>
      </c>
      <c r="H275" s="1">
        <v>10903.558000000001</v>
      </c>
      <c r="I275" s="1">
        <v>11807.615</v>
      </c>
      <c r="J275" s="1">
        <f t="shared" si="62"/>
        <v>9732.9530000000013</v>
      </c>
      <c r="K275" s="1">
        <f t="shared" si="63"/>
        <v>9686.0999999999985</v>
      </c>
      <c r="L275" s="1">
        <f t="shared" si="64"/>
        <v>9087.625</v>
      </c>
      <c r="M275" s="1">
        <f t="shared" si="65"/>
        <v>9295.0419999999958</v>
      </c>
      <c r="N275" s="1">
        <f t="shared" si="66"/>
        <v>2400.2709999999988</v>
      </c>
      <c r="O275" s="1">
        <f t="shared" si="67"/>
        <v>1952.2060000000019</v>
      </c>
      <c r="P275" s="1">
        <f t="shared" si="68"/>
        <v>1815.9330000000009</v>
      </c>
      <c r="Q275" s="1">
        <f t="shared" si="69"/>
        <v>2512.573000000004</v>
      </c>
      <c r="R275" s="1">
        <v>2096.96</v>
      </c>
      <c r="S275" s="1">
        <v>2074.64</v>
      </c>
      <c r="T275" s="1">
        <v>1968.38</v>
      </c>
      <c r="U275" s="1">
        <v>1930.62</v>
      </c>
      <c r="V275" s="1">
        <v>0</v>
      </c>
      <c r="W275" s="1">
        <v>0</v>
      </c>
      <c r="X275" s="1">
        <v>2096.96</v>
      </c>
      <c r="Y275" s="1">
        <v>0</v>
      </c>
      <c r="Z275" s="1">
        <v>0</v>
      </c>
      <c r="AA275" s="1">
        <v>2074.64</v>
      </c>
      <c r="AB275" s="1">
        <v>0</v>
      </c>
      <c r="AC275" s="1">
        <v>0</v>
      </c>
      <c r="AD275" s="1">
        <v>1968.38</v>
      </c>
      <c r="AE275" s="1">
        <v>0</v>
      </c>
      <c r="AF275" s="1">
        <v>0</v>
      </c>
      <c r="AG275" s="1">
        <v>1930.62</v>
      </c>
      <c r="AH275" s="1">
        <v>0</v>
      </c>
      <c r="AI275" s="1">
        <v>0</v>
      </c>
      <c r="AJ275" s="1">
        <v>0</v>
      </c>
      <c r="AK275" s="1">
        <v>0</v>
      </c>
      <c r="AL275" s="1">
        <v>0</v>
      </c>
      <c r="AM275" s="1">
        <v>0</v>
      </c>
      <c r="AN275" s="1">
        <v>0</v>
      </c>
      <c r="AO275" s="1">
        <v>0</v>
      </c>
      <c r="AP275" s="1">
        <v>2514.9100000000003</v>
      </c>
      <c r="AQ275" s="1">
        <v>2493.42</v>
      </c>
      <c r="AR275" s="1">
        <v>2395.7200000000003</v>
      </c>
      <c r="AS275" s="1">
        <v>2548.21</v>
      </c>
      <c r="AT275" s="1">
        <v>0</v>
      </c>
      <c r="AU275" s="1">
        <v>2514.9100000000003</v>
      </c>
      <c r="AV275" s="1">
        <v>0</v>
      </c>
      <c r="AW275" s="1">
        <v>0</v>
      </c>
      <c r="AX275" s="1">
        <v>0</v>
      </c>
      <c r="AY275" s="1">
        <v>2493.42</v>
      </c>
      <c r="AZ275" s="1">
        <v>0</v>
      </c>
      <c r="BA275" s="1">
        <v>0</v>
      </c>
      <c r="BB275" s="1">
        <v>0</v>
      </c>
      <c r="BC275" s="1">
        <v>2395.7200000000003</v>
      </c>
      <c r="BD275" s="1">
        <v>0</v>
      </c>
      <c r="BE275" s="1">
        <v>0</v>
      </c>
      <c r="BF275" s="1">
        <v>2548.21</v>
      </c>
      <c r="BG275" s="1">
        <v>0</v>
      </c>
      <c r="BH275" s="1">
        <v>0</v>
      </c>
      <c r="BI275" s="1">
        <v>0</v>
      </c>
      <c r="BJ275" s="1">
        <v>0</v>
      </c>
      <c r="BK275" s="1">
        <v>0</v>
      </c>
      <c r="BL275" s="1">
        <v>0</v>
      </c>
      <c r="BM275" s="1">
        <v>0</v>
      </c>
      <c r="BN275" s="1">
        <v>0</v>
      </c>
      <c r="BO275" s="1">
        <v>0</v>
      </c>
      <c r="BP275" s="1">
        <v>0</v>
      </c>
      <c r="BQ275" s="1">
        <v>0</v>
      </c>
      <c r="BR275" s="1">
        <v>0</v>
      </c>
      <c r="BS275" s="1">
        <v>0</v>
      </c>
      <c r="BT275" s="1">
        <v>0</v>
      </c>
      <c r="BU275" s="1">
        <v>2085.3090000000002</v>
      </c>
      <c r="BV275" s="1">
        <v>2067.5889999999999</v>
      </c>
      <c r="BW275" s="1">
        <v>1866.3340000000001</v>
      </c>
      <c r="BX275" s="1">
        <v>2099.8200000000002</v>
      </c>
      <c r="BY275" s="1">
        <v>2081.3449999999998</v>
      </c>
      <c r="BZ275" s="1">
        <v>2064.4140000000002</v>
      </c>
      <c r="CA275" s="1">
        <v>1859.3389999999999</v>
      </c>
      <c r="CB275" s="1">
        <v>2096.0259999999998</v>
      </c>
      <c r="CC275" s="1">
        <v>3.964</v>
      </c>
      <c r="CD275" s="1">
        <v>3.1749999999999998</v>
      </c>
      <c r="CE275" s="1">
        <v>6.9950000000000001</v>
      </c>
      <c r="CF275" s="1">
        <v>3.794</v>
      </c>
      <c r="CG275" s="1">
        <v>0</v>
      </c>
      <c r="CH275" s="1">
        <v>0</v>
      </c>
      <c r="CI275" s="1">
        <v>0</v>
      </c>
      <c r="CJ275" s="1">
        <v>0</v>
      </c>
      <c r="CK275" s="1">
        <v>0</v>
      </c>
      <c r="CL275" s="1">
        <v>0</v>
      </c>
      <c r="CM275" s="1">
        <v>0</v>
      </c>
      <c r="CN275" s="1">
        <v>0</v>
      </c>
      <c r="CO275" s="1">
        <v>0</v>
      </c>
      <c r="CP275" s="1">
        <v>0</v>
      </c>
      <c r="CQ275" s="1">
        <v>0</v>
      </c>
      <c r="CR275" s="1">
        <v>0</v>
      </c>
      <c r="CS275" s="1">
        <v>670.18299999999999</v>
      </c>
      <c r="CT275" s="1">
        <v>628.75800000000004</v>
      </c>
      <c r="CU275" s="1">
        <v>593.33000000000004</v>
      </c>
      <c r="CV275" s="1">
        <v>584.346</v>
      </c>
      <c r="CW275" s="1">
        <v>670.18299999999999</v>
      </c>
      <c r="CX275" s="1">
        <v>628.75800000000004</v>
      </c>
      <c r="CY275" s="1">
        <v>593.33000000000004</v>
      </c>
      <c r="CZ275" s="1">
        <v>584.346</v>
      </c>
      <c r="DA275" s="1">
        <v>0</v>
      </c>
      <c r="DB275" s="1">
        <v>0</v>
      </c>
      <c r="DC275" s="1">
        <v>0</v>
      </c>
      <c r="DD275" s="1">
        <v>0</v>
      </c>
      <c r="DE275" s="1">
        <v>0</v>
      </c>
      <c r="DF275" s="1">
        <v>0</v>
      </c>
      <c r="DG275" s="1">
        <v>0</v>
      </c>
      <c r="DH275" s="1">
        <v>0</v>
      </c>
      <c r="DI275" s="1">
        <v>0</v>
      </c>
      <c r="DJ275" s="1">
        <v>0</v>
      </c>
      <c r="DK275" s="1">
        <v>0</v>
      </c>
      <c r="DL275" s="1">
        <v>0</v>
      </c>
      <c r="DM275" s="1">
        <v>2156.08</v>
      </c>
      <c r="DN275" s="1">
        <v>2164.8000000000002</v>
      </c>
      <c r="DO275" s="1">
        <v>2030.39</v>
      </c>
      <c r="DP275" s="1">
        <v>1854.74</v>
      </c>
      <c r="DQ275" s="1">
        <v>2156.08</v>
      </c>
      <c r="DR275" s="1">
        <v>2164.8000000000002</v>
      </c>
      <c r="DS275" s="1">
        <v>2030.39</v>
      </c>
      <c r="DT275" s="1">
        <v>1854.74</v>
      </c>
      <c r="DU275" s="1">
        <v>0</v>
      </c>
      <c r="DV275" s="1">
        <v>0</v>
      </c>
      <c r="DW275" s="1">
        <v>0</v>
      </c>
      <c r="DX275" s="1">
        <v>0</v>
      </c>
      <c r="DY275" s="1">
        <v>0</v>
      </c>
      <c r="DZ275" s="1">
        <v>0</v>
      </c>
      <c r="EA275" s="1">
        <v>0</v>
      </c>
      <c r="EB275" s="1">
        <v>0</v>
      </c>
      <c r="EC275" s="1">
        <v>0</v>
      </c>
      <c r="ED275" s="1">
        <v>0</v>
      </c>
      <c r="EE275" s="1">
        <v>0</v>
      </c>
      <c r="EF275" s="1">
        <v>0</v>
      </c>
      <c r="EG275" s="1">
        <v>0</v>
      </c>
      <c r="EH275" s="1">
        <v>0</v>
      </c>
      <c r="EI275" s="1">
        <v>0</v>
      </c>
      <c r="EJ275" s="1">
        <v>0</v>
      </c>
      <c r="EK275" s="1">
        <v>174.6</v>
      </c>
      <c r="EL275" s="1">
        <v>213.172</v>
      </c>
      <c r="EM275" s="1">
        <v>179.97900000000001</v>
      </c>
      <c r="EN275" s="1">
        <v>204.63</v>
      </c>
      <c r="EO275" s="1">
        <v>174.6</v>
      </c>
      <c r="EP275" s="1">
        <v>213.172</v>
      </c>
      <c r="EQ275" s="1">
        <v>179.97900000000001</v>
      </c>
      <c r="ER275" s="1">
        <v>204.63</v>
      </c>
      <c r="ES275" s="1">
        <v>0</v>
      </c>
      <c r="ET275" s="1">
        <v>0</v>
      </c>
      <c r="EU275" s="1">
        <v>0</v>
      </c>
      <c r="EV275" s="1">
        <v>0</v>
      </c>
      <c r="EW275" s="1">
        <v>0</v>
      </c>
      <c r="EX275" s="1">
        <v>0</v>
      </c>
      <c r="EY275" s="1">
        <v>0</v>
      </c>
      <c r="EZ275" s="1">
        <v>0</v>
      </c>
      <c r="FA275" s="1">
        <v>0</v>
      </c>
      <c r="FB275" s="1">
        <v>0</v>
      </c>
      <c r="FC275" s="1">
        <v>0</v>
      </c>
      <c r="FD275" s="1">
        <v>0</v>
      </c>
      <c r="FE275" s="1">
        <v>23.795999999999999</v>
      </c>
      <c r="FF275" s="1">
        <v>31.731000000000002</v>
      </c>
      <c r="FG275" s="1">
        <v>36.363999999999997</v>
      </c>
      <c r="FH275" s="1">
        <v>58.06</v>
      </c>
      <c r="FI275" s="1">
        <v>0</v>
      </c>
      <c r="FJ275" s="1">
        <v>0</v>
      </c>
      <c r="FK275" s="1">
        <v>0</v>
      </c>
      <c r="FL275" s="1">
        <v>0</v>
      </c>
      <c r="FM275" s="1">
        <v>23.795999999999999</v>
      </c>
      <c r="FN275" s="1">
        <v>31.731000000000002</v>
      </c>
      <c r="FO275" s="1">
        <v>36.363999999999997</v>
      </c>
      <c r="FP275" s="1">
        <v>58.06</v>
      </c>
      <c r="FQ275" s="1">
        <v>0</v>
      </c>
      <c r="FR275" s="1">
        <v>0</v>
      </c>
      <c r="FS275" s="1">
        <v>0</v>
      </c>
      <c r="FT275" s="1">
        <v>0</v>
      </c>
      <c r="FU275" s="1">
        <v>0</v>
      </c>
      <c r="FV275" s="1">
        <v>0</v>
      </c>
      <c r="FW275" s="1">
        <v>0</v>
      </c>
      <c r="FX275" s="1">
        <v>0</v>
      </c>
      <c r="FY275" s="1">
        <v>0</v>
      </c>
      <c r="FZ275" s="1">
        <v>0</v>
      </c>
      <c r="GA275" s="1">
        <v>0</v>
      </c>
      <c r="GB275" s="1">
        <v>0</v>
      </c>
      <c r="GC275" s="1">
        <v>10.035</v>
      </c>
      <c r="GD275" s="1">
        <v>8.91</v>
      </c>
      <c r="GE275" s="1">
        <v>11.61</v>
      </c>
      <c r="GF275" s="1">
        <v>12.015000000000001</v>
      </c>
      <c r="GG275" s="1">
        <v>10.035</v>
      </c>
      <c r="GH275" s="1">
        <v>8.91</v>
      </c>
      <c r="GI275" s="1">
        <v>11.61</v>
      </c>
      <c r="GJ275" s="1">
        <v>12.015000000000001</v>
      </c>
      <c r="GK275" s="1">
        <v>0</v>
      </c>
      <c r="GL275" s="1">
        <v>0</v>
      </c>
      <c r="GM275" s="1">
        <v>0</v>
      </c>
      <c r="GN275" s="1">
        <v>0</v>
      </c>
      <c r="GO275" s="1">
        <v>0</v>
      </c>
      <c r="GP275" s="1">
        <v>0</v>
      </c>
      <c r="GQ275" s="1">
        <v>0</v>
      </c>
      <c r="GR275" s="1">
        <v>0</v>
      </c>
      <c r="GS275" s="1">
        <v>0</v>
      </c>
      <c r="GT275" s="1">
        <v>0</v>
      </c>
      <c r="GU275" s="1">
        <v>0</v>
      </c>
      <c r="GV275" s="1">
        <v>0</v>
      </c>
      <c r="GW275" s="1">
        <v>0</v>
      </c>
      <c r="GX275" s="1">
        <v>0</v>
      </c>
      <c r="GY275" s="1">
        <v>0</v>
      </c>
      <c r="GZ275" s="1">
        <v>0</v>
      </c>
      <c r="HA275" s="1">
        <v>0</v>
      </c>
      <c r="HB275" s="1">
        <v>0</v>
      </c>
      <c r="HC275" s="1">
        <v>0</v>
      </c>
      <c r="HD275" s="1">
        <v>0</v>
      </c>
      <c r="HE275" s="1">
        <v>1.08</v>
      </c>
      <c r="HF275" s="1">
        <v>0.55200000000000005</v>
      </c>
      <c r="HG275" s="1">
        <v>0.63</v>
      </c>
      <c r="HH275" s="1">
        <v>1.7010000000000001</v>
      </c>
      <c r="HI275" s="1">
        <v>1.08</v>
      </c>
      <c r="HJ275" s="1">
        <v>0.55200000000000005</v>
      </c>
      <c r="HK275" s="1">
        <v>0.63</v>
      </c>
      <c r="HL275" s="1">
        <v>1.7010000000000001</v>
      </c>
      <c r="HM275" s="1">
        <v>0</v>
      </c>
      <c r="HN275" s="1">
        <v>0</v>
      </c>
      <c r="HO275" s="1">
        <v>0</v>
      </c>
      <c r="HP275" s="1">
        <v>0</v>
      </c>
      <c r="HQ275" s="1">
        <v>0</v>
      </c>
      <c r="HR275" s="1">
        <v>0</v>
      </c>
      <c r="HS275" s="1">
        <v>0</v>
      </c>
      <c r="HT275" s="1">
        <v>0</v>
      </c>
      <c r="HU275" s="1">
        <v>0</v>
      </c>
      <c r="HV275" s="1">
        <v>0</v>
      </c>
      <c r="HW275" s="1">
        <v>0</v>
      </c>
      <c r="HX275" s="1">
        <v>0</v>
      </c>
      <c r="HY275" s="1">
        <v>0</v>
      </c>
      <c r="HZ275" s="1">
        <v>0</v>
      </c>
      <c r="IA275" s="1">
        <v>0</v>
      </c>
      <c r="IB275" s="1">
        <v>0</v>
      </c>
      <c r="IC275" s="1">
        <v>0</v>
      </c>
      <c r="ID275" s="1">
        <v>0</v>
      </c>
      <c r="IE275" s="1">
        <v>0</v>
      </c>
      <c r="IF275" s="1">
        <v>0</v>
      </c>
      <c r="IG275" s="1">
        <v>0</v>
      </c>
      <c r="IH275" s="1">
        <v>0</v>
      </c>
      <c r="II275" s="1">
        <v>0</v>
      </c>
      <c r="IJ275" s="1">
        <v>0</v>
      </c>
      <c r="IK275" s="1">
        <v>0</v>
      </c>
      <c r="IL275" s="1">
        <v>0</v>
      </c>
      <c r="IM275" s="1">
        <v>0</v>
      </c>
      <c r="IN275" s="1">
        <v>0</v>
      </c>
      <c r="IO275" s="1">
        <v>0</v>
      </c>
      <c r="IP275" s="1">
        <v>2.528</v>
      </c>
      <c r="IQ275" s="1">
        <v>4.8879999999999999</v>
      </c>
      <c r="IR275" s="1">
        <v>0.9</v>
      </c>
      <c r="IS275" s="1">
        <v>0</v>
      </c>
      <c r="IT275" s="1">
        <v>2.528</v>
      </c>
      <c r="IU275" s="1">
        <v>4.8879999999999999</v>
      </c>
      <c r="IV275" s="1">
        <v>0.9</v>
      </c>
      <c r="IW275" s="1">
        <v>0</v>
      </c>
      <c r="IX275" s="1">
        <v>0</v>
      </c>
      <c r="IY275" s="1">
        <v>0</v>
      </c>
      <c r="IZ275" s="1">
        <v>0</v>
      </c>
      <c r="JA275" s="1">
        <v>0</v>
      </c>
      <c r="JB275" s="1">
        <v>0</v>
      </c>
      <c r="JC275" s="1">
        <v>0</v>
      </c>
      <c r="JD275" s="1">
        <v>0</v>
      </c>
      <c r="JE275" s="1">
        <v>0</v>
      </c>
      <c r="JF275" s="1">
        <v>0</v>
      </c>
      <c r="JG275" s="1">
        <v>0</v>
      </c>
      <c r="JH275" s="1">
        <v>0</v>
      </c>
      <c r="JI275" s="1">
        <v>0</v>
      </c>
      <c r="JJ275" s="1">
        <v>0</v>
      </c>
      <c r="JK275" s="1">
        <v>0</v>
      </c>
      <c r="JL275" s="1">
        <v>0</v>
      </c>
      <c r="JM275" s="1">
        <v>0</v>
      </c>
      <c r="JN275" s="1">
        <v>0</v>
      </c>
      <c r="JO275" s="1">
        <v>0</v>
      </c>
      <c r="JP275" s="1">
        <v>0</v>
      </c>
      <c r="JQ275" s="9"/>
      <c r="JR275" s="1">
        <f t="shared" si="60"/>
        <v>648.07316999999978</v>
      </c>
      <c r="JS275" s="1">
        <f t="shared" si="60"/>
        <v>527.09562000000051</v>
      </c>
      <c r="JT275" s="1">
        <f t="shared" si="60"/>
        <v>490.30191000000025</v>
      </c>
      <c r="JU275" s="1">
        <f t="shared" si="58"/>
        <v>678.39471000000117</v>
      </c>
      <c r="JV275" s="1">
        <f t="shared" si="61"/>
        <v>120.01354999999995</v>
      </c>
      <c r="JW275" s="1">
        <f t="shared" si="61"/>
        <v>97.610300000000109</v>
      </c>
      <c r="JX275" s="1">
        <f t="shared" si="61"/>
        <v>90.796650000000056</v>
      </c>
      <c r="JY275" s="1">
        <f t="shared" si="59"/>
        <v>125.62865000000021</v>
      </c>
    </row>
    <row r="276" spans="1:285" x14ac:dyDescent="0.35">
      <c r="A276" s="2" t="s">
        <v>283</v>
      </c>
      <c r="B276" s="1">
        <v>116198</v>
      </c>
      <c r="C276" s="1">
        <v>117099</v>
      </c>
      <c r="D276" s="1">
        <v>119401</v>
      </c>
      <c r="E276" s="1">
        <v>120157</v>
      </c>
      <c r="F276" s="1">
        <v>35951.963000000003</v>
      </c>
      <c r="G276" s="1">
        <v>45007.213000000003</v>
      </c>
      <c r="H276" s="1">
        <v>35495.019999999997</v>
      </c>
      <c r="I276" s="1">
        <v>41762.129999999997</v>
      </c>
      <c r="J276" s="1">
        <f t="shared" si="62"/>
        <v>22364.543000000001</v>
      </c>
      <c r="K276" s="1">
        <f t="shared" si="63"/>
        <v>22138.201000000001</v>
      </c>
      <c r="L276" s="1">
        <f t="shared" si="64"/>
        <v>20552.710000000003</v>
      </c>
      <c r="M276" s="1">
        <f t="shared" si="65"/>
        <v>19965.45</v>
      </c>
      <c r="N276" s="1">
        <f t="shared" si="66"/>
        <v>13587.420000000002</v>
      </c>
      <c r="O276" s="1">
        <f t="shared" si="67"/>
        <v>22869.012000000002</v>
      </c>
      <c r="P276" s="1">
        <f t="shared" si="68"/>
        <v>14942.309999999994</v>
      </c>
      <c r="Q276" s="1">
        <f t="shared" si="69"/>
        <v>21796.679999999997</v>
      </c>
      <c r="R276" s="1">
        <v>0</v>
      </c>
      <c r="S276" s="1">
        <v>0</v>
      </c>
      <c r="T276" s="1">
        <v>0</v>
      </c>
      <c r="U276" s="1">
        <v>0</v>
      </c>
      <c r="V276" s="1">
        <v>0</v>
      </c>
      <c r="W276" s="1">
        <v>0</v>
      </c>
      <c r="X276" s="1">
        <v>0</v>
      </c>
      <c r="Y276" s="1">
        <v>0</v>
      </c>
      <c r="Z276" s="1">
        <v>0</v>
      </c>
      <c r="AA276" s="1">
        <v>0</v>
      </c>
      <c r="AB276" s="1">
        <v>0</v>
      </c>
      <c r="AC276" s="1">
        <v>0</v>
      </c>
      <c r="AD276" s="1">
        <v>0</v>
      </c>
      <c r="AE276" s="1">
        <v>0</v>
      </c>
      <c r="AF276" s="1">
        <v>0</v>
      </c>
      <c r="AG276" s="1">
        <v>0</v>
      </c>
      <c r="AH276" s="1">
        <v>0</v>
      </c>
      <c r="AI276" s="1">
        <v>0</v>
      </c>
      <c r="AJ276" s="1">
        <v>0</v>
      </c>
      <c r="AK276" s="1">
        <v>0</v>
      </c>
      <c r="AL276" s="1">
        <v>0</v>
      </c>
      <c r="AM276" s="1">
        <v>0</v>
      </c>
      <c r="AN276" s="1">
        <v>0</v>
      </c>
      <c r="AO276" s="1">
        <v>0</v>
      </c>
      <c r="AP276" s="1">
        <v>9212.5300000000007</v>
      </c>
      <c r="AQ276" s="1">
        <v>8725.2899999999991</v>
      </c>
      <c r="AR276" s="1">
        <v>7967.72</v>
      </c>
      <c r="AS276" s="1">
        <v>8345.130000000001</v>
      </c>
      <c r="AT276" s="1">
        <v>0</v>
      </c>
      <c r="AU276" s="1">
        <v>9212.5300000000007</v>
      </c>
      <c r="AV276" s="1">
        <v>0</v>
      </c>
      <c r="AW276" s="1">
        <v>0</v>
      </c>
      <c r="AX276" s="1">
        <v>0</v>
      </c>
      <c r="AY276" s="1">
        <v>8725.2899999999991</v>
      </c>
      <c r="AZ276" s="1">
        <v>0</v>
      </c>
      <c r="BA276" s="1">
        <v>0</v>
      </c>
      <c r="BB276" s="1">
        <v>0</v>
      </c>
      <c r="BC276" s="1">
        <v>7967.72</v>
      </c>
      <c r="BD276" s="1">
        <v>0</v>
      </c>
      <c r="BE276" s="1">
        <v>0</v>
      </c>
      <c r="BF276" s="1">
        <v>8345.130000000001</v>
      </c>
      <c r="BG276" s="1">
        <v>0</v>
      </c>
      <c r="BH276" s="1">
        <v>0</v>
      </c>
      <c r="BI276" s="1">
        <v>0</v>
      </c>
      <c r="BJ276" s="1">
        <v>0</v>
      </c>
      <c r="BK276" s="1">
        <v>0</v>
      </c>
      <c r="BL276" s="1">
        <v>0</v>
      </c>
      <c r="BM276" s="1">
        <v>0</v>
      </c>
      <c r="BN276" s="1">
        <v>0</v>
      </c>
      <c r="BO276" s="1">
        <v>0</v>
      </c>
      <c r="BP276" s="1">
        <v>0</v>
      </c>
      <c r="BQ276" s="1">
        <v>0</v>
      </c>
      <c r="BR276" s="1">
        <v>0</v>
      </c>
      <c r="BS276" s="1">
        <v>0</v>
      </c>
      <c r="BT276" s="1">
        <v>0</v>
      </c>
      <c r="BU276" s="1">
        <v>5927.51</v>
      </c>
      <c r="BV276" s="1">
        <v>5823.53</v>
      </c>
      <c r="BW276" s="1">
        <v>5264.37</v>
      </c>
      <c r="BX276" s="1">
        <v>5222.63</v>
      </c>
      <c r="BY276" s="1">
        <v>5695.18</v>
      </c>
      <c r="BZ276" s="1">
        <v>5823.53</v>
      </c>
      <c r="CA276" s="1">
        <v>5264.37</v>
      </c>
      <c r="CB276" s="1">
        <v>5222.63</v>
      </c>
      <c r="CC276" s="1">
        <v>0</v>
      </c>
      <c r="CD276" s="1">
        <v>0</v>
      </c>
      <c r="CE276" s="1">
        <v>0</v>
      </c>
      <c r="CF276" s="1">
        <v>0</v>
      </c>
      <c r="CG276" s="1">
        <v>0</v>
      </c>
      <c r="CH276" s="1">
        <v>0</v>
      </c>
      <c r="CI276" s="1">
        <v>0</v>
      </c>
      <c r="CJ276" s="1">
        <v>0</v>
      </c>
      <c r="CK276" s="1">
        <v>177.41</v>
      </c>
      <c r="CL276" s="1">
        <v>0</v>
      </c>
      <c r="CM276" s="1">
        <v>0</v>
      </c>
      <c r="CN276" s="1">
        <v>0</v>
      </c>
      <c r="CO276" s="1">
        <v>54.92</v>
      </c>
      <c r="CP276" s="1">
        <v>0</v>
      </c>
      <c r="CQ276" s="1">
        <v>0</v>
      </c>
      <c r="CR276" s="1">
        <v>0</v>
      </c>
      <c r="CS276" s="1">
        <v>1108.5899999999999</v>
      </c>
      <c r="CT276" s="1">
        <v>1264.9159999999999</v>
      </c>
      <c r="CU276" s="1">
        <v>852.94</v>
      </c>
      <c r="CV276" s="1">
        <v>862.30000000000007</v>
      </c>
      <c r="CW276" s="1">
        <v>1108.5899999999999</v>
      </c>
      <c r="CX276" s="1">
        <v>1264.9159999999999</v>
      </c>
      <c r="CY276" s="1">
        <v>852.94</v>
      </c>
      <c r="CZ276" s="1">
        <v>862.30000000000007</v>
      </c>
      <c r="DA276" s="1">
        <v>0</v>
      </c>
      <c r="DB276" s="1">
        <v>0</v>
      </c>
      <c r="DC276" s="1">
        <v>0</v>
      </c>
      <c r="DD276" s="1">
        <v>0</v>
      </c>
      <c r="DE276" s="1">
        <v>0</v>
      </c>
      <c r="DF276" s="1">
        <v>0</v>
      </c>
      <c r="DG276" s="1">
        <v>0</v>
      </c>
      <c r="DH276" s="1">
        <v>0</v>
      </c>
      <c r="DI276" s="1">
        <v>0</v>
      </c>
      <c r="DJ276" s="1">
        <v>0</v>
      </c>
      <c r="DK276" s="1">
        <v>0</v>
      </c>
      <c r="DL276" s="1">
        <v>0</v>
      </c>
      <c r="DM276" s="1">
        <v>3982.03</v>
      </c>
      <c r="DN276" s="1">
        <v>3691.4290000000001</v>
      </c>
      <c r="DO276" s="1">
        <v>3791.46</v>
      </c>
      <c r="DP276" s="1">
        <v>3454.65</v>
      </c>
      <c r="DQ276" s="1">
        <v>3982.03</v>
      </c>
      <c r="DR276" s="1">
        <v>3691.4290000000001</v>
      </c>
      <c r="DS276" s="1">
        <v>3791.46</v>
      </c>
      <c r="DT276" s="1">
        <v>3454.65</v>
      </c>
      <c r="DU276" s="1">
        <v>0</v>
      </c>
      <c r="DV276" s="1">
        <v>0</v>
      </c>
      <c r="DW276" s="1">
        <v>0</v>
      </c>
      <c r="DX276" s="1">
        <v>0</v>
      </c>
      <c r="DY276" s="1">
        <v>0</v>
      </c>
      <c r="DZ276" s="1">
        <v>0</v>
      </c>
      <c r="EA276" s="1">
        <v>0</v>
      </c>
      <c r="EB276" s="1">
        <v>0</v>
      </c>
      <c r="EC276" s="1">
        <v>0</v>
      </c>
      <c r="ED276" s="1">
        <v>0</v>
      </c>
      <c r="EE276" s="1">
        <v>0</v>
      </c>
      <c r="EF276" s="1">
        <v>0</v>
      </c>
      <c r="EG276" s="1">
        <v>0</v>
      </c>
      <c r="EH276" s="1">
        <v>0</v>
      </c>
      <c r="EI276" s="1">
        <v>0</v>
      </c>
      <c r="EJ276" s="1">
        <v>0</v>
      </c>
      <c r="EK276" s="1">
        <v>1431.04</v>
      </c>
      <c r="EL276" s="1">
        <v>1215.558</v>
      </c>
      <c r="EM276" s="1">
        <v>1152.2</v>
      </c>
      <c r="EN276" s="1">
        <v>877.7</v>
      </c>
      <c r="EO276" s="1">
        <v>1431.04</v>
      </c>
      <c r="EP276" s="1">
        <v>1215.558</v>
      </c>
      <c r="EQ276" s="1">
        <v>1152.2</v>
      </c>
      <c r="ER276" s="1">
        <v>877.7</v>
      </c>
      <c r="ES276" s="1">
        <v>0</v>
      </c>
      <c r="ET276" s="1">
        <v>0</v>
      </c>
      <c r="EU276" s="1">
        <v>0</v>
      </c>
      <c r="EV276" s="1">
        <v>0</v>
      </c>
      <c r="EW276" s="1">
        <v>0</v>
      </c>
      <c r="EX276" s="1">
        <v>0</v>
      </c>
      <c r="EY276" s="1">
        <v>0</v>
      </c>
      <c r="EZ276" s="1">
        <v>0</v>
      </c>
      <c r="FA276" s="1">
        <v>0</v>
      </c>
      <c r="FB276" s="1">
        <v>0</v>
      </c>
      <c r="FC276" s="1">
        <v>0</v>
      </c>
      <c r="FD276" s="1">
        <v>0</v>
      </c>
      <c r="FE276" s="1">
        <v>42.282999999999987</v>
      </c>
      <c r="FF276" s="1">
        <v>145.18</v>
      </c>
      <c r="FG276" s="1">
        <v>27.14</v>
      </c>
      <c r="FH276" s="1">
        <v>19.37</v>
      </c>
      <c r="FI276" s="1">
        <v>42.282999999999987</v>
      </c>
      <c r="FJ276" s="1">
        <v>145.18</v>
      </c>
      <c r="FK276" s="1">
        <v>27.14</v>
      </c>
      <c r="FL276" s="1">
        <v>19.37</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v>0</v>
      </c>
      <c r="GC276" s="1">
        <v>33.119999999999997</v>
      </c>
      <c r="GD276" s="1">
        <v>3.9809999999999999</v>
      </c>
      <c r="GE276" s="1">
        <v>4.08</v>
      </c>
      <c r="GF276" s="1">
        <v>29.67</v>
      </c>
      <c r="GG276" s="1">
        <v>33.119999999999997</v>
      </c>
      <c r="GH276" s="1">
        <v>3.9809999999999999</v>
      </c>
      <c r="GI276" s="1">
        <v>4.08</v>
      </c>
      <c r="GJ276" s="1">
        <v>29.67</v>
      </c>
      <c r="GK276" s="1">
        <v>0</v>
      </c>
      <c r="GL276" s="1">
        <v>0</v>
      </c>
      <c r="GM276" s="1">
        <v>0</v>
      </c>
      <c r="GN276" s="1">
        <v>0</v>
      </c>
      <c r="GO276" s="1">
        <v>0</v>
      </c>
      <c r="GP276" s="1">
        <v>0</v>
      </c>
      <c r="GQ276" s="1">
        <v>0</v>
      </c>
      <c r="GR276" s="1">
        <v>0</v>
      </c>
      <c r="GS276" s="1">
        <v>0</v>
      </c>
      <c r="GT276" s="1">
        <v>0</v>
      </c>
      <c r="GU276" s="1">
        <v>0</v>
      </c>
      <c r="GV276" s="1">
        <v>0</v>
      </c>
      <c r="GW276" s="1">
        <v>0</v>
      </c>
      <c r="GX276" s="1">
        <v>0</v>
      </c>
      <c r="GY276" s="1">
        <v>0</v>
      </c>
      <c r="GZ276" s="1">
        <v>0</v>
      </c>
      <c r="HA276" s="1">
        <v>0</v>
      </c>
      <c r="HB276" s="1">
        <v>0</v>
      </c>
      <c r="HC276" s="1">
        <v>0</v>
      </c>
      <c r="HD276" s="1">
        <v>0</v>
      </c>
      <c r="HE276" s="1">
        <v>26.04</v>
      </c>
      <c r="HF276" s="1">
        <v>0</v>
      </c>
      <c r="HG276" s="1">
        <v>0</v>
      </c>
      <c r="HH276" s="1">
        <v>0</v>
      </c>
      <c r="HI276" s="1">
        <v>26.04</v>
      </c>
      <c r="HJ276" s="1">
        <v>0</v>
      </c>
      <c r="HK276" s="1">
        <v>0</v>
      </c>
      <c r="HL276" s="1">
        <v>0</v>
      </c>
      <c r="HM276" s="1">
        <v>0</v>
      </c>
      <c r="HN276" s="1">
        <v>0</v>
      </c>
      <c r="HO276" s="1">
        <v>0</v>
      </c>
      <c r="HP276" s="1">
        <v>0</v>
      </c>
      <c r="HQ276" s="1">
        <v>0</v>
      </c>
      <c r="HR276" s="1">
        <v>0</v>
      </c>
      <c r="HS276" s="1">
        <v>0</v>
      </c>
      <c r="HT276" s="1">
        <v>0</v>
      </c>
      <c r="HU276" s="1">
        <v>0</v>
      </c>
      <c r="HV276" s="1">
        <v>0</v>
      </c>
      <c r="HW276" s="1">
        <v>0</v>
      </c>
      <c r="HX276" s="1">
        <v>0</v>
      </c>
      <c r="HY276" s="1">
        <v>0</v>
      </c>
      <c r="HZ276" s="1">
        <v>0</v>
      </c>
      <c r="IA276" s="1">
        <v>0</v>
      </c>
      <c r="IB276" s="1">
        <v>0</v>
      </c>
      <c r="IC276" s="1">
        <v>0</v>
      </c>
      <c r="ID276" s="1">
        <v>0</v>
      </c>
      <c r="IE276" s="1">
        <v>0</v>
      </c>
      <c r="IF276" s="1">
        <v>0</v>
      </c>
      <c r="IG276" s="1">
        <v>0</v>
      </c>
      <c r="IH276" s="1">
        <v>0</v>
      </c>
      <c r="II276" s="1">
        <v>0</v>
      </c>
      <c r="IJ276" s="1">
        <v>0</v>
      </c>
      <c r="IK276" s="1">
        <v>0</v>
      </c>
      <c r="IL276" s="1">
        <v>0</v>
      </c>
      <c r="IM276" s="1">
        <v>0</v>
      </c>
      <c r="IN276" s="1">
        <v>0</v>
      </c>
      <c r="IO276" s="1">
        <v>601.4</v>
      </c>
      <c r="IP276" s="1">
        <v>1268.317</v>
      </c>
      <c r="IQ276" s="1">
        <v>1492.8</v>
      </c>
      <c r="IR276" s="1">
        <v>1154</v>
      </c>
      <c r="IS276" s="1">
        <v>601.4</v>
      </c>
      <c r="IT276" s="1">
        <v>1268.317</v>
      </c>
      <c r="IU276" s="1">
        <v>1492.8</v>
      </c>
      <c r="IV276" s="1">
        <v>1154</v>
      </c>
      <c r="IW276" s="1">
        <v>0</v>
      </c>
      <c r="IX276" s="1">
        <v>0</v>
      </c>
      <c r="IY276" s="1">
        <v>0</v>
      </c>
      <c r="IZ276" s="1">
        <v>0</v>
      </c>
      <c r="JA276" s="1">
        <v>0</v>
      </c>
      <c r="JB276" s="1">
        <v>0</v>
      </c>
      <c r="JC276" s="1">
        <v>0</v>
      </c>
      <c r="JD276" s="1">
        <v>0</v>
      </c>
      <c r="JE276" s="1">
        <v>0</v>
      </c>
      <c r="JF276" s="1">
        <v>0</v>
      </c>
      <c r="JG276" s="1">
        <v>0</v>
      </c>
      <c r="JH276" s="1">
        <v>0</v>
      </c>
      <c r="JI276" s="1">
        <v>0</v>
      </c>
      <c r="JJ276" s="1">
        <v>0</v>
      </c>
      <c r="JK276" s="1">
        <v>0</v>
      </c>
      <c r="JL276" s="1">
        <v>0</v>
      </c>
      <c r="JM276" s="1">
        <v>0</v>
      </c>
      <c r="JN276" s="1">
        <v>0</v>
      </c>
      <c r="JO276" s="1">
        <v>0</v>
      </c>
      <c r="JP276" s="1">
        <v>0</v>
      </c>
      <c r="JQ276" s="9"/>
      <c r="JR276" s="1">
        <f t="shared" si="60"/>
        <v>3668.6034000000009</v>
      </c>
      <c r="JS276" s="1">
        <f t="shared" si="60"/>
        <v>6174.633240000001</v>
      </c>
      <c r="JT276" s="1">
        <f t="shared" si="60"/>
        <v>4034.4236999999985</v>
      </c>
      <c r="JU276" s="1">
        <f t="shared" si="58"/>
        <v>5885.1035999999995</v>
      </c>
      <c r="JV276" s="1">
        <f t="shared" si="61"/>
        <v>679.37100000000009</v>
      </c>
      <c r="JW276" s="1">
        <f t="shared" si="61"/>
        <v>1143.4506000000001</v>
      </c>
      <c r="JX276" s="1">
        <f t="shared" si="61"/>
        <v>747.11549999999977</v>
      </c>
      <c r="JY276" s="1">
        <f t="shared" si="59"/>
        <v>1089.8339999999998</v>
      </c>
    </row>
    <row r="277" spans="1:285" x14ac:dyDescent="0.35">
      <c r="A277" s="2" t="s">
        <v>284</v>
      </c>
      <c r="B277" s="1">
        <v>94278</v>
      </c>
      <c r="C277" s="1">
        <v>95555</v>
      </c>
      <c r="D277" s="1">
        <v>96860</v>
      </c>
      <c r="E277" s="1">
        <v>98224</v>
      </c>
      <c r="F277" s="1">
        <v>39266.108999999997</v>
      </c>
      <c r="G277" s="1">
        <v>40377.86</v>
      </c>
      <c r="H277" s="1">
        <v>25254.773000000001</v>
      </c>
      <c r="I277" s="1">
        <v>24165.823</v>
      </c>
      <c r="J277" s="1">
        <f t="shared" si="62"/>
        <v>18121.969000000005</v>
      </c>
      <c r="K277" s="1">
        <f t="shared" si="63"/>
        <v>19180.86</v>
      </c>
      <c r="L277" s="1">
        <f t="shared" si="64"/>
        <v>16222.942999999996</v>
      </c>
      <c r="M277" s="1">
        <f t="shared" si="65"/>
        <v>17544.832999999999</v>
      </c>
      <c r="N277" s="1">
        <f t="shared" si="66"/>
        <v>21144.139999999992</v>
      </c>
      <c r="O277" s="1">
        <f t="shared" si="67"/>
        <v>21197</v>
      </c>
      <c r="P277" s="1">
        <f t="shared" si="68"/>
        <v>9031.8300000000054</v>
      </c>
      <c r="Q277" s="1">
        <f t="shared" si="69"/>
        <v>6620.9900000000016</v>
      </c>
      <c r="R277" s="1">
        <v>0</v>
      </c>
      <c r="S277" s="1">
        <v>0</v>
      </c>
      <c r="T277" s="1">
        <v>0</v>
      </c>
      <c r="U277" s="1">
        <v>0</v>
      </c>
      <c r="V277" s="1">
        <v>0</v>
      </c>
      <c r="W277" s="1">
        <v>0</v>
      </c>
      <c r="X277" s="1">
        <v>0</v>
      </c>
      <c r="Y277" s="1">
        <v>0</v>
      </c>
      <c r="Z277" s="1">
        <v>0</v>
      </c>
      <c r="AA277" s="1">
        <v>0</v>
      </c>
      <c r="AB277" s="1">
        <v>0</v>
      </c>
      <c r="AC277" s="1">
        <v>0</v>
      </c>
      <c r="AD277" s="1">
        <v>0</v>
      </c>
      <c r="AE277" s="1">
        <v>0</v>
      </c>
      <c r="AF277" s="1">
        <v>0</v>
      </c>
      <c r="AG277" s="1">
        <v>0</v>
      </c>
      <c r="AH277" s="1">
        <v>0</v>
      </c>
      <c r="AI277" s="1">
        <v>0</v>
      </c>
      <c r="AJ277" s="1">
        <v>0</v>
      </c>
      <c r="AK277" s="1">
        <v>0</v>
      </c>
      <c r="AL277" s="1">
        <v>0</v>
      </c>
      <c r="AM277" s="1">
        <v>0</v>
      </c>
      <c r="AN277" s="1">
        <v>0</v>
      </c>
      <c r="AO277" s="1">
        <v>0</v>
      </c>
      <c r="AP277" s="1">
        <v>9792.5200000000023</v>
      </c>
      <c r="AQ277" s="1">
        <v>9986.5299999999988</v>
      </c>
      <c r="AR277" s="1">
        <v>8281.6499999999978</v>
      </c>
      <c r="AS277" s="1">
        <v>9729.5300000000025</v>
      </c>
      <c r="AT277" s="1">
        <v>0</v>
      </c>
      <c r="AU277" s="1">
        <v>9792.5200000000023</v>
      </c>
      <c r="AV277" s="1">
        <v>0</v>
      </c>
      <c r="AW277" s="1">
        <v>0</v>
      </c>
      <c r="AX277" s="1">
        <v>0</v>
      </c>
      <c r="AY277" s="1">
        <v>9986.5299999999988</v>
      </c>
      <c r="AZ277" s="1">
        <v>0</v>
      </c>
      <c r="BA277" s="1">
        <v>0</v>
      </c>
      <c r="BB277" s="1">
        <v>0</v>
      </c>
      <c r="BC277" s="1">
        <v>8281.6499999999978</v>
      </c>
      <c r="BD277" s="1">
        <v>0</v>
      </c>
      <c r="BE277" s="1">
        <v>0</v>
      </c>
      <c r="BF277" s="1">
        <v>9729.5300000000025</v>
      </c>
      <c r="BG277" s="1">
        <v>0</v>
      </c>
      <c r="BH277" s="1">
        <v>0</v>
      </c>
      <c r="BI277" s="1">
        <v>0</v>
      </c>
      <c r="BJ277" s="1">
        <v>0</v>
      </c>
      <c r="BK277" s="1">
        <v>0</v>
      </c>
      <c r="BL277" s="1">
        <v>0</v>
      </c>
      <c r="BM277" s="1">
        <v>0</v>
      </c>
      <c r="BN277" s="1">
        <v>0</v>
      </c>
      <c r="BO277" s="1">
        <v>0</v>
      </c>
      <c r="BP277" s="1">
        <v>0</v>
      </c>
      <c r="BQ277" s="1">
        <v>0</v>
      </c>
      <c r="BR277" s="1">
        <v>0</v>
      </c>
      <c r="BS277" s="1">
        <v>0</v>
      </c>
      <c r="BT277" s="1">
        <v>0</v>
      </c>
      <c r="BU277" s="1">
        <v>4042.4</v>
      </c>
      <c r="BV277" s="1">
        <v>4482.7299999999996</v>
      </c>
      <c r="BW277" s="1">
        <v>3344.05</v>
      </c>
      <c r="BX277" s="1">
        <v>3034.58</v>
      </c>
      <c r="BY277" s="1">
        <v>4039.78</v>
      </c>
      <c r="BZ277" s="1">
        <v>4482.7299999999996</v>
      </c>
      <c r="CA277" s="1">
        <v>3344.05</v>
      </c>
      <c r="CB277" s="1">
        <v>3034.58</v>
      </c>
      <c r="CC277" s="1">
        <v>2.62</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1203.0899999999999</v>
      </c>
      <c r="CT277" s="1">
        <v>1557.85</v>
      </c>
      <c r="CU277" s="1">
        <v>1607.37</v>
      </c>
      <c r="CV277" s="1">
        <v>1947.43</v>
      </c>
      <c r="CW277" s="1">
        <v>1203.0899999999999</v>
      </c>
      <c r="CX277" s="1">
        <v>1557.85</v>
      </c>
      <c r="CY277" s="1">
        <v>1607.37</v>
      </c>
      <c r="CZ277" s="1">
        <v>1947.43</v>
      </c>
      <c r="DA277" s="1">
        <v>0</v>
      </c>
      <c r="DB277" s="1">
        <v>0</v>
      </c>
      <c r="DC277" s="1">
        <v>0</v>
      </c>
      <c r="DD277" s="1">
        <v>0</v>
      </c>
      <c r="DE277" s="1">
        <v>0</v>
      </c>
      <c r="DF277" s="1">
        <v>0</v>
      </c>
      <c r="DG277" s="1">
        <v>0</v>
      </c>
      <c r="DH277" s="1">
        <v>0</v>
      </c>
      <c r="DI277" s="1">
        <v>0</v>
      </c>
      <c r="DJ277" s="1">
        <v>0</v>
      </c>
      <c r="DK277" s="1">
        <v>0</v>
      </c>
      <c r="DL277" s="1">
        <v>0</v>
      </c>
      <c r="DM277" s="1">
        <v>1784.93</v>
      </c>
      <c r="DN277" s="1">
        <v>1898.23</v>
      </c>
      <c r="DO277" s="1">
        <v>1597.89</v>
      </c>
      <c r="DP277" s="1">
        <v>1599.32</v>
      </c>
      <c r="DQ277" s="1">
        <v>1784.93</v>
      </c>
      <c r="DR277" s="1">
        <v>1898.23</v>
      </c>
      <c r="DS277" s="1">
        <v>1597.89</v>
      </c>
      <c r="DT277" s="1">
        <v>1599.32</v>
      </c>
      <c r="DU277" s="1">
        <v>0</v>
      </c>
      <c r="DV277" s="1">
        <v>0</v>
      </c>
      <c r="DW277" s="1">
        <v>0</v>
      </c>
      <c r="DX277" s="1">
        <v>0</v>
      </c>
      <c r="DY277" s="1">
        <v>0</v>
      </c>
      <c r="DZ277" s="1">
        <v>0</v>
      </c>
      <c r="EA277" s="1">
        <v>0</v>
      </c>
      <c r="EB277" s="1">
        <v>0</v>
      </c>
      <c r="EC277" s="1">
        <v>0</v>
      </c>
      <c r="ED277" s="1">
        <v>0</v>
      </c>
      <c r="EE277" s="1">
        <v>0</v>
      </c>
      <c r="EF277" s="1">
        <v>0</v>
      </c>
      <c r="EG277" s="1">
        <v>0</v>
      </c>
      <c r="EH277" s="1">
        <v>0</v>
      </c>
      <c r="EI277" s="1">
        <v>0</v>
      </c>
      <c r="EJ277" s="1">
        <v>0</v>
      </c>
      <c r="EK277" s="1">
        <v>605.99</v>
      </c>
      <c r="EL277" s="1">
        <v>571.4</v>
      </c>
      <c r="EM277" s="1">
        <v>544.93999999999994</v>
      </c>
      <c r="EN277" s="1">
        <v>537.52</v>
      </c>
      <c r="EO277" s="1">
        <v>605.99</v>
      </c>
      <c r="EP277" s="1">
        <v>571.4</v>
      </c>
      <c r="EQ277" s="1">
        <v>544.93999999999994</v>
      </c>
      <c r="ER277" s="1">
        <v>537.52</v>
      </c>
      <c r="ES277" s="1">
        <v>0</v>
      </c>
      <c r="ET277" s="1">
        <v>0</v>
      </c>
      <c r="EU277" s="1">
        <v>0</v>
      </c>
      <c r="EV277" s="1">
        <v>0</v>
      </c>
      <c r="EW277" s="1">
        <v>0</v>
      </c>
      <c r="EX277" s="1">
        <v>0</v>
      </c>
      <c r="EY277" s="1">
        <v>0</v>
      </c>
      <c r="EZ277" s="1">
        <v>0</v>
      </c>
      <c r="FA277" s="1">
        <v>0</v>
      </c>
      <c r="FB277" s="1">
        <v>0</v>
      </c>
      <c r="FC277" s="1">
        <v>0</v>
      </c>
      <c r="FD277" s="1">
        <v>0</v>
      </c>
      <c r="FE277" s="1">
        <v>143.84899999999999</v>
      </c>
      <c r="FF277" s="1">
        <v>157.28</v>
      </c>
      <c r="FG277" s="1">
        <v>155.32300000000001</v>
      </c>
      <c r="FH277" s="1">
        <v>135.21899999999999</v>
      </c>
      <c r="FI277" s="1">
        <v>143.84899999999999</v>
      </c>
      <c r="FJ277" s="1">
        <v>157.28</v>
      </c>
      <c r="FK277" s="1">
        <v>155.32300000000001</v>
      </c>
      <c r="FL277" s="1">
        <v>134.809</v>
      </c>
      <c r="FM277" s="1">
        <v>0</v>
      </c>
      <c r="FN277" s="1">
        <v>0</v>
      </c>
      <c r="FO277" s="1">
        <v>0</v>
      </c>
      <c r="FP277" s="1">
        <v>0.41</v>
      </c>
      <c r="FQ277" s="1">
        <v>0</v>
      </c>
      <c r="FR277" s="1">
        <v>0</v>
      </c>
      <c r="FS277" s="1">
        <v>0</v>
      </c>
      <c r="FT277" s="1">
        <v>0</v>
      </c>
      <c r="FU277" s="1">
        <v>0</v>
      </c>
      <c r="FV277" s="1">
        <v>0</v>
      </c>
      <c r="FW277" s="1">
        <v>0</v>
      </c>
      <c r="FX277" s="1">
        <v>0</v>
      </c>
      <c r="FY277" s="1">
        <v>0</v>
      </c>
      <c r="FZ277" s="1">
        <v>0</v>
      </c>
      <c r="GA277" s="1">
        <v>0</v>
      </c>
      <c r="GB277" s="1">
        <v>0</v>
      </c>
      <c r="GC277" s="1">
        <v>37.47</v>
      </c>
      <c r="GD277" s="1">
        <v>12.63</v>
      </c>
      <c r="GE277" s="1">
        <v>122.41</v>
      </c>
      <c r="GF277" s="1">
        <v>123.384</v>
      </c>
      <c r="GG277" s="1">
        <v>37.47</v>
      </c>
      <c r="GH277" s="1">
        <v>12.63</v>
      </c>
      <c r="GI277" s="1">
        <v>122.41</v>
      </c>
      <c r="GJ277" s="1">
        <v>123.384</v>
      </c>
      <c r="GK277" s="1">
        <v>0</v>
      </c>
      <c r="GL277" s="1">
        <v>0</v>
      </c>
      <c r="GM277" s="1">
        <v>0</v>
      </c>
      <c r="GN277" s="1">
        <v>0</v>
      </c>
      <c r="GO277" s="1">
        <v>0</v>
      </c>
      <c r="GP277" s="1">
        <v>0</v>
      </c>
      <c r="GQ277" s="1">
        <v>0</v>
      </c>
      <c r="GR277" s="1">
        <v>0</v>
      </c>
      <c r="GS277" s="1">
        <v>0</v>
      </c>
      <c r="GT277" s="1">
        <v>0</v>
      </c>
      <c r="GU277" s="1">
        <v>0</v>
      </c>
      <c r="GV277" s="1">
        <v>0</v>
      </c>
      <c r="GW277" s="1">
        <v>0</v>
      </c>
      <c r="GX277" s="1">
        <v>0</v>
      </c>
      <c r="GY277" s="1">
        <v>0</v>
      </c>
      <c r="GZ277" s="1">
        <v>0</v>
      </c>
      <c r="HA277" s="1">
        <v>0</v>
      </c>
      <c r="HB277" s="1">
        <v>0</v>
      </c>
      <c r="HC277" s="1">
        <v>0</v>
      </c>
      <c r="HD277" s="1">
        <v>0</v>
      </c>
      <c r="HE277" s="1">
        <v>20.97</v>
      </c>
      <c r="HF277" s="1">
        <v>0</v>
      </c>
      <c r="HG277" s="1">
        <v>0</v>
      </c>
      <c r="HH277" s="1">
        <v>0</v>
      </c>
      <c r="HI277" s="1">
        <v>20.97</v>
      </c>
      <c r="HJ277" s="1">
        <v>0</v>
      </c>
      <c r="HK277" s="1">
        <v>0</v>
      </c>
      <c r="HL277" s="1">
        <v>0</v>
      </c>
      <c r="HM277" s="1">
        <v>0</v>
      </c>
      <c r="HN277" s="1">
        <v>0</v>
      </c>
      <c r="HO277" s="1">
        <v>0</v>
      </c>
      <c r="HP277" s="1">
        <v>0</v>
      </c>
      <c r="HQ277" s="1">
        <v>0</v>
      </c>
      <c r="HR277" s="1">
        <v>0</v>
      </c>
      <c r="HS277" s="1">
        <v>0</v>
      </c>
      <c r="HT277" s="1">
        <v>0</v>
      </c>
      <c r="HU277" s="1">
        <v>0</v>
      </c>
      <c r="HV277" s="1">
        <v>0</v>
      </c>
      <c r="HW277" s="1">
        <v>0</v>
      </c>
      <c r="HX277" s="1">
        <v>0</v>
      </c>
      <c r="HY277" s="1">
        <v>0</v>
      </c>
      <c r="HZ277" s="1">
        <v>0</v>
      </c>
      <c r="IA277" s="1">
        <v>0</v>
      </c>
      <c r="IB277" s="1">
        <v>0</v>
      </c>
      <c r="IC277" s="1">
        <v>0</v>
      </c>
      <c r="ID277" s="1">
        <v>0</v>
      </c>
      <c r="IE277" s="1">
        <v>0</v>
      </c>
      <c r="IF277" s="1">
        <v>0</v>
      </c>
      <c r="IG277" s="1">
        <v>0</v>
      </c>
      <c r="IH277" s="1">
        <v>0</v>
      </c>
      <c r="II277" s="1">
        <v>0</v>
      </c>
      <c r="IJ277" s="1">
        <v>0</v>
      </c>
      <c r="IK277" s="1">
        <v>0</v>
      </c>
      <c r="IL277" s="1">
        <v>0</v>
      </c>
      <c r="IM277" s="1">
        <v>0</v>
      </c>
      <c r="IN277" s="1">
        <v>0</v>
      </c>
      <c r="IO277" s="1">
        <v>490.75</v>
      </c>
      <c r="IP277" s="1">
        <v>514.21</v>
      </c>
      <c r="IQ277" s="1">
        <v>569.30999999999995</v>
      </c>
      <c r="IR277" s="1">
        <v>437.85</v>
      </c>
      <c r="IS277" s="1">
        <v>490.75</v>
      </c>
      <c r="IT277" s="1">
        <v>514.21</v>
      </c>
      <c r="IU277" s="1">
        <v>569.30999999999995</v>
      </c>
      <c r="IV277" s="1">
        <v>437.85</v>
      </c>
      <c r="IW277" s="1">
        <v>0</v>
      </c>
      <c r="IX277" s="1">
        <v>0</v>
      </c>
      <c r="IY277" s="1">
        <v>0</v>
      </c>
      <c r="IZ277" s="1">
        <v>0</v>
      </c>
      <c r="JA277" s="1">
        <v>0</v>
      </c>
      <c r="JB277" s="1">
        <v>0</v>
      </c>
      <c r="JC277" s="1">
        <v>0</v>
      </c>
      <c r="JD277" s="1">
        <v>0</v>
      </c>
      <c r="JE277" s="1">
        <v>0</v>
      </c>
      <c r="JF277" s="1">
        <v>0</v>
      </c>
      <c r="JG277" s="1">
        <v>0</v>
      </c>
      <c r="JH277" s="1">
        <v>0</v>
      </c>
      <c r="JI277" s="1">
        <v>0</v>
      </c>
      <c r="JJ277" s="1">
        <v>0</v>
      </c>
      <c r="JK277" s="1">
        <v>0</v>
      </c>
      <c r="JL277" s="1">
        <v>0</v>
      </c>
      <c r="JM277" s="1">
        <v>0</v>
      </c>
      <c r="JN277" s="1">
        <v>0</v>
      </c>
      <c r="JO277" s="1">
        <v>0</v>
      </c>
      <c r="JP277" s="1">
        <v>0</v>
      </c>
      <c r="JQ277" s="9"/>
      <c r="JR277" s="1">
        <f t="shared" si="60"/>
        <v>5708.9177999999984</v>
      </c>
      <c r="JS277" s="1">
        <f t="shared" si="60"/>
        <v>5723.1900000000005</v>
      </c>
      <c r="JT277" s="1">
        <f t="shared" si="60"/>
        <v>2438.5941000000016</v>
      </c>
      <c r="JU277" s="1">
        <f t="shared" si="58"/>
        <v>1787.6673000000005</v>
      </c>
      <c r="JV277" s="1">
        <f t="shared" si="61"/>
        <v>1057.2069999999997</v>
      </c>
      <c r="JW277" s="1">
        <f t="shared" si="61"/>
        <v>1059.8500000000001</v>
      </c>
      <c r="JX277" s="1">
        <f t="shared" si="61"/>
        <v>451.59150000000028</v>
      </c>
      <c r="JY277" s="1">
        <f t="shared" si="59"/>
        <v>331.04950000000008</v>
      </c>
    </row>
    <row r="278" spans="1:285" s="5" customFormat="1" x14ac:dyDescent="0.35">
      <c r="A278" s="3" t="s">
        <v>285</v>
      </c>
      <c r="B278" s="4">
        <v>422559</v>
      </c>
      <c r="C278" s="4">
        <v>426707</v>
      </c>
      <c r="D278" s="4">
        <v>429682</v>
      </c>
      <c r="E278" s="4">
        <v>436787</v>
      </c>
      <c r="F278" s="4">
        <f>[1]TotalCollected!$B$79+[1]TotalCollected!$B$208+[1]TotalCollected!$B$265</f>
        <v>142762.677</v>
      </c>
      <c r="G278" s="4">
        <f>277618.919+[1]TotalCollected!$C$79+[1]TotalCollected!$C$208+[1]TotalCollected!$C$265</f>
        <v>310830.87900000002</v>
      </c>
      <c r="H278" s="4">
        <f>336980.316+[1]TotalCollected!$D$79+[1]TotalCollected!$D$265</f>
        <v>336980.31599999999</v>
      </c>
      <c r="I278" s="4">
        <v>341538.67</v>
      </c>
      <c r="J278" s="4">
        <f t="shared" si="62"/>
        <v>80156.24500000001</v>
      </c>
      <c r="K278" s="4">
        <f t="shared" si="63"/>
        <v>97710.849000000002</v>
      </c>
      <c r="L278" s="4">
        <f t="shared" si="64"/>
        <v>92412.772000000012</v>
      </c>
      <c r="M278" s="4">
        <f t="shared" si="65"/>
        <v>99141.87</v>
      </c>
      <c r="N278" s="4">
        <f t="shared" si="66"/>
        <v>62606.431999999986</v>
      </c>
      <c r="O278" s="4">
        <f t="shared" si="67"/>
        <v>213120.03000000003</v>
      </c>
      <c r="P278" s="4">
        <f t="shared" si="68"/>
        <v>244567.54399999999</v>
      </c>
      <c r="Q278" s="4">
        <f t="shared" si="69"/>
        <v>242396.79999999999</v>
      </c>
      <c r="R278" s="4">
        <v>5966.41</v>
      </c>
      <c r="S278" s="4">
        <v>2929.46</v>
      </c>
      <c r="T278" s="4">
        <v>9185.3700000000008</v>
      </c>
      <c r="U278" s="4">
        <v>9048.11</v>
      </c>
      <c r="V278" s="4">
        <v>0</v>
      </c>
      <c r="W278" s="4">
        <v>0</v>
      </c>
      <c r="X278" s="4">
        <v>5966.41</v>
      </c>
      <c r="Y278" s="4">
        <v>0</v>
      </c>
      <c r="Z278" s="4">
        <v>0</v>
      </c>
      <c r="AA278" s="4">
        <v>2929.46</v>
      </c>
      <c r="AB278" s="4">
        <v>0</v>
      </c>
      <c r="AC278" s="4">
        <v>0</v>
      </c>
      <c r="AD278" s="4">
        <v>9185.3700000000008</v>
      </c>
      <c r="AE278" s="4">
        <v>0</v>
      </c>
      <c r="AF278" s="4">
        <v>0</v>
      </c>
      <c r="AG278" s="4">
        <v>9048.11</v>
      </c>
      <c r="AH278" s="4">
        <v>0</v>
      </c>
      <c r="AI278" s="4">
        <v>0</v>
      </c>
      <c r="AJ278" s="4">
        <v>0</v>
      </c>
      <c r="AK278" s="4">
        <v>0</v>
      </c>
      <c r="AL278" s="4">
        <v>0</v>
      </c>
      <c r="AM278" s="4">
        <v>0</v>
      </c>
      <c r="AN278" s="4">
        <v>0</v>
      </c>
      <c r="AO278" s="4">
        <v>0</v>
      </c>
      <c r="AP278" s="4">
        <v>32516.695</v>
      </c>
      <c r="AQ278" s="4">
        <v>34449.65</v>
      </c>
      <c r="AR278" s="4">
        <v>28982.320000000003</v>
      </c>
      <c r="AS278" s="4">
        <v>34567.880000000005</v>
      </c>
      <c r="AT278" s="4">
        <v>0</v>
      </c>
      <c r="AU278" s="4">
        <v>32516.695</v>
      </c>
      <c r="AV278" s="4">
        <v>0</v>
      </c>
      <c r="AW278" s="4">
        <v>0</v>
      </c>
      <c r="AX278" s="4">
        <v>0</v>
      </c>
      <c r="AY278" s="4">
        <v>34449.65</v>
      </c>
      <c r="AZ278" s="4">
        <v>0</v>
      </c>
      <c r="BA278" s="4">
        <v>0</v>
      </c>
      <c r="BB278" s="4">
        <v>0</v>
      </c>
      <c r="BC278" s="4">
        <v>28982.320000000003</v>
      </c>
      <c r="BD278" s="4">
        <v>0</v>
      </c>
      <c r="BE278" s="4">
        <v>0</v>
      </c>
      <c r="BF278" s="4">
        <v>34567.880000000005</v>
      </c>
      <c r="BG278" s="4">
        <v>0</v>
      </c>
      <c r="BH278" s="4">
        <v>0</v>
      </c>
      <c r="BI278" s="4">
        <v>0</v>
      </c>
      <c r="BJ278" s="4">
        <v>0</v>
      </c>
      <c r="BK278" s="4">
        <v>0</v>
      </c>
      <c r="BL278" s="4">
        <v>0</v>
      </c>
      <c r="BM278" s="4">
        <v>0</v>
      </c>
      <c r="BN278" s="4">
        <v>0</v>
      </c>
      <c r="BO278" s="4">
        <v>0</v>
      </c>
      <c r="BP278" s="4">
        <v>0</v>
      </c>
      <c r="BQ278" s="4">
        <v>0</v>
      </c>
      <c r="BR278" s="4">
        <v>0</v>
      </c>
      <c r="BS278" s="4">
        <v>0</v>
      </c>
      <c r="BT278" s="4">
        <v>0</v>
      </c>
      <c r="BU278" s="4">
        <v>15390.686000000002</v>
      </c>
      <c r="BV278" s="4">
        <v>20964.266</v>
      </c>
      <c r="BW278" s="4">
        <v>17056.853999999999</v>
      </c>
      <c r="BX278" s="4">
        <v>16335.19</v>
      </c>
      <c r="BY278" s="4">
        <v>15390.686000000002</v>
      </c>
      <c r="BZ278" s="4">
        <v>20964.266</v>
      </c>
      <c r="CA278" s="4">
        <v>17056.853999999999</v>
      </c>
      <c r="CB278" s="4">
        <v>16335.19</v>
      </c>
      <c r="CC278" s="4">
        <v>0</v>
      </c>
      <c r="CD278" s="4">
        <v>0</v>
      </c>
      <c r="CE278" s="4">
        <v>0</v>
      </c>
      <c r="CF278" s="4">
        <v>0</v>
      </c>
      <c r="CG278" s="4">
        <v>0</v>
      </c>
      <c r="CH278" s="4">
        <v>0</v>
      </c>
      <c r="CI278" s="4">
        <v>0</v>
      </c>
      <c r="CJ278" s="4">
        <v>0</v>
      </c>
      <c r="CK278" s="4">
        <v>0</v>
      </c>
      <c r="CL278" s="4">
        <v>0</v>
      </c>
      <c r="CM278" s="4">
        <v>0</v>
      </c>
      <c r="CN278" s="4">
        <v>0</v>
      </c>
      <c r="CO278" s="4">
        <v>0</v>
      </c>
      <c r="CP278" s="4">
        <v>0</v>
      </c>
      <c r="CQ278" s="4">
        <v>0</v>
      </c>
      <c r="CR278" s="4">
        <v>0</v>
      </c>
      <c r="CS278" s="4">
        <v>6927.8330000000005</v>
      </c>
      <c r="CT278" s="4">
        <v>7297.9750000000004</v>
      </c>
      <c r="CU278" s="4">
        <v>7309.1560000000009</v>
      </c>
      <c r="CV278" s="4">
        <v>6728.98</v>
      </c>
      <c r="CW278" s="4">
        <v>6927.8330000000005</v>
      </c>
      <c r="CX278" s="4">
        <v>7297.9750000000004</v>
      </c>
      <c r="CY278" s="4">
        <v>7309.1560000000009</v>
      </c>
      <c r="CZ278" s="4">
        <v>6728.98</v>
      </c>
      <c r="DA278" s="4">
        <v>0</v>
      </c>
      <c r="DB278" s="4">
        <v>0</v>
      </c>
      <c r="DC278" s="4">
        <v>0</v>
      </c>
      <c r="DD278" s="4">
        <v>0</v>
      </c>
      <c r="DE278" s="4">
        <v>0</v>
      </c>
      <c r="DF278" s="4">
        <v>0</v>
      </c>
      <c r="DG278" s="4">
        <v>0</v>
      </c>
      <c r="DH278" s="4">
        <v>0</v>
      </c>
      <c r="DI278" s="4">
        <v>0</v>
      </c>
      <c r="DJ278" s="4">
        <v>0</v>
      </c>
      <c r="DK278" s="4">
        <v>0</v>
      </c>
      <c r="DL278" s="4">
        <v>0</v>
      </c>
      <c r="DM278" s="4">
        <v>15541.257</v>
      </c>
      <c r="DN278" s="4">
        <v>15441.95</v>
      </c>
      <c r="DO278" s="4">
        <v>13747.9</v>
      </c>
      <c r="DP278" s="4">
        <v>12774.64</v>
      </c>
      <c r="DQ278" s="4">
        <v>12057.107</v>
      </c>
      <c r="DR278" s="4">
        <v>14528.28</v>
      </c>
      <c r="DS278" s="4">
        <v>13747.9</v>
      </c>
      <c r="DT278" s="4">
        <v>12774.64</v>
      </c>
      <c r="DU278" s="4">
        <v>0</v>
      </c>
      <c r="DV278" s="4">
        <v>0</v>
      </c>
      <c r="DW278" s="4">
        <v>0</v>
      </c>
      <c r="DX278" s="4">
        <v>0</v>
      </c>
      <c r="DY278" s="4">
        <v>0</v>
      </c>
      <c r="DZ278" s="4">
        <v>0</v>
      </c>
      <c r="EA278" s="4">
        <v>0</v>
      </c>
      <c r="EB278" s="4">
        <v>0</v>
      </c>
      <c r="EC278" s="4">
        <v>0</v>
      </c>
      <c r="ED278" s="4">
        <v>0</v>
      </c>
      <c r="EE278" s="4">
        <v>0</v>
      </c>
      <c r="EF278" s="4">
        <v>0</v>
      </c>
      <c r="EG278" s="4">
        <v>0</v>
      </c>
      <c r="EH278" s="4">
        <v>0</v>
      </c>
      <c r="EI278" s="4">
        <v>0</v>
      </c>
      <c r="EJ278" s="4">
        <v>0</v>
      </c>
      <c r="EK278" s="4">
        <v>3523.3060000000005</v>
      </c>
      <c r="EL278" s="4">
        <v>10897.855</v>
      </c>
      <c r="EM278" s="4">
        <v>9094.19</v>
      </c>
      <c r="EN278" s="4">
        <v>10522.7</v>
      </c>
      <c r="EO278" s="4">
        <v>3523.3060000000005</v>
      </c>
      <c r="EP278" s="4">
        <v>10859.925000000001</v>
      </c>
      <c r="EQ278" s="4">
        <v>9057.02</v>
      </c>
      <c r="ER278" s="4">
        <v>10507.13</v>
      </c>
      <c r="ES278" s="4">
        <v>0</v>
      </c>
      <c r="ET278" s="4">
        <v>37.93</v>
      </c>
      <c r="EU278" s="4">
        <v>37.169999999999987</v>
      </c>
      <c r="EV278" s="4">
        <v>15.57</v>
      </c>
      <c r="EW278" s="4">
        <v>0</v>
      </c>
      <c r="EX278" s="4">
        <v>0</v>
      </c>
      <c r="EY278" s="4">
        <v>0</v>
      </c>
      <c r="EZ278" s="4">
        <v>0</v>
      </c>
      <c r="FA278" s="4">
        <v>0</v>
      </c>
      <c r="FB278" s="4">
        <v>0</v>
      </c>
      <c r="FC278" s="4">
        <v>0</v>
      </c>
      <c r="FD278" s="4">
        <v>0</v>
      </c>
      <c r="FE278" s="4">
        <v>161.46</v>
      </c>
      <c r="FF278" s="4">
        <v>566.80700000000002</v>
      </c>
      <c r="FG278" s="4">
        <v>859.72900000000004</v>
      </c>
      <c r="FH278" s="4">
        <v>876.45</v>
      </c>
      <c r="FI278" s="4">
        <v>161.46</v>
      </c>
      <c r="FJ278" s="4">
        <v>566.80700000000002</v>
      </c>
      <c r="FK278" s="4">
        <v>859.72900000000004</v>
      </c>
      <c r="FL278" s="4">
        <v>876.45</v>
      </c>
      <c r="FM278" s="4">
        <v>0</v>
      </c>
      <c r="FN278" s="4">
        <v>0</v>
      </c>
      <c r="FO278" s="4">
        <v>0</v>
      </c>
      <c r="FP278" s="4">
        <v>0</v>
      </c>
      <c r="FQ278" s="4">
        <v>0</v>
      </c>
      <c r="FR278" s="4">
        <v>0</v>
      </c>
      <c r="FS278" s="4">
        <v>0</v>
      </c>
      <c r="FT278" s="4">
        <v>0</v>
      </c>
      <c r="FU278" s="4">
        <v>0</v>
      </c>
      <c r="FV278" s="4">
        <v>0</v>
      </c>
      <c r="FW278" s="4">
        <v>0</v>
      </c>
      <c r="FX278" s="4">
        <v>0</v>
      </c>
      <c r="FY278" s="4">
        <v>0</v>
      </c>
      <c r="FZ278" s="4">
        <v>0</v>
      </c>
      <c r="GA278" s="4">
        <v>0</v>
      </c>
      <c r="GB278" s="4">
        <v>0</v>
      </c>
      <c r="GC278" s="4">
        <v>122.77800000000001</v>
      </c>
      <c r="GD278" s="4">
        <v>3696.4190000000003</v>
      </c>
      <c r="GE278" s="4">
        <v>4609.2429999999986</v>
      </c>
      <c r="GF278" s="4">
        <v>4776.76</v>
      </c>
      <c r="GG278" s="4">
        <v>122.77800000000001</v>
      </c>
      <c r="GH278" s="4">
        <v>3696.4190000000003</v>
      </c>
      <c r="GI278" s="4">
        <v>4609.2429999999986</v>
      </c>
      <c r="GJ278" s="4">
        <v>4776.76</v>
      </c>
      <c r="GK278" s="4">
        <v>0</v>
      </c>
      <c r="GL278" s="4">
        <v>0</v>
      </c>
      <c r="GM278" s="4">
        <v>0</v>
      </c>
      <c r="GN278" s="4">
        <v>0</v>
      </c>
      <c r="GO278" s="4">
        <v>0</v>
      </c>
      <c r="GP278" s="4">
        <v>0</v>
      </c>
      <c r="GQ278" s="4">
        <v>0</v>
      </c>
      <c r="GR278" s="4">
        <v>0</v>
      </c>
      <c r="GS278" s="4">
        <v>0</v>
      </c>
      <c r="GT278" s="4">
        <v>0</v>
      </c>
      <c r="GU278" s="4">
        <v>0</v>
      </c>
      <c r="GV278" s="4">
        <v>0</v>
      </c>
      <c r="GW278" s="4">
        <v>0</v>
      </c>
      <c r="GX278" s="4">
        <v>0</v>
      </c>
      <c r="GY278" s="4">
        <v>0</v>
      </c>
      <c r="GZ278" s="4">
        <v>0</v>
      </c>
      <c r="HA278" s="4">
        <v>0</v>
      </c>
      <c r="HB278" s="4">
        <v>0</v>
      </c>
      <c r="HC278" s="4">
        <v>0</v>
      </c>
      <c r="HD278" s="4">
        <v>0</v>
      </c>
      <c r="HE278" s="4">
        <v>0</v>
      </c>
      <c r="HF278" s="4">
        <v>10.35</v>
      </c>
      <c r="HG278" s="4">
        <v>6.89</v>
      </c>
      <c r="HH278" s="4">
        <v>3.74</v>
      </c>
      <c r="HI278" s="4">
        <v>0</v>
      </c>
      <c r="HJ278" s="4">
        <v>10.35</v>
      </c>
      <c r="HK278" s="4">
        <v>6.89</v>
      </c>
      <c r="HL278" s="4">
        <v>3.74</v>
      </c>
      <c r="HM278" s="4">
        <v>0</v>
      </c>
      <c r="HN278" s="4">
        <v>0</v>
      </c>
      <c r="HO278" s="4">
        <v>0</v>
      </c>
      <c r="HP278" s="4">
        <v>0</v>
      </c>
      <c r="HQ278" s="4">
        <v>0</v>
      </c>
      <c r="HR278" s="4">
        <v>0</v>
      </c>
      <c r="HS278" s="4">
        <v>0</v>
      </c>
      <c r="HT278" s="4">
        <v>0</v>
      </c>
      <c r="HU278" s="4">
        <v>0</v>
      </c>
      <c r="HV278" s="4">
        <v>0</v>
      </c>
      <c r="HW278" s="4">
        <v>0</v>
      </c>
      <c r="HX278" s="4">
        <v>0</v>
      </c>
      <c r="HY278" s="4">
        <v>0</v>
      </c>
      <c r="HZ278" s="4">
        <v>0</v>
      </c>
      <c r="IA278" s="4">
        <v>0</v>
      </c>
      <c r="IB278" s="4">
        <v>0</v>
      </c>
      <c r="IC278" s="4">
        <v>0</v>
      </c>
      <c r="ID278" s="4">
        <v>0</v>
      </c>
      <c r="IE278" s="4">
        <v>0</v>
      </c>
      <c r="IF278" s="4">
        <v>0</v>
      </c>
      <c r="IG278" s="4">
        <v>0</v>
      </c>
      <c r="IH278" s="4">
        <v>0</v>
      </c>
      <c r="II278" s="4">
        <v>0</v>
      </c>
      <c r="IJ278" s="4">
        <v>0</v>
      </c>
      <c r="IK278" s="4">
        <v>0</v>
      </c>
      <c r="IL278" s="4">
        <v>0</v>
      </c>
      <c r="IM278" s="4">
        <v>0</v>
      </c>
      <c r="IN278" s="4">
        <v>0</v>
      </c>
      <c r="IO278" s="4">
        <v>5.82</v>
      </c>
      <c r="IP278" s="4">
        <v>1456.117</v>
      </c>
      <c r="IQ278" s="4">
        <v>1561.12</v>
      </c>
      <c r="IR278" s="4">
        <v>3507.42</v>
      </c>
      <c r="IS278" s="4">
        <v>5.82</v>
      </c>
      <c r="IT278" s="4">
        <v>1059.4369999999999</v>
      </c>
      <c r="IU278" s="4">
        <v>985.61</v>
      </c>
      <c r="IV278" s="4">
        <v>2824.8</v>
      </c>
      <c r="IW278" s="4">
        <v>0</v>
      </c>
      <c r="IX278" s="4">
        <v>396.68</v>
      </c>
      <c r="IY278" s="4">
        <v>575.51</v>
      </c>
      <c r="IZ278" s="4">
        <v>682.62</v>
      </c>
      <c r="JA278" s="4">
        <v>0</v>
      </c>
      <c r="JB278" s="4">
        <v>0</v>
      </c>
      <c r="JC278" s="4">
        <v>0</v>
      </c>
      <c r="JD278" s="4">
        <v>0</v>
      </c>
      <c r="JE278" s="4">
        <v>0</v>
      </c>
      <c r="JF278" s="4">
        <v>0</v>
      </c>
      <c r="JG278" s="4">
        <v>0</v>
      </c>
      <c r="JH278" s="4">
        <v>0</v>
      </c>
      <c r="JI278" s="4">
        <v>0</v>
      </c>
      <c r="JJ278" s="4">
        <v>0</v>
      </c>
      <c r="JK278" s="4">
        <v>0</v>
      </c>
      <c r="JL278" s="4">
        <v>0</v>
      </c>
      <c r="JM278" s="4">
        <v>0</v>
      </c>
      <c r="JN278" s="4">
        <v>0</v>
      </c>
      <c r="JO278" s="4">
        <v>0</v>
      </c>
      <c r="JP278" s="4">
        <v>0</v>
      </c>
      <c r="JQ278" s="9"/>
      <c r="JR278" s="4">
        <f t="shared" si="60"/>
        <v>16903.736639999999</v>
      </c>
      <c r="JS278" s="4">
        <f t="shared" si="60"/>
        <v>57542.408100000008</v>
      </c>
      <c r="JT278" s="4">
        <f t="shared" si="60"/>
        <v>66033.236879999997</v>
      </c>
      <c r="JU278" s="4">
        <f t="shared" si="58"/>
        <v>65447.135999999999</v>
      </c>
      <c r="JV278" s="4">
        <f t="shared" si="61"/>
        <v>3130.3215999999993</v>
      </c>
      <c r="JW278" s="4">
        <f t="shared" si="61"/>
        <v>10656.001500000002</v>
      </c>
      <c r="JX278" s="4">
        <f t="shared" si="61"/>
        <v>12228.377200000001</v>
      </c>
      <c r="JY278" s="4">
        <f t="shared" si="59"/>
        <v>12119.84</v>
      </c>
    </row>
    <row r="279" spans="1:285" x14ac:dyDescent="0.35">
      <c r="A279" s="2" t="s">
        <v>286</v>
      </c>
      <c r="B279" s="1">
        <v>112534</v>
      </c>
      <c r="C279" s="1">
        <v>115116</v>
      </c>
      <c r="D279" s="1">
        <v>117068</v>
      </c>
      <c r="E279" s="1">
        <v>119221</v>
      </c>
      <c r="F279" s="1">
        <v>130559.251</v>
      </c>
      <c r="G279" s="1">
        <v>66168.665000000008</v>
      </c>
      <c r="H279" s="1">
        <v>45366.379000000001</v>
      </c>
      <c r="I279" s="1">
        <v>47512.656999999999</v>
      </c>
      <c r="J279" s="1">
        <f t="shared" si="62"/>
        <v>113516.37199999997</v>
      </c>
      <c r="K279" s="1">
        <f t="shared" si="63"/>
        <v>49258.235999999997</v>
      </c>
      <c r="L279" s="1">
        <f t="shared" si="64"/>
        <v>28960.764999999999</v>
      </c>
      <c r="M279" s="1">
        <f t="shared" si="65"/>
        <v>30031.581000000002</v>
      </c>
      <c r="N279" s="1">
        <f t="shared" si="66"/>
        <v>17042.87900000003</v>
      </c>
      <c r="O279" s="1">
        <f t="shared" si="67"/>
        <v>16910.429000000011</v>
      </c>
      <c r="P279" s="1">
        <f t="shared" si="68"/>
        <v>16405.614000000001</v>
      </c>
      <c r="Q279" s="1">
        <f t="shared" si="69"/>
        <v>17481.075999999997</v>
      </c>
      <c r="R279" s="1">
        <v>4645.9799999999996</v>
      </c>
      <c r="S279" s="1">
        <v>4720.8599999999997</v>
      </c>
      <c r="T279" s="1">
        <v>4258.0200000000004</v>
      </c>
      <c r="U279" s="1">
        <v>4088.4399999999996</v>
      </c>
      <c r="V279" s="1">
        <v>0</v>
      </c>
      <c r="W279" s="1">
        <v>0</v>
      </c>
      <c r="X279" s="1">
        <v>4645.9799999999996</v>
      </c>
      <c r="Y279" s="1">
        <v>0</v>
      </c>
      <c r="Z279" s="1">
        <v>0</v>
      </c>
      <c r="AA279" s="1">
        <v>4720.8599999999997</v>
      </c>
      <c r="AB279" s="1">
        <v>0</v>
      </c>
      <c r="AC279" s="1">
        <v>0</v>
      </c>
      <c r="AD279" s="1">
        <v>4258.0200000000004</v>
      </c>
      <c r="AE279" s="1">
        <v>0</v>
      </c>
      <c r="AF279" s="1">
        <v>0</v>
      </c>
      <c r="AG279" s="1">
        <v>4088.4399999999996</v>
      </c>
      <c r="AH279" s="1">
        <v>0</v>
      </c>
      <c r="AI279" s="1">
        <v>0</v>
      </c>
      <c r="AJ279" s="1">
        <v>0</v>
      </c>
      <c r="AK279" s="1">
        <v>0</v>
      </c>
      <c r="AL279" s="1">
        <v>0</v>
      </c>
      <c r="AM279" s="1">
        <v>0</v>
      </c>
      <c r="AN279" s="1">
        <v>0</v>
      </c>
      <c r="AO279" s="1">
        <v>0</v>
      </c>
      <c r="AP279" s="1">
        <v>11426.74</v>
      </c>
      <c r="AQ279" s="1">
        <v>10840.56</v>
      </c>
      <c r="AR279" s="1">
        <v>9135.4250000000011</v>
      </c>
      <c r="AS279" s="1">
        <v>9981.1200000000008</v>
      </c>
      <c r="AT279" s="1">
        <v>0</v>
      </c>
      <c r="AU279" s="1">
        <v>0</v>
      </c>
      <c r="AV279" s="1">
        <v>0</v>
      </c>
      <c r="AW279" s="1">
        <v>11426.74</v>
      </c>
      <c r="AX279" s="1">
        <v>9292.9</v>
      </c>
      <c r="AY279" s="1">
        <v>0</v>
      </c>
      <c r="AZ279" s="1">
        <v>0</v>
      </c>
      <c r="BA279" s="1">
        <v>1547.6599999999999</v>
      </c>
      <c r="BB279" s="1">
        <v>9135.4250000000011</v>
      </c>
      <c r="BC279" s="1">
        <v>0</v>
      </c>
      <c r="BD279" s="1">
        <v>0</v>
      </c>
      <c r="BE279" s="1">
        <v>9981.1200000000008</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19462.2</v>
      </c>
      <c r="BV279" s="1">
        <v>9932.6899999999987</v>
      </c>
      <c r="BW279" s="1">
        <v>4467.3879999999999</v>
      </c>
      <c r="BX279" s="1">
        <v>3122.4769999999999</v>
      </c>
      <c r="BY279" s="1">
        <v>19462.2</v>
      </c>
      <c r="BZ279" s="1">
        <v>9932.6899999999987</v>
      </c>
      <c r="CA279" s="1">
        <v>4467.3879999999999</v>
      </c>
      <c r="CB279" s="1">
        <v>3122.4769999999999</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31102.01</v>
      </c>
      <c r="CT279" s="1">
        <v>10506.038</v>
      </c>
      <c r="CU279" s="1">
        <v>4055.7820000000002</v>
      </c>
      <c r="CV279" s="1">
        <v>3478.4720000000002</v>
      </c>
      <c r="CW279" s="1">
        <v>31102.01</v>
      </c>
      <c r="CX279" s="1">
        <v>10506.038</v>
      </c>
      <c r="CY279" s="1">
        <v>4055.7820000000002</v>
      </c>
      <c r="CZ279" s="1">
        <v>3478.4720000000002</v>
      </c>
      <c r="DA279" s="1">
        <v>0</v>
      </c>
      <c r="DB279" s="1">
        <v>0</v>
      </c>
      <c r="DC279" s="1">
        <v>0</v>
      </c>
      <c r="DD279" s="1">
        <v>0</v>
      </c>
      <c r="DE279" s="1">
        <v>0</v>
      </c>
      <c r="DF279" s="1">
        <v>0</v>
      </c>
      <c r="DG279" s="1">
        <v>0</v>
      </c>
      <c r="DH279" s="1">
        <v>0</v>
      </c>
      <c r="DI279" s="1">
        <v>0</v>
      </c>
      <c r="DJ279" s="1">
        <v>0</v>
      </c>
      <c r="DK279" s="1">
        <v>0</v>
      </c>
      <c r="DL279" s="1">
        <v>0</v>
      </c>
      <c r="DM279" s="1">
        <v>17312.080000000002</v>
      </c>
      <c r="DN279" s="1">
        <v>8297.5519999999997</v>
      </c>
      <c r="DO279" s="1">
        <v>5848.61</v>
      </c>
      <c r="DP279" s="1">
        <v>6867.9110000000001</v>
      </c>
      <c r="DQ279" s="1">
        <v>17312.080000000002</v>
      </c>
      <c r="DR279" s="1">
        <v>8297.5519999999997</v>
      </c>
      <c r="DS279" s="1">
        <v>5848.61</v>
      </c>
      <c r="DT279" s="1">
        <v>6867.9110000000001</v>
      </c>
      <c r="DU279" s="1">
        <v>0</v>
      </c>
      <c r="DV279" s="1">
        <v>0</v>
      </c>
      <c r="DW279" s="1">
        <v>0</v>
      </c>
      <c r="DX279" s="1">
        <v>0</v>
      </c>
      <c r="DY279" s="1">
        <v>0</v>
      </c>
      <c r="DZ279" s="1">
        <v>0</v>
      </c>
      <c r="EA279" s="1">
        <v>0</v>
      </c>
      <c r="EB279" s="1">
        <v>0</v>
      </c>
      <c r="EC279" s="1">
        <v>0</v>
      </c>
      <c r="ED279" s="1">
        <v>0</v>
      </c>
      <c r="EE279" s="1">
        <v>0</v>
      </c>
      <c r="EF279" s="1">
        <v>0</v>
      </c>
      <c r="EG279" s="1">
        <v>0</v>
      </c>
      <c r="EH279" s="1">
        <v>0</v>
      </c>
      <c r="EI279" s="1">
        <v>0</v>
      </c>
      <c r="EJ279" s="1">
        <v>0</v>
      </c>
      <c r="EK279" s="1">
        <v>26268.54</v>
      </c>
      <c r="EL279" s="1">
        <v>4896.6419999999998</v>
      </c>
      <c r="EM279" s="1">
        <v>1010.76</v>
      </c>
      <c r="EN279" s="1">
        <v>2067.3910000000001</v>
      </c>
      <c r="EO279" s="1">
        <v>26268.54</v>
      </c>
      <c r="EP279" s="1">
        <v>4896.6419999999998</v>
      </c>
      <c r="EQ279" s="1">
        <v>1010.76</v>
      </c>
      <c r="ER279" s="1">
        <v>2067.3910000000001</v>
      </c>
      <c r="ES279" s="1">
        <v>0</v>
      </c>
      <c r="ET279" s="1">
        <v>0</v>
      </c>
      <c r="EU279" s="1">
        <v>0</v>
      </c>
      <c r="EV279" s="1">
        <v>0</v>
      </c>
      <c r="EW279" s="1">
        <v>0</v>
      </c>
      <c r="EX279" s="1">
        <v>0</v>
      </c>
      <c r="EY279" s="1">
        <v>0</v>
      </c>
      <c r="EZ279" s="1">
        <v>0</v>
      </c>
      <c r="FA279" s="1">
        <v>0</v>
      </c>
      <c r="FB279" s="1">
        <v>0</v>
      </c>
      <c r="FC279" s="1">
        <v>0</v>
      </c>
      <c r="FD279" s="1">
        <v>0</v>
      </c>
      <c r="FE279" s="1">
        <v>192.911</v>
      </c>
      <c r="FF279" s="1">
        <v>47.253999999999998</v>
      </c>
      <c r="FG279" s="1">
        <v>0.32</v>
      </c>
      <c r="FH279" s="1">
        <v>0</v>
      </c>
      <c r="FI279" s="1">
        <v>183.01</v>
      </c>
      <c r="FJ279" s="1">
        <v>43.584000000000003</v>
      </c>
      <c r="FK279" s="1">
        <v>0.32</v>
      </c>
      <c r="FL279" s="1">
        <v>0</v>
      </c>
      <c r="FM279" s="1">
        <v>9.9009999999999998</v>
      </c>
      <c r="FN279" s="1">
        <v>3.67</v>
      </c>
      <c r="FO279" s="1">
        <v>0</v>
      </c>
      <c r="FP279" s="1">
        <v>0</v>
      </c>
      <c r="FQ279" s="1">
        <v>0</v>
      </c>
      <c r="FR279" s="1">
        <v>0</v>
      </c>
      <c r="FS279" s="1">
        <v>0</v>
      </c>
      <c r="FT279" s="1">
        <v>0</v>
      </c>
      <c r="FU279" s="1">
        <v>0</v>
      </c>
      <c r="FV279" s="1">
        <v>0</v>
      </c>
      <c r="FW279" s="1">
        <v>0</v>
      </c>
      <c r="FX279" s="1">
        <v>0</v>
      </c>
      <c r="FY279" s="1">
        <v>0</v>
      </c>
      <c r="FZ279" s="1">
        <v>0</v>
      </c>
      <c r="GA279" s="1">
        <v>0</v>
      </c>
      <c r="GB279" s="1">
        <v>0</v>
      </c>
      <c r="GC279" s="1">
        <v>61.511000000000003</v>
      </c>
      <c r="GD279" s="1">
        <v>16.64</v>
      </c>
      <c r="GE279" s="1">
        <v>11.28</v>
      </c>
      <c r="GF279" s="1">
        <v>5.36</v>
      </c>
      <c r="GG279" s="1">
        <v>61.511000000000003</v>
      </c>
      <c r="GH279" s="1">
        <v>16.64</v>
      </c>
      <c r="GI279" s="1">
        <v>11.28</v>
      </c>
      <c r="GJ279" s="1">
        <v>5.36</v>
      </c>
      <c r="GK279" s="1">
        <v>0</v>
      </c>
      <c r="GL279" s="1">
        <v>0</v>
      </c>
      <c r="GM279" s="1">
        <v>0</v>
      </c>
      <c r="GN279" s="1">
        <v>0</v>
      </c>
      <c r="GO279" s="1">
        <v>0</v>
      </c>
      <c r="GP279" s="1">
        <v>0</v>
      </c>
      <c r="GQ279" s="1">
        <v>0</v>
      </c>
      <c r="GR279" s="1">
        <v>0</v>
      </c>
      <c r="GS279" s="1">
        <v>0</v>
      </c>
      <c r="GT279" s="1">
        <v>0</v>
      </c>
      <c r="GU279" s="1">
        <v>0</v>
      </c>
      <c r="GV279" s="1">
        <v>0</v>
      </c>
      <c r="GW279" s="1">
        <v>0</v>
      </c>
      <c r="GX279" s="1">
        <v>0</v>
      </c>
      <c r="GY279" s="1">
        <v>0</v>
      </c>
      <c r="GZ279" s="1">
        <v>0</v>
      </c>
      <c r="HA279" s="1">
        <v>0</v>
      </c>
      <c r="HB279" s="1">
        <v>0</v>
      </c>
      <c r="HC279" s="1">
        <v>0</v>
      </c>
      <c r="HD279" s="1">
        <v>0</v>
      </c>
      <c r="HE279" s="1">
        <v>0</v>
      </c>
      <c r="HF279" s="1">
        <v>0</v>
      </c>
      <c r="HG279" s="1">
        <v>0</v>
      </c>
      <c r="HH279" s="1">
        <v>249.75</v>
      </c>
      <c r="HI279" s="1">
        <v>0</v>
      </c>
      <c r="HJ279" s="1">
        <v>0</v>
      </c>
      <c r="HK279" s="1">
        <v>0</v>
      </c>
      <c r="HL279" s="1">
        <v>249.75</v>
      </c>
      <c r="HM279" s="1">
        <v>0</v>
      </c>
      <c r="HN279" s="1">
        <v>0</v>
      </c>
      <c r="HO279" s="1">
        <v>0</v>
      </c>
      <c r="HP279" s="1">
        <v>0</v>
      </c>
      <c r="HQ279" s="1">
        <v>0</v>
      </c>
      <c r="HR279" s="1">
        <v>0</v>
      </c>
      <c r="HS279" s="1">
        <v>0</v>
      </c>
      <c r="HT279" s="1">
        <v>0</v>
      </c>
      <c r="HU279" s="1">
        <v>0</v>
      </c>
      <c r="HV279" s="1">
        <v>0</v>
      </c>
      <c r="HW279" s="1">
        <v>0</v>
      </c>
      <c r="HX279" s="1">
        <v>0</v>
      </c>
      <c r="HY279" s="1">
        <v>0</v>
      </c>
      <c r="HZ279" s="1">
        <v>0</v>
      </c>
      <c r="IA279" s="1">
        <v>0</v>
      </c>
      <c r="IB279" s="1">
        <v>0</v>
      </c>
      <c r="IC279" s="1">
        <v>0</v>
      </c>
      <c r="ID279" s="1">
        <v>0</v>
      </c>
      <c r="IE279" s="1">
        <v>0</v>
      </c>
      <c r="IF279" s="1">
        <v>0</v>
      </c>
      <c r="IG279" s="1">
        <v>0</v>
      </c>
      <c r="IH279" s="1">
        <v>0</v>
      </c>
      <c r="II279" s="1">
        <v>0</v>
      </c>
      <c r="IJ279" s="1">
        <v>0</v>
      </c>
      <c r="IK279" s="1">
        <v>0</v>
      </c>
      <c r="IL279" s="1">
        <v>0</v>
      </c>
      <c r="IM279" s="1">
        <v>0</v>
      </c>
      <c r="IN279" s="1">
        <v>0</v>
      </c>
      <c r="IO279" s="1">
        <v>3044.4</v>
      </c>
      <c r="IP279" s="1">
        <v>0</v>
      </c>
      <c r="IQ279" s="1">
        <v>173.18</v>
      </c>
      <c r="IR279" s="1">
        <v>170.66</v>
      </c>
      <c r="IS279" s="1">
        <v>3044.4</v>
      </c>
      <c r="IT279" s="1">
        <v>0</v>
      </c>
      <c r="IU279" s="1">
        <v>173.18</v>
      </c>
      <c r="IV279" s="1">
        <v>170.66</v>
      </c>
      <c r="IW279" s="1">
        <v>0</v>
      </c>
      <c r="IX279" s="1">
        <v>0</v>
      </c>
      <c r="IY279" s="1">
        <v>0</v>
      </c>
      <c r="IZ279" s="1">
        <v>0</v>
      </c>
      <c r="JA279" s="1">
        <v>0</v>
      </c>
      <c r="JB279" s="1">
        <v>0</v>
      </c>
      <c r="JC279" s="1">
        <v>0</v>
      </c>
      <c r="JD279" s="1">
        <v>0</v>
      </c>
      <c r="JE279" s="1">
        <v>0</v>
      </c>
      <c r="JF279" s="1">
        <v>0</v>
      </c>
      <c r="JG279" s="1">
        <v>0</v>
      </c>
      <c r="JH279" s="1">
        <v>0</v>
      </c>
      <c r="JI279" s="1">
        <v>0</v>
      </c>
      <c r="JJ279" s="1">
        <v>0</v>
      </c>
      <c r="JK279" s="1">
        <v>0</v>
      </c>
      <c r="JL279" s="1">
        <v>0</v>
      </c>
      <c r="JM279" s="1">
        <v>0</v>
      </c>
      <c r="JN279" s="1">
        <v>0</v>
      </c>
      <c r="JO279" s="1">
        <v>0</v>
      </c>
      <c r="JP279" s="1">
        <v>0</v>
      </c>
      <c r="JQ279" s="9"/>
      <c r="JR279" s="1">
        <f t="shared" si="60"/>
        <v>4601.5773300000083</v>
      </c>
      <c r="JS279" s="1">
        <f t="shared" si="60"/>
        <v>4565.8158300000032</v>
      </c>
      <c r="JT279" s="1">
        <f t="shared" si="60"/>
        <v>4429.5157800000006</v>
      </c>
      <c r="JU279" s="1">
        <f t="shared" si="58"/>
        <v>4719.8905199999999</v>
      </c>
      <c r="JV279" s="1">
        <f t="shared" si="61"/>
        <v>852.1439500000015</v>
      </c>
      <c r="JW279" s="1">
        <f t="shared" si="61"/>
        <v>845.52145000000064</v>
      </c>
      <c r="JX279" s="1">
        <f t="shared" si="61"/>
        <v>820.28070000000014</v>
      </c>
      <c r="JY279" s="1">
        <f t="shared" si="59"/>
        <v>874.05379999999991</v>
      </c>
    </row>
    <row r="280" spans="1:285" x14ac:dyDescent="0.35">
      <c r="A280" s="2" t="s">
        <v>287</v>
      </c>
      <c r="B280" s="1">
        <v>178236</v>
      </c>
      <c r="C280" s="1">
        <v>180813</v>
      </c>
      <c r="D280" s="1">
        <v>182332</v>
      </c>
      <c r="E280" s="1">
        <v>186077</v>
      </c>
      <c r="F280" s="1">
        <v>67181.191000000006</v>
      </c>
      <c r="G280" s="1">
        <v>70767.888000000006</v>
      </c>
      <c r="H280" s="1">
        <v>62410.794999999998</v>
      </c>
      <c r="I280" s="1">
        <v>59230.125999999997</v>
      </c>
      <c r="J280" s="1">
        <f t="shared" si="62"/>
        <v>46352.462999999996</v>
      </c>
      <c r="K280" s="1">
        <f t="shared" si="63"/>
        <v>50621.634000000005</v>
      </c>
      <c r="L280" s="1">
        <f t="shared" si="64"/>
        <v>42640.659</v>
      </c>
      <c r="M280" s="1">
        <f t="shared" si="65"/>
        <v>39409.552000000003</v>
      </c>
      <c r="N280" s="1">
        <f t="shared" si="66"/>
        <v>20828.72800000001</v>
      </c>
      <c r="O280" s="1">
        <f t="shared" si="67"/>
        <v>20146.254000000001</v>
      </c>
      <c r="P280" s="1">
        <f t="shared" si="68"/>
        <v>19770.135999999999</v>
      </c>
      <c r="Q280" s="1">
        <f t="shared" si="69"/>
        <v>19820.573999999993</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c r="AH280" s="1">
        <v>0</v>
      </c>
      <c r="AI280" s="1">
        <v>0</v>
      </c>
      <c r="AJ280" s="1">
        <v>0</v>
      </c>
      <c r="AK280" s="1">
        <v>0</v>
      </c>
      <c r="AL280" s="1">
        <v>0</v>
      </c>
      <c r="AM280" s="1">
        <v>0</v>
      </c>
      <c r="AN280" s="1">
        <v>0</v>
      </c>
      <c r="AO280" s="1">
        <v>0</v>
      </c>
      <c r="AP280" s="1">
        <v>12814.269</v>
      </c>
      <c r="AQ280" s="1">
        <v>13166.93</v>
      </c>
      <c r="AR280" s="1">
        <v>11160.64</v>
      </c>
      <c r="AS280" s="1">
        <v>12732.63</v>
      </c>
      <c r="AT280" s="1">
        <v>12814.269</v>
      </c>
      <c r="AU280" s="1">
        <v>0</v>
      </c>
      <c r="AV280" s="1">
        <v>0</v>
      </c>
      <c r="AW280" s="1">
        <v>0</v>
      </c>
      <c r="AX280" s="1">
        <v>13166.93</v>
      </c>
      <c r="AY280" s="1">
        <v>0</v>
      </c>
      <c r="AZ280" s="1">
        <v>0</v>
      </c>
      <c r="BA280" s="1">
        <v>0</v>
      </c>
      <c r="BB280" s="1">
        <v>11160.64</v>
      </c>
      <c r="BC280" s="1">
        <v>0</v>
      </c>
      <c r="BD280" s="1">
        <v>0</v>
      </c>
      <c r="BE280" s="1">
        <v>12732.63</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12470.276</v>
      </c>
      <c r="BV280" s="1">
        <v>16766.788</v>
      </c>
      <c r="BW280" s="1">
        <v>11687.405000000001</v>
      </c>
      <c r="BX280" s="1">
        <v>9319.9</v>
      </c>
      <c r="BY280" s="1">
        <v>12470.276</v>
      </c>
      <c r="BZ280" s="1">
        <v>16766.788</v>
      </c>
      <c r="CA280" s="1">
        <v>11687.405000000001</v>
      </c>
      <c r="CB280" s="1">
        <v>9319.9</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3529.08</v>
      </c>
      <c r="CT280" s="1">
        <v>3193.5439999999999</v>
      </c>
      <c r="CU280" s="1">
        <v>3861.998</v>
      </c>
      <c r="CV280" s="1">
        <v>2168.9299999999998</v>
      </c>
      <c r="CW280" s="1">
        <v>3529.08</v>
      </c>
      <c r="CX280" s="1">
        <v>3193.5439999999999</v>
      </c>
      <c r="CY280" s="1">
        <v>3861.998</v>
      </c>
      <c r="CZ280" s="1">
        <v>2168.9299999999998</v>
      </c>
      <c r="DA280" s="1">
        <v>0</v>
      </c>
      <c r="DB280" s="1">
        <v>0</v>
      </c>
      <c r="DC280" s="1">
        <v>0</v>
      </c>
      <c r="DD280" s="1">
        <v>0</v>
      </c>
      <c r="DE280" s="1">
        <v>0</v>
      </c>
      <c r="DF280" s="1">
        <v>0</v>
      </c>
      <c r="DG280" s="1">
        <v>0</v>
      </c>
      <c r="DH280" s="1">
        <v>0</v>
      </c>
      <c r="DI280" s="1">
        <v>0</v>
      </c>
      <c r="DJ280" s="1">
        <v>0</v>
      </c>
      <c r="DK280" s="1">
        <v>0</v>
      </c>
      <c r="DL280" s="1">
        <v>0</v>
      </c>
      <c r="DM280" s="1">
        <v>13570.384</v>
      </c>
      <c r="DN280" s="1">
        <v>14537.495999999999</v>
      </c>
      <c r="DO280" s="1">
        <v>13563.575999999999</v>
      </c>
      <c r="DP280" s="1">
        <v>12817.224</v>
      </c>
      <c r="DQ280" s="1">
        <v>13570.384</v>
      </c>
      <c r="DR280" s="1">
        <v>14537.495999999999</v>
      </c>
      <c r="DS280" s="1">
        <v>13563.575999999999</v>
      </c>
      <c r="DT280" s="1">
        <v>12817.224</v>
      </c>
      <c r="DU280" s="1">
        <v>0</v>
      </c>
      <c r="DV280" s="1">
        <v>0</v>
      </c>
      <c r="DW280" s="1">
        <v>0</v>
      </c>
      <c r="DX280" s="1">
        <v>0</v>
      </c>
      <c r="DY280" s="1">
        <v>0</v>
      </c>
      <c r="DZ280" s="1">
        <v>0</v>
      </c>
      <c r="EA280" s="1">
        <v>0</v>
      </c>
      <c r="EB280" s="1">
        <v>0</v>
      </c>
      <c r="EC280" s="1">
        <v>0</v>
      </c>
      <c r="ED280" s="1">
        <v>0</v>
      </c>
      <c r="EE280" s="1">
        <v>0</v>
      </c>
      <c r="EF280" s="1">
        <v>0</v>
      </c>
      <c r="EG280" s="1">
        <v>0</v>
      </c>
      <c r="EH280" s="1">
        <v>0</v>
      </c>
      <c r="EI280" s="1">
        <v>0</v>
      </c>
      <c r="EJ280" s="1">
        <v>0</v>
      </c>
      <c r="EK280" s="1">
        <v>1509.9359999999999</v>
      </c>
      <c r="EL280" s="1">
        <v>1316.7349999999999</v>
      </c>
      <c r="EM280" s="1">
        <v>1149.895</v>
      </c>
      <c r="EN280" s="1">
        <v>1342.69</v>
      </c>
      <c r="EO280" s="1">
        <v>1509.9359999999999</v>
      </c>
      <c r="EP280" s="1">
        <v>1316.7349999999999</v>
      </c>
      <c r="EQ280" s="1">
        <v>1149.895</v>
      </c>
      <c r="ER280" s="1">
        <v>1342.69</v>
      </c>
      <c r="ES280" s="1">
        <v>0</v>
      </c>
      <c r="ET280" s="1">
        <v>0</v>
      </c>
      <c r="EU280" s="1">
        <v>0</v>
      </c>
      <c r="EV280" s="1">
        <v>0</v>
      </c>
      <c r="EW280" s="1">
        <v>0</v>
      </c>
      <c r="EX280" s="1">
        <v>0</v>
      </c>
      <c r="EY280" s="1">
        <v>0</v>
      </c>
      <c r="EZ280" s="1">
        <v>0</v>
      </c>
      <c r="FA280" s="1">
        <v>0</v>
      </c>
      <c r="FB280" s="1">
        <v>0</v>
      </c>
      <c r="FC280" s="1">
        <v>0</v>
      </c>
      <c r="FD280" s="1">
        <v>0</v>
      </c>
      <c r="FE280" s="1">
        <v>288.702</v>
      </c>
      <c r="FF280" s="1">
        <v>328.65</v>
      </c>
      <c r="FG280" s="1">
        <v>170.02699999999999</v>
      </c>
      <c r="FH280" s="1">
        <v>130.84700000000001</v>
      </c>
      <c r="FI280" s="1">
        <v>288.702</v>
      </c>
      <c r="FJ280" s="1">
        <v>328.65</v>
      </c>
      <c r="FK280" s="1">
        <v>170.02699999999999</v>
      </c>
      <c r="FL280" s="1">
        <v>130.84700000000001</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v>0</v>
      </c>
      <c r="GC280" s="1">
        <v>22.794</v>
      </c>
      <c r="GD280" s="1">
        <v>24.65</v>
      </c>
      <c r="GE280" s="1">
        <v>5.1419999999999986</v>
      </c>
      <c r="GF280" s="1">
        <v>4.58</v>
      </c>
      <c r="GG280" s="1">
        <v>22.794</v>
      </c>
      <c r="GH280" s="1">
        <v>24.65</v>
      </c>
      <c r="GI280" s="1">
        <v>5.1419999999999986</v>
      </c>
      <c r="GJ280" s="1">
        <v>4.58</v>
      </c>
      <c r="GK280" s="1">
        <v>0</v>
      </c>
      <c r="GL280" s="1">
        <v>0</v>
      </c>
      <c r="GM280" s="1">
        <v>0</v>
      </c>
      <c r="GN280" s="1">
        <v>0</v>
      </c>
      <c r="GO280" s="1">
        <v>0</v>
      </c>
      <c r="GP280" s="1">
        <v>0</v>
      </c>
      <c r="GQ280" s="1">
        <v>0</v>
      </c>
      <c r="GR280" s="1">
        <v>0</v>
      </c>
      <c r="GS280" s="1">
        <v>0</v>
      </c>
      <c r="GT280" s="1">
        <v>0</v>
      </c>
      <c r="GU280" s="1">
        <v>0</v>
      </c>
      <c r="GV280" s="1">
        <v>0</v>
      </c>
      <c r="GW280" s="1">
        <v>0</v>
      </c>
      <c r="GX280" s="1">
        <v>0</v>
      </c>
      <c r="GY280" s="1">
        <v>0</v>
      </c>
      <c r="GZ280" s="1">
        <v>0</v>
      </c>
      <c r="HA280" s="1">
        <v>0</v>
      </c>
      <c r="HB280" s="1">
        <v>0</v>
      </c>
      <c r="HC280" s="1">
        <v>0</v>
      </c>
      <c r="HD280" s="1">
        <v>0</v>
      </c>
      <c r="HE280" s="1">
        <v>0</v>
      </c>
      <c r="HF280" s="1">
        <v>0</v>
      </c>
      <c r="HG280" s="1">
        <v>0</v>
      </c>
      <c r="HH280" s="1">
        <v>0</v>
      </c>
      <c r="HI280" s="1">
        <v>0</v>
      </c>
      <c r="HJ280" s="1">
        <v>0</v>
      </c>
      <c r="HK280" s="1">
        <v>0</v>
      </c>
      <c r="HL280" s="1">
        <v>0</v>
      </c>
      <c r="HM280" s="1">
        <v>0</v>
      </c>
      <c r="HN280" s="1">
        <v>0</v>
      </c>
      <c r="HO280" s="1">
        <v>0</v>
      </c>
      <c r="HP280" s="1">
        <v>0</v>
      </c>
      <c r="HQ280" s="1">
        <v>0</v>
      </c>
      <c r="HR280" s="1">
        <v>0</v>
      </c>
      <c r="HS280" s="1">
        <v>0</v>
      </c>
      <c r="HT280" s="1">
        <v>0</v>
      </c>
      <c r="HU280" s="1">
        <v>0</v>
      </c>
      <c r="HV280" s="1">
        <v>0</v>
      </c>
      <c r="HW280" s="1">
        <v>0</v>
      </c>
      <c r="HX280" s="1">
        <v>0</v>
      </c>
      <c r="HY280" s="1">
        <v>0</v>
      </c>
      <c r="HZ280" s="1">
        <v>0</v>
      </c>
      <c r="IA280" s="1">
        <v>0</v>
      </c>
      <c r="IB280" s="1">
        <v>0</v>
      </c>
      <c r="IC280" s="1">
        <v>0</v>
      </c>
      <c r="ID280" s="1">
        <v>0</v>
      </c>
      <c r="IE280" s="1">
        <v>0</v>
      </c>
      <c r="IF280" s="1">
        <v>0</v>
      </c>
      <c r="IG280" s="1">
        <v>0</v>
      </c>
      <c r="IH280" s="1">
        <v>0</v>
      </c>
      <c r="II280" s="1">
        <v>0</v>
      </c>
      <c r="IJ280" s="1">
        <v>0</v>
      </c>
      <c r="IK280" s="1">
        <v>0</v>
      </c>
      <c r="IL280" s="1">
        <v>0</v>
      </c>
      <c r="IM280" s="1">
        <v>0</v>
      </c>
      <c r="IN280" s="1">
        <v>0</v>
      </c>
      <c r="IO280" s="1">
        <v>2147.0219999999999</v>
      </c>
      <c r="IP280" s="1">
        <v>1286.8409999999999</v>
      </c>
      <c r="IQ280" s="1">
        <v>1041.9760000000001</v>
      </c>
      <c r="IR280" s="1">
        <v>892.75099999999998</v>
      </c>
      <c r="IS280" s="1">
        <v>2147.0219999999999</v>
      </c>
      <c r="IT280" s="1">
        <v>1286.8409999999999</v>
      </c>
      <c r="IU280" s="1">
        <v>1041.9760000000001</v>
      </c>
      <c r="IV280" s="1">
        <v>892.75099999999998</v>
      </c>
      <c r="IW280" s="1">
        <v>0</v>
      </c>
      <c r="IX280" s="1">
        <v>0</v>
      </c>
      <c r="IY280" s="1">
        <v>0</v>
      </c>
      <c r="IZ280" s="1">
        <v>0</v>
      </c>
      <c r="JA280" s="1">
        <v>0</v>
      </c>
      <c r="JB280" s="1">
        <v>0</v>
      </c>
      <c r="JC280" s="1">
        <v>0</v>
      </c>
      <c r="JD280" s="1">
        <v>0</v>
      </c>
      <c r="JE280" s="1">
        <v>0</v>
      </c>
      <c r="JF280" s="1">
        <v>0</v>
      </c>
      <c r="JG280" s="1">
        <v>0</v>
      </c>
      <c r="JH280" s="1">
        <v>0</v>
      </c>
      <c r="JI280" s="1">
        <v>0</v>
      </c>
      <c r="JJ280" s="1">
        <v>0</v>
      </c>
      <c r="JK280" s="1">
        <v>0</v>
      </c>
      <c r="JL280" s="1">
        <v>0</v>
      </c>
      <c r="JM280" s="1">
        <v>0</v>
      </c>
      <c r="JN280" s="1">
        <v>0</v>
      </c>
      <c r="JO280" s="1">
        <v>0</v>
      </c>
      <c r="JP280" s="1">
        <v>0</v>
      </c>
      <c r="JQ280" s="9"/>
      <c r="JR280" s="1">
        <f t="shared" si="60"/>
        <v>5623.7565600000034</v>
      </c>
      <c r="JS280" s="1">
        <f t="shared" si="60"/>
        <v>5439.4885800000002</v>
      </c>
      <c r="JT280" s="1">
        <f t="shared" si="60"/>
        <v>5337.9367199999997</v>
      </c>
      <c r="JU280" s="1">
        <f t="shared" si="58"/>
        <v>5351.554979999999</v>
      </c>
      <c r="JV280" s="1">
        <f t="shared" si="61"/>
        <v>1041.4364000000005</v>
      </c>
      <c r="JW280" s="1">
        <f t="shared" si="61"/>
        <v>1007.3127000000001</v>
      </c>
      <c r="JX280" s="1">
        <f t="shared" si="61"/>
        <v>988.5068</v>
      </c>
      <c r="JY280" s="1">
        <f t="shared" si="59"/>
        <v>991.02869999999973</v>
      </c>
    </row>
    <row r="281" spans="1:285" x14ac:dyDescent="0.35">
      <c r="A281" s="2" t="s">
        <v>288</v>
      </c>
      <c r="B281" s="1">
        <v>205624</v>
      </c>
      <c r="C281" s="1">
        <v>205759</v>
      </c>
      <c r="D281" s="1">
        <v>209333</v>
      </c>
      <c r="E281" s="1">
        <v>210665</v>
      </c>
      <c r="F281" s="1">
        <v>248255.06400000001</v>
      </c>
      <c r="G281" s="1">
        <v>276335.22600000002</v>
      </c>
      <c r="H281" s="1">
        <v>337445.43699999998</v>
      </c>
      <c r="I281" s="1">
        <v>353154.16399999999</v>
      </c>
      <c r="J281" s="1">
        <f t="shared" si="62"/>
        <v>27178.19</v>
      </c>
      <c r="K281" s="1">
        <f t="shared" si="63"/>
        <v>30646.920000000002</v>
      </c>
      <c r="L281" s="1">
        <f t="shared" si="64"/>
        <v>39810.840000000004</v>
      </c>
      <c r="M281" s="1">
        <f t="shared" si="65"/>
        <v>45959.9</v>
      </c>
      <c r="N281" s="1">
        <f t="shared" si="66"/>
        <v>221076.87400000001</v>
      </c>
      <c r="O281" s="1">
        <f t="shared" si="67"/>
        <v>245688.30600000001</v>
      </c>
      <c r="P281" s="1">
        <f t="shared" si="68"/>
        <v>297634.59699999995</v>
      </c>
      <c r="Q281" s="1">
        <f t="shared" si="69"/>
        <v>307194.26399999997</v>
      </c>
      <c r="R281" s="1">
        <v>1912.14</v>
      </c>
      <c r="S281" s="1">
        <v>2256.2600000000002</v>
      </c>
      <c r="T281" s="1">
        <v>4313.58</v>
      </c>
      <c r="U281" s="1">
        <v>6414.29</v>
      </c>
      <c r="V281" s="1">
        <v>0</v>
      </c>
      <c r="W281" s="1">
        <v>0</v>
      </c>
      <c r="X281" s="1">
        <v>1912.14</v>
      </c>
      <c r="Y281" s="1">
        <v>0</v>
      </c>
      <c r="Z281" s="1">
        <v>0</v>
      </c>
      <c r="AA281" s="1">
        <v>2256.2600000000002</v>
      </c>
      <c r="AB281" s="1">
        <v>0</v>
      </c>
      <c r="AC281" s="1">
        <v>0</v>
      </c>
      <c r="AD281" s="1">
        <v>4313.58</v>
      </c>
      <c r="AE281" s="1">
        <v>0</v>
      </c>
      <c r="AF281" s="1">
        <v>0</v>
      </c>
      <c r="AG281" s="1">
        <v>6414.29</v>
      </c>
      <c r="AH281" s="1">
        <v>0</v>
      </c>
      <c r="AI281" s="1">
        <v>0</v>
      </c>
      <c r="AJ281" s="1">
        <v>0</v>
      </c>
      <c r="AK281" s="1">
        <v>0</v>
      </c>
      <c r="AL281" s="1">
        <v>0</v>
      </c>
      <c r="AM281" s="1">
        <v>0</v>
      </c>
      <c r="AN281" s="1">
        <v>0</v>
      </c>
      <c r="AO281" s="1">
        <v>0</v>
      </c>
      <c r="AP281" s="1">
        <v>55.14</v>
      </c>
      <c r="AQ281" s="1">
        <v>39.619999999999997</v>
      </c>
      <c r="AR281" s="1">
        <v>43.64</v>
      </c>
      <c r="AS281" s="1">
        <v>52.06</v>
      </c>
      <c r="AT281" s="1">
        <v>3.4</v>
      </c>
      <c r="AU281" s="1">
        <v>51.74</v>
      </c>
      <c r="AV281" s="1">
        <v>0</v>
      </c>
      <c r="AW281" s="1">
        <v>0</v>
      </c>
      <c r="AX281" s="1">
        <v>39.619999999999997</v>
      </c>
      <c r="AY281" s="1">
        <v>0</v>
      </c>
      <c r="AZ281" s="1">
        <v>0</v>
      </c>
      <c r="BA281" s="1">
        <v>0</v>
      </c>
      <c r="BB281" s="1">
        <v>43.64</v>
      </c>
      <c r="BC281" s="1">
        <v>0</v>
      </c>
      <c r="BD281" s="1">
        <v>0</v>
      </c>
      <c r="BE281" s="1">
        <v>52.06</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10434.379999999999</v>
      </c>
      <c r="BV281" s="1">
        <v>12398.01</v>
      </c>
      <c r="BW281" s="1">
        <v>13720.53</v>
      </c>
      <c r="BX281" s="1">
        <v>14660.97</v>
      </c>
      <c r="BY281" s="1">
        <v>10431.42</v>
      </c>
      <c r="BZ281" s="1">
        <v>12398.01</v>
      </c>
      <c r="CA281" s="1">
        <v>13720.53</v>
      </c>
      <c r="CB281" s="1">
        <v>14660.97</v>
      </c>
      <c r="CC281" s="1">
        <v>2.96</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1273.68</v>
      </c>
      <c r="CT281" s="1">
        <v>1918.48</v>
      </c>
      <c r="CU281" s="1">
        <v>2559.33</v>
      </c>
      <c r="CV281" s="1">
        <v>2429.9899999999998</v>
      </c>
      <c r="CW281" s="1">
        <v>1273.68</v>
      </c>
      <c r="CX281" s="1">
        <v>1918.48</v>
      </c>
      <c r="CY281" s="1">
        <v>2559.33</v>
      </c>
      <c r="CZ281" s="1">
        <v>2429.9899999999998</v>
      </c>
      <c r="DA281" s="1">
        <v>0</v>
      </c>
      <c r="DB281" s="1">
        <v>0</v>
      </c>
      <c r="DC281" s="1">
        <v>0</v>
      </c>
      <c r="DD281" s="1">
        <v>0</v>
      </c>
      <c r="DE281" s="1">
        <v>0</v>
      </c>
      <c r="DF281" s="1">
        <v>0</v>
      </c>
      <c r="DG281" s="1">
        <v>0</v>
      </c>
      <c r="DH281" s="1">
        <v>0</v>
      </c>
      <c r="DI281" s="1">
        <v>0</v>
      </c>
      <c r="DJ281" s="1">
        <v>0</v>
      </c>
      <c r="DK281" s="1">
        <v>0</v>
      </c>
      <c r="DL281" s="1">
        <v>0</v>
      </c>
      <c r="DM281" s="1">
        <v>7064.1399999999994</v>
      </c>
      <c r="DN281" s="1">
        <v>8508.69</v>
      </c>
      <c r="DO281" s="1">
        <v>13444.71</v>
      </c>
      <c r="DP281" s="1">
        <v>16113.7</v>
      </c>
      <c r="DQ281" s="1">
        <v>7064.1399999999994</v>
      </c>
      <c r="DR281" s="1">
        <v>8508.69</v>
      </c>
      <c r="DS281" s="1">
        <v>13444.71</v>
      </c>
      <c r="DT281" s="1">
        <v>16113.7</v>
      </c>
      <c r="DU281" s="1">
        <v>0</v>
      </c>
      <c r="DV281" s="1">
        <v>0</v>
      </c>
      <c r="DW281" s="1">
        <v>0</v>
      </c>
      <c r="DX281" s="1">
        <v>0</v>
      </c>
      <c r="DY281" s="1">
        <v>0</v>
      </c>
      <c r="DZ281" s="1">
        <v>0</v>
      </c>
      <c r="EA281" s="1">
        <v>0</v>
      </c>
      <c r="EB281" s="1">
        <v>0</v>
      </c>
      <c r="EC281" s="1">
        <v>0</v>
      </c>
      <c r="ED281" s="1">
        <v>0</v>
      </c>
      <c r="EE281" s="1">
        <v>0</v>
      </c>
      <c r="EF281" s="1">
        <v>0</v>
      </c>
      <c r="EG281" s="1">
        <v>0</v>
      </c>
      <c r="EH281" s="1">
        <v>0</v>
      </c>
      <c r="EI281" s="1">
        <v>0</v>
      </c>
      <c r="EJ281" s="1">
        <v>0</v>
      </c>
      <c r="EK281" s="1">
        <v>5187.99</v>
      </c>
      <c r="EL281" s="1">
        <v>4633.5</v>
      </c>
      <c r="EM281" s="1">
        <v>4954.12</v>
      </c>
      <c r="EN281" s="1">
        <v>5676.6600000000008</v>
      </c>
      <c r="EO281" s="1">
        <v>5187.99</v>
      </c>
      <c r="EP281" s="1">
        <v>4633.5</v>
      </c>
      <c r="EQ281" s="1">
        <v>4954.12</v>
      </c>
      <c r="ER281" s="1">
        <v>5676.6600000000008</v>
      </c>
      <c r="ES281" s="1">
        <v>0</v>
      </c>
      <c r="ET281" s="1">
        <v>0</v>
      </c>
      <c r="EU281" s="1">
        <v>0</v>
      </c>
      <c r="EV281" s="1">
        <v>0</v>
      </c>
      <c r="EW281" s="1">
        <v>0</v>
      </c>
      <c r="EX281" s="1">
        <v>0</v>
      </c>
      <c r="EY281" s="1">
        <v>0</v>
      </c>
      <c r="EZ281" s="1">
        <v>0</v>
      </c>
      <c r="FA281" s="1">
        <v>0</v>
      </c>
      <c r="FB281" s="1">
        <v>0</v>
      </c>
      <c r="FC281" s="1">
        <v>0</v>
      </c>
      <c r="FD281" s="1">
        <v>0</v>
      </c>
      <c r="FE281" s="1">
        <v>696.48</v>
      </c>
      <c r="FF281" s="1">
        <v>442.55999999999989</v>
      </c>
      <c r="FG281" s="1">
        <v>426.24</v>
      </c>
      <c r="FH281" s="1">
        <v>309.75</v>
      </c>
      <c r="FI281" s="1">
        <v>0</v>
      </c>
      <c r="FJ281" s="1">
        <v>0</v>
      </c>
      <c r="FK281" s="1">
        <v>0</v>
      </c>
      <c r="FL281" s="1">
        <v>0</v>
      </c>
      <c r="FM281" s="1">
        <v>696.48</v>
      </c>
      <c r="FN281" s="1">
        <v>442.55999999999989</v>
      </c>
      <c r="FO281" s="1">
        <v>426.24</v>
      </c>
      <c r="FP281" s="1">
        <v>309.75</v>
      </c>
      <c r="FQ281" s="1">
        <v>0</v>
      </c>
      <c r="FR281" s="1">
        <v>0</v>
      </c>
      <c r="FS281" s="1">
        <v>0</v>
      </c>
      <c r="FT281" s="1">
        <v>0</v>
      </c>
      <c r="FU281" s="1">
        <v>0</v>
      </c>
      <c r="FV281" s="1">
        <v>0</v>
      </c>
      <c r="FW281" s="1">
        <v>0</v>
      </c>
      <c r="FX281" s="1">
        <v>0</v>
      </c>
      <c r="FY281" s="1">
        <v>0</v>
      </c>
      <c r="FZ281" s="1">
        <v>0</v>
      </c>
      <c r="GA281" s="1">
        <v>0</v>
      </c>
      <c r="GB281" s="1">
        <v>0</v>
      </c>
      <c r="GC281" s="1">
        <v>250.93</v>
      </c>
      <c r="GD281" s="1">
        <v>266.75</v>
      </c>
      <c r="GE281" s="1">
        <v>223.11</v>
      </c>
      <c r="GF281" s="1">
        <v>232.57</v>
      </c>
      <c r="GG281" s="1">
        <v>250.93</v>
      </c>
      <c r="GH281" s="1">
        <v>266.75</v>
      </c>
      <c r="GI281" s="1">
        <v>223.11</v>
      </c>
      <c r="GJ281" s="1">
        <v>232.57</v>
      </c>
      <c r="GK281" s="1">
        <v>0</v>
      </c>
      <c r="GL281" s="1">
        <v>0</v>
      </c>
      <c r="GM281" s="1">
        <v>0</v>
      </c>
      <c r="GN281" s="1">
        <v>0</v>
      </c>
      <c r="GO281" s="1">
        <v>0</v>
      </c>
      <c r="GP281" s="1">
        <v>0</v>
      </c>
      <c r="GQ281" s="1">
        <v>0</v>
      </c>
      <c r="GR281" s="1">
        <v>0</v>
      </c>
      <c r="GS281" s="1">
        <v>0</v>
      </c>
      <c r="GT281" s="1">
        <v>0</v>
      </c>
      <c r="GU281" s="1">
        <v>0</v>
      </c>
      <c r="GV281" s="1">
        <v>0</v>
      </c>
      <c r="GW281" s="1">
        <v>0</v>
      </c>
      <c r="GX281" s="1">
        <v>0</v>
      </c>
      <c r="GY281" s="1">
        <v>0</v>
      </c>
      <c r="GZ281" s="1">
        <v>0</v>
      </c>
      <c r="HA281" s="1">
        <v>0</v>
      </c>
      <c r="HB281" s="1">
        <v>0</v>
      </c>
      <c r="HC281" s="1">
        <v>0</v>
      </c>
      <c r="HD281" s="1">
        <v>0</v>
      </c>
      <c r="HE281" s="1">
        <v>135.80000000000001</v>
      </c>
      <c r="HF281" s="1">
        <v>162.83000000000001</v>
      </c>
      <c r="HG281" s="1">
        <v>0</v>
      </c>
      <c r="HH281" s="1">
        <v>0</v>
      </c>
      <c r="HI281" s="1">
        <v>135.80000000000001</v>
      </c>
      <c r="HJ281" s="1">
        <v>162.83000000000001</v>
      </c>
      <c r="HK281" s="1">
        <v>0</v>
      </c>
      <c r="HL281" s="1">
        <v>0</v>
      </c>
      <c r="HM281" s="1">
        <v>0</v>
      </c>
      <c r="HN281" s="1">
        <v>0</v>
      </c>
      <c r="HO281" s="1">
        <v>0</v>
      </c>
      <c r="HP281" s="1">
        <v>0</v>
      </c>
      <c r="HQ281" s="1">
        <v>0</v>
      </c>
      <c r="HR281" s="1">
        <v>0</v>
      </c>
      <c r="HS281" s="1">
        <v>0</v>
      </c>
      <c r="HT281" s="1">
        <v>0</v>
      </c>
      <c r="HU281" s="1">
        <v>0</v>
      </c>
      <c r="HV281" s="1">
        <v>0</v>
      </c>
      <c r="HW281" s="1">
        <v>0</v>
      </c>
      <c r="HX281" s="1">
        <v>0</v>
      </c>
      <c r="HY281" s="1">
        <v>0</v>
      </c>
      <c r="HZ281" s="1">
        <v>0</v>
      </c>
      <c r="IA281" s="1">
        <v>0</v>
      </c>
      <c r="IB281" s="1">
        <v>0</v>
      </c>
      <c r="IC281" s="1">
        <v>0</v>
      </c>
      <c r="ID281" s="1">
        <v>0</v>
      </c>
      <c r="IE281" s="1">
        <v>0</v>
      </c>
      <c r="IF281" s="1">
        <v>0</v>
      </c>
      <c r="IG281" s="1">
        <v>0</v>
      </c>
      <c r="IH281" s="1">
        <v>0</v>
      </c>
      <c r="II281" s="1">
        <v>0</v>
      </c>
      <c r="IJ281" s="1">
        <v>0</v>
      </c>
      <c r="IK281" s="1">
        <v>0</v>
      </c>
      <c r="IL281" s="1">
        <v>0</v>
      </c>
      <c r="IM281" s="1">
        <v>0</v>
      </c>
      <c r="IN281" s="1">
        <v>0</v>
      </c>
      <c r="IO281" s="1">
        <v>167.51</v>
      </c>
      <c r="IP281" s="1">
        <v>20.22</v>
      </c>
      <c r="IQ281" s="1">
        <v>125.58</v>
      </c>
      <c r="IR281" s="1">
        <v>69.91</v>
      </c>
      <c r="IS281" s="1">
        <v>167.51</v>
      </c>
      <c r="IT281" s="1">
        <v>20.22</v>
      </c>
      <c r="IU281" s="1">
        <v>125.58</v>
      </c>
      <c r="IV281" s="1">
        <v>69.91</v>
      </c>
      <c r="IW281" s="1">
        <v>0</v>
      </c>
      <c r="IX281" s="1">
        <v>0</v>
      </c>
      <c r="IY281" s="1">
        <v>0</v>
      </c>
      <c r="IZ281" s="1">
        <v>0</v>
      </c>
      <c r="JA281" s="1">
        <v>0</v>
      </c>
      <c r="JB281" s="1">
        <v>0</v>
      </c>
      <c r="JC281" s="1">
        <v>0</v>
      </c>
      <c r="JD281" s="1">
        <v>0</v>
      </c>
      <c r="JE281" s="1">
        <v>0</v>
      </c>
      <c r="JF281" s="1">
        <v>0</v>
      </c>
      <c r="JG281" s="1">
        <v>0</v>
      </c>
      <c r="JH281" s="1">
        <v>0</v>
      </c>
      <c r="JI281" s="1">
        <v>0</v>
      </c>
      <c r="JJ281" s="1">
        <v>0</v>
      </c>
      <c r="JK281" s="1">
        <v>0</v>
      </c>
      <c r="JL281" s="1">
        <v>0</v>
      </c>
      <c r="JM281" s="1">
        <v>0</v>
      </c>
      <c r="JN281" s="1">
        <v>0</v>
      </c>
      <c r="JO281" s="1">
        <v>0</v>
      </c>
      <c r="JP281" s="1">
        <v>0</v>
      </c>
      <c r="JQ281" s="9"/>
      <c r="JR281" s="1">
        <f t="shared" si="60"/>
        <v>59690.755980000009</v>
      </c>
      <c r="JS281" s="1">
        <f t="shared" si="60"/>
        <v>66335.84262000001</v>
      </c>
      <c r="JT281" s="1">
        <f t="shared" si="60"/>
        <v>80361.341189999992</v>
      </c>
      <c r="JU281" s="1">
        <f t="shared" si="58"/>
        <v>82942.451279999994</v>
      </c>
      <c r="JV281" s="1">
        <f t="shared" si="61"/>
        <v>11053.843700000001</v>
      </c>
      <c r="JW281" s="1">
        <f t="shared" si="61"/>
        <v>12284.415300000001</v>
      </c>
      <c r="JX281" s="1">
        <f t="shared" si="61"/>
        <v>14881.729849999998</v>
      </c>
      <c r="JY281" s="1">
        <f t="shared" si="59"/>
        <v>15359.713199999998</v>
      </c>
    </row>
    <row r="282" spans="1:285" s="5" customFormat="1" x14ac:dyDescent="0.35">
      <c r="A282" s="3" t="s">
        <v>289</v>
      </c>
      <c r="B282" s="4">
        <v>225995</v>
      </c>
      <c r="C282" s="4">
        <v>226941</v>
      </c>
      <c r="D282" s="4">
        <v>227732</v>
      </c>
      <c r="E282" s="4">
        <v>228646</v>
      </c>
      <c r="F282" s="4">
        <f>[1]TotalCollected!$B$12+[1]TotalCollected!$B$102+[1]TotalCollected!$B$263</f>
        <v>44900.990000000005</v>
      </c>
      <c r="G282" s="4">
        <f>[1]TotalCollected!$C$12+[1]TotalCollected!$C$102+[1]TotalCollected!$C$263</f>
        <v>48239.56</v>
      </c>
      <c r="H282" s="4">
        <f>[1]TotalCollected!$D$263+[1]TotalCollected!$D$102+[1]TotalCollected!$D$12</f>
        <v>44759.498</v>
      </c>
      <c r="I282" s="4">
        <f>178656.243+[1]TotalCollected!$E$12+[1]TotalCollected!$E$102+[1]TotalCollected!$E$263</f>
        <v>187383.89299999998</v>
      </c>
      <c r="J282" s="4">
        <f t="shared" si="62"/>
        <v>36659.449999999997</v>
      </c>
      <c r="K282" s="4">
        <f t="shared" si="63"/>
        <v>35788.28</v>
      </c>
      <c r="L282" s="4">
        <f t="shared" si="64"/>
        <v>34085.89</v>
      </c>
      <c r="M282" s="4">
        <f t="shared" si="65"/>
        <v>54967.176999999996</v>
      </c>
      <c r="N282" s="4">
        <f t="shared" si="66"/>
        <v>8241.5400000000081</v>
      </c>
      <c r="O282" s="4">
        <f t="shared" si="67"/>
        <v>12451.279999999999</v>
      </c>
      <c r="P282" s="4">
        <f t="shared" si="68"/>
        <v>10673.608</v>
      </c>
      <c r="Q282" s="4">
        <f t="shared" si="69"/>
        <v>132416.71599999999</v>
      </c>
      <c r="R282" s="4">
        <v>0</v>
      </c>
      <c r="S282" s="4">
        <v>0</v>
      </c>
      <c r="T282" s="4">
        <v>0</v>
      </c>
      <c r="U282" s="4">
        <v>0</v>
      </c>
      <c r="V282" s="4">
        <v>0</v>
      </c>
      <c r="W282" s="4">
        <v>0</v>
      </c>
      <c r="X282" s="4">
        <v>0</v>
      </c>
      <c r="Y282" s="4">
        <v>0</v>
      </c>
      <c r="Z282" s="4">
        <v>0</v>
      </c>
      <c r="AA282" s="4">
        <v>0</v>
      </c>
      <c r="AB282" s="4">
        <v>0</v>
      </c>
      <c r="AC282" s="4">
        <v>0</v>
      </c>
      <c r="AD282" s="4">
        <v>0</v>
      </c>
      <c r="AE282" s="4">
        <v>0</v>
      </c>
      <c r="AF282" s="4">
        <v>0</v>
      </c>
      <c r="AG282" s="4">
        <v>0</v>
      </c>
      <c r="AH282" s="4">
        <v>0</v>
      </c>
      <c r="AI282" s="4">
        <v>0</v>
      </c>
      <c r="AJ282" s="4">
        <v>0</v>
      </c>
      <c r="AK282" s="4">
        <v>0</v>
      </c>
      <c r="AL282" s="4">
        <v>0</v>
      </c>
      <c r="AM282" s="4">
        <v>0</v>
      </c>
      <c r="AN282" s="4">
        <v>0</v>
      </c>
      <c r="AO282" s="4">
        <v>0</v>
      </c>
      <c r="AP282" s="4">
        <v>17477.669999999998</v>
      </c>
      <c r="AQ282" s="4">
        <v>16712.880000000005</v>
      </c>
      <c r="AR282" s="4">
        <v>17501.099999999999</v>
      </c>
      <c r="AS282" s="4">
        <v>18967.419999999995</v>
      </c>
      <c r="AT282" s="4">
        <v>0</v>
      </c>
      <c r="AU282" s="4">
        <v>17477.669999999998</v>
      </c>
      <c r="AV282" s="4">
        <v>0</v>
      </c>
      <c r="AW282" s="4">
        <v>0</v>
      </c>
      <c r="AX282" s="4">
        <v>0</v>
      </c>
      <c r="AY282" s="4">
        <v>16712.880000000005</v>
      </c>
      <c r="AZ282" s="4">
        <v>0</v>
      </c>
      <c r="BA282" s="4">
        <v>0</v>
      </c>
      <c r="BB282" s="4">
        <v>0</v>
      </c>
      <c r="BC282" s="4">
        <v>17501.099999999999</v>
      </c>
      <c r="BD282" s="4">
        <v>0</v>
      </c>
      <c r="BE282" s="4">
        <v>0</v>
      </c>
      <c r="BF282" s="4">
        <v>18967.419999999995</v>
      </c>
      <c r="BG282" s="4">
        <v>0</v>
      </c>
      <c r="BH282" s="4">
        <v>0</v>
      </c>
      <c r="BI282" s="4">
        <v>0</v>
      </c>
      <c r="BJ282" s="4">
        <v>0</v>
      </c>
      <c r="BK282" s="4">
        <v>0</v>
      </c>
      <c r="BL282" s="4">
        <v>0</v>
      </c>
      <c r="BM282" s="4">
        <v>0</v>
      </c>
      <c r="BN282" s="4">
        <v>0</v>
      </c>
      <c r="BO282" s="4">
        <v>0</v>
      </c>
      <c r="BP282" s="4">
        <v>0</v>
      </c>
      <c r="BQ282" s="4">
        <v>0</v>
      </c>
      <c r="BR282" s="4">
        <v>0</v>
      </c>
      <c r="BS282" s="4">
        <v>0</v>
      </c>
      <c r="BT282" s="4">
        <v>0</v>
      </c>
      <c r="BU282" s="4">
        <v>9718.91</v>
      </c>
      <c r="BV282" s="4">
        <v>9590.8799999999992</v>
      </c>
      <c r="BW282" s="4">
        <v>8418.2199999999993</v>
      </c>
      <c r="BX282" s="4">
        <v>11799.539999999999</v>
      </c>
      <c r="BY282" s="4">
        <v>9718.91</v>
      </c>
      <c r="BZ282" s="4">
        <v>9590.8799999999992</v>
      </c>
      <c r="CA282" s="4">
        <v>8418.2199999999993</v>
      </c>
      <c r="CB282" s="4">
        <v>11794.99</v>
      </c>
      <c r="CC282" s="4">
        <v>0.14000000000000001</v>
      </c>
      <c r="CD282" s="4">
        <v>2.82</v>
      </c>
      <c r="CE282" s="4">
        <v>1.98</v>
      </c>
      <c r="CF282" s="4">
        <v>4.55</v>
      </c>
      <c r="CG282" s="4">
        <v>0</v>
      </c>
      <c r="CH282" s="4">
        <v>0</v>
      </c>
      <c r="CI282" s="4">
        <v>0</v>
      </c>
      <c r="CJ282" s="4">
        <v>0</v>
      </c>
      <c r="CK282" s="4">
        <v>0</v>
      </c>
      <c r="CL282" s="4">
        <v>0</v>
      </c>
      <c r="CM282" s="4">
        <v>0</v>
      </c>
      <c r="CN282" s="4">
        <v>0</v>
      </c>
      <c r="CO282" s="4">
        <v>0</v>
      </c>
      <c r="CP282" s="4">
        <v>0</v>
      </c>
      <c r="CQ282" s="4">
        <v>0</v>
      </c>
      <c r="CR282" s="4">
        <v>0</v>
      </c>
      <c r="CS282" s="4">
        <v>1525.68</v>
      </c>
      <c r="CT282" s="4">
        <v>1489.89</v>
      </c>
      <c r="CU282" s="4">
        <v>1320.04</v>
      </c>
      <c r="CV282" s="4">
        <v>1911.21</v>
      </c>
      <c r="CW282" s="4">
        <v>1525.68</v>
      </c>
      <c r="CX282" s="4">
        <v>1489.89</v>
      </c>
      <c r="CY282" s="4">
        <v>1320.04</v>
      </c>
      <c r="CZ282" s="4">
        <v>1911.21</v>
      </c>
      <c r="DA282" s="4">
        <v>0</v>
      </c>
      <c r="DB282" s="4">
        <v>0</v>
      </c>
      <c r="DC282" s="4">
        <v>0</v>
      </c>
      <c r="DD282" s="4">
        <v>0</v>
      </c>
      <c r="DE282" s="4">
        <v>0</v>
      </c>
      <c r="DF282" s="4">
        <v>0</v>
      </c>
      <c r="DG282" s="4">
        <v>0</v>
      </c>
      <c r="DH282" s="4">
        <v>0</v>
      </c>
      <c r="DI282" s="4">
        <v>0</v>
      </c>
      <c r="DJ282" s="4">
        <v>0</v>
      </c>
      <c r="DK282" s="4">
        <v>0</v>
      </c>
      <c r="DL282" s="4">
        <v>0</v>
      </c>
      <c r="DM282" s="4">
        <v>6430.76</v>
      </c>
      <c r="DN282" s="4">
        <v>6316.82</v>
      </c>
      <c r="DO282" s="4">
        <v>5536.5</v>
      </c>
      <c r="DP282" s="4">
        <v>6259.61</v>
      </c>
      <c r="DQ282" s="4">
        <v>6430.76</v>
      </c>
      <c r="DR282" s="4">
        <v>6316.82</v>
      </c>
      <c r="DS282" s="4">
        <v>5536.5</v>
      </c>
      <c r="DT282" s="4">
        <v>6259.61</v>
      </c>
      <c r="DU282" s="4">
        <v>0</v>
      </c>
      <c r="DV282" s="4">
        <v>0</v>
      </c>
      <c r="DW282" s="4">
        <v>0</v>
      </c>
      <c r="DX282" s="4">
        <v>0</v>
      </c>
      <c r="DY282" s="4">
        <v>0</v>
      </c>
      <c r="DZ282" s="4">
        <v>0</v>
      </c>
      <c r="EA282" s="4">
        <v>0</v>
      </c>
      <c r="EB282" s="4">
        <v>0</v>
      </c>
      <c r="EC282" s="4">
        <v>0</v>
      </c>
      <c r="ED282" s="4">
        <v>0</v>
      </c>
      <c r="EE282" s="4">
        <v>0</v>
      </c>
      <c r="EF282" s="4">
        <v>0</v>
      </c>
      <c r="EG282" s="4">
        <v>0</v>
      </c>
      <c r="EH282" s="4">
        <v>0</v>
      </c>
      <c r="EI282" s="4">
        <v>0</v>
      </c>
      <c r="EJ282" s="4">
        <v>0</v>
      </c>
      <c r="EK282" s="4">
        <v>1364.58</v>
      </c>
      <c r="EL282" s="4">
        <v>1564.67</v>
      </c>
      <c r="EM282" s="4">
        <v>1208.04</v>
      </c>
      <c r="EN282" s="4">
        <v>4139.1350000000002</v>
      </c>
      <c r="EO282" s="4">
        <v>1364.58</v>
      </c>
      <c r="EP282" s="4">
        <v>1564.67</v>
      </c>
      <c r="EQ282" s="4">
        <v>1208.04</v>
      </c>
      <c r="ER282" s="4">
        <v>4122.1149999999998</v>
      </c>
      <c r="ES282" s="4">
        <v>0</v>
      </c>
      <c r="ET282" s="4">
        <v>0</v>
      </c>
      <c r="EU282" s="4">
        <v>0</v>
      </c>
      <c r="EV282" s="4">
        <v>17.02</v>
      </c>
      <c r="EW282" s="4">
        <v>0</v>
      </c>
      <c r="EX282" s="4">
        <v>0</v>
      </c>
      <c r="EY282" s="4">
        <v>0</v>
      </c>
      <c r="EZ282" s="4">
        <v>0</v>
      </c>
      <c r="FA282" s="4">
        <v>0</v>
      </c>
      <c r="FB282" s="4">
        <v>0</v>
      </c>
      <c r="FC282" s="4">
        <v>0</v>
      </c>
      <c r="FD282" s="4">
        <v>0</v>
      </c>
      <c r="FE282" s="4">
        <v>73.849999999999994</v>
      </c>
      <c r="FF282" s="4">
        <v>66.8</v>
      </c>
      <c r="FG282" s="4">
        <v>57.42</v>
      </c>
      <c r="FH282" s="4">
        <v>181.43</v>
      </c>
      <c r="FI282" s="4">
        <v>73.849999999999994</v>
      </c>
      <c r="FJ282" s="4">
        <v>66.8</v>
      </c>
      <c r="FK282" s="4">
        <v>57.42</v>
      </c>
      <c r="FL282" s="4">
        <v>55.64</v>
      </c>
      <c r="FM282" s="4">
        <v>0</v>
      </c>
      <c r="FN282" s="4">
        <v>0</v>
      </c>
      <c r="FO282" s="4">
        <v>0</v>
      </c>
      <c r="FP282" s="4">
        <v>125.79</v>
      </c>
      <c r="FQ282" s="4">
        <v>0</v>
      </c>
      <c r="FR282" s="4">
        <v>0</v>
      </c>
      <c r="FS282" s="4">
        <v>0</v>
      </c>
      <c r="FT282" s="4">
        <v>0</v>
      </c>
      <c r="FU282" s="4">
        <v>0</v>
      </c>
      <c r="FV282" s="4">
        <v>0</v>
      </c>
      <c r="FW282" s="4">
        <v>0</v>
      </c>
      <c r="FX282" s="4">
        <v>0</v>
      </c>
      <c r="FY282" s="4">
        <v>0</v>
      </c>
      <c r="FZ282" s="4">
        <v>0</v>
      </c>
      <c r="GA282" s="4">
        <v>0</v>
      </c>
      <c r="GB282" s="4">
        <v>0</v>
      </c>
      <c r="GC282" s="4">
        <v>68</v>
      </c>
      <c r="GD282" s="4">
        <v>46.34</v>
      </c>
      <c r="GE282" s="4">
        <v>44.57</v>
      </c>
      <c r="GF282" s="4">
        <v>4771.5519999999997</v>
      </c>
      <c r="GG282" s="4">
        <v>68</v>
      </c>
      <c r="GH282" s="4">
        <v>46.34</v>
      </c>
      <c r="GI282" s="4">
        <v>44.57</v>
      </c>
      <c r="GJ282" s="4">
        <v>4690.6120000000001</v>
      </c>
      <c r="GK282" s="4">
        <v>0</v>
      </c>
      <c r="GL282" s="4">
        <v>0</v>
      </c>
      <c r="GM282" s="4">
        <v>0</v>
      </c>
      <c r="GN282" s="4">
        <v>80.94</v>
      </c>
      <c r="GO282" s="4">
        <v>0</v>
      </c>
      <c r="GP282" s="4">
        <v>0</v>
      </c>
      <c r="GQ282" s="4">
        <v>0</v>
      </c>
      <c r="GR282" s="4">
        <v>0</v>
      </c>
      <c r="GS282" s="4">
        <v>0</v>
      </c>
      <c r="GT282" s="4">
        <v>0</v>
      </c>
      <c r="GU282" s="4">
        <v>0</v>
      </c>
      <c r="GV282" s="4">
        <v>0</v>
      </c>
      <c r="GW282" s="4">
        <v>0</v>
      </c>
      <c r="GX282" s="4">
        <v>0</v>
      </c>
      <c r="GY282" s="4">
        <v>0</v>
      </c>
      <c r="GZ282" s="4">
        <v>0</v>
      </c>
      <c r="HA282" s="4">
        <v>0</v>
      </c>
      <c r="HB282" s="4">
        <v>0</v>
      </c>
      <c r="HC282" s="4">
        <v>0</v>
      </c>
      <c r="HD282" s="4">
        <v>0</v>
      </c>
      <c r="HE282" s="4">
        <v>0</v>
      </c>
      <c r="HF282" s="4">
        <v>0</v>
      </c>
      <c r="HG282" s="4">
        <v>0</v>
      </c>
      <c r="HH282" s="4">
        <v>3015.72</v>
      </c>
      <c r="HI282" s="4">
        <v>0</v>
      </c>
      <c r="HJ282" s="4">
        <v>0</v>
      </c>
      <c r="HK282" s="4">
        <v>0</v>
      </c>
      <c r="HL282" s="4">
        <v>3015.72</v>
      </c>
      <c r="HM282" s="4">
        <v>0</v>
      </c>
      <c r="HN282" s="4">
        <v>0</v>
      </c>
      <c r="HO282" s="4">
        <v>0</v>
      </c>
      <c r="HP282" s="4">
        <v>0</v>
      </c>
      <c r="HQ282" s="4">
        <v>0</v>
      </c>
      <c r="HR282" s="4">
        <v>0</v>
      </c>
      <c r="HS282" s="4">
        <v>0</v>
      </c>
      <c r="HT282" s="4">
        <v>0</v>
      </c>
      <c r="HU282" s="4">
        <v>0</v>
      </c>
      <c r="HV282" s="4">
        <v>0</v>
      </c>
      <c r="HW282" s="4">
        <v>0</v>
      </c>
      <c r="HX282" s="4">
        <v>0</v>
      </c>
      <c r="HY282" s="4">
        <v>0</v>
      </c>
      <c r="HZ282" s="4">
        <v>0</v>
      </c>
      <c r="IA282" s="4">
        <v>0</v>
      </c>
      <c r="IB282" s="4">
        <v>0</v>
      </c>
      <c r="IC282" s="4">
        <v>0</v>
      </c>
      <c r="ID282" s="4">
        <v>0</v>
      </c>
      <c r="IE282" s="4">
        <v>0</v>
      </c>
      <c r="IF282" s="4">
        <v>0</v>
      </c>
      <c r="IG282" s="4">
        <v>0</v>
      </c>
      <c r="IH282" s="4">
        <v>0</v>
      </c>
      <c r="II282" s="4">
        <v>0</v>
      </c>
      <c r="IJ282" s="4">
        <v>0</v>
      </c>
      <c r="IK282" s="4">
        <v>0</v>
      </c>
      <c r="IL282" s="4">
        <v>0</v>
      </c>
      <c r="IM282" s="4">
        <v>0</v>
      </c>
      <c r="IN282" s="4">
        <v>0</v>
      </c>
      <c r="IO282" s="4">
        <v>0</v>
      </c>
      <c r="IP282" s="4">
        <v>0</v>
      </c>
      <c r="IQ282" s="4">
        <v>0</v>
      </c>
      <c r="IR282" s="4">
        <v>3921.56</v>
      </c>
      <c r="IS282" s="4">
        <v>0</v>
      </c>
      <c r="IT282" s="4">
        <v>0</v>
      </c>
      <c r="IU282" s="4">
        <v>0</v>
      </c>
      <c r="IV282" s="4">
        <v>3920.46</v>
      </c>
      <c r="IW282" s="4">
        <v>0</v>
      </c>
      <c r="IX282" s="4">
        <v>0</v>
      </c>
      <c r="IY282" s="4">
        <v>0</v>
      </c>
      <c r="IZ282" s="4">
        <v>1.1000000000000001</v>
      </c>
      <c r="JA282" s="4">
        <v>0</v>
      </c>
      <c r="JB282" s="4">
        <v>0</v>
      </c>
      <c r="JC282" s="4">
        <v>0</v>
      </c>
      <c r="JD282" s="4">
        <v>0</v>
      </c>
      <c r="JE282" s="4">
        <v>0</v>
      </c>
      <c r="JF282" s="4">
        <v>0</v>
      </c>
      <c r="JG282" s="4">
        <v>0</v>
      </c>
      <c r="JH282" s="4">
        <v>0</v>
      </c>
      <c r="JI282" s="4">
        <v>0</v>
      </c>
      <c r="JJ282" s="4">
        <v>0</v>
      </c>
      <c r="JK282" s="4">
        <v>0</v>
      </c>
      <c r="JL282" s="4">
        <v>0</v>
      </c>
      <c r="JM282" s="4">
        <v>0</v>
      </c>
      <c r="JN282" s="4">
        <v>0</v>
      </c>
      <c r="JO282" s="4">
        <v>0</v>
      </c>
      <c r="JP282" s="4">
        <v>0</v>
      </c>
      <c r="JQ282" s="9"/>
      <c r="JR282" s="4">
        <f t="shared" si="60"/>
        <v>2225.2158000000022</v>
      </c>
      <c r="JS282" s="4">
        <f t="shared" si="60"/>
        <v>3361.8456000000001</v>
      </c>
      <c r="JT282" s="4">
        <f t="shared" si="60"/>
        <v>2881.8741600000003</v>
      </c>
      <c r="JU282" s="4">
        <f t="shared" si="58"/>
        <v>35752.513319999998</v>
      </c>
      <c r="JV282" s="4">
        <f t="shared" si="61"/>
        <v>412.07700000000045</v>
      </c>
      <c r="JW282" s="4">
        <f t="shared" si="61"/>
        <v>622.56399999999996</v>
      </c>
      <c r="JX282" s="4">
        <f t="shared" si="61"/>
        <v>533.68040000000008</v>
      </c>
      <c r="JY282" s="4">
        <f t="shared" si="59"/>
        <v>6620.8357999999998</v>
      </c>
    </row>
    <row r="283" spans="1:285" x14ac:dyDescent="0.35">
      <c r="A283" s="2" t="s">
        <v>290</v>
      </c>
      <c r="B283" s="1">
        <v>327850</v>
      </c>
      <c r="C283" s="1">
        <v>329796</v>
      </c>
      <c r="D283" s="1">
        <v>334675</v>
      </c>
      <c r="E283" s="1">
        <v>340208</v>
      </c>
      <c r="F283" s="1">
        <v>338394.95</v>
      </c>
      <c r="G283" s="1">
        <v>337448.04</v>
      </c>
      <c r="H283" s="1">
        <v>320625.67</v>
      </c>
      <c r="I283" s="1">
        <v>319051.90999999997</v>
      </c>
      <c r="J283" s="1">
        <f t="shared" si="62"/>
        <v>95437.42</v>
      </c>
      <c r="K283" s="1">
        <f t="shared" si="63"/>
        <v>93245.43</v>
      </c>
      <c r="L283" s="1">
        <f t="shared" si="64"/>
        <v>91558.87000000001</v>
      </c>
      <c r="M283" s="1">
        <f t="shared" si="65"/>
        <v>93085.989999999991</v>
      </c>
      <c r="N283" s="1">
        <f t="shared" si="66"/>
        <v>242957.53000000003</v>
      </c>
      <c r="O283" s="1">
        <f t="shared" si="67"/>
        <v>244202.61</v>
      </c>
      <c r="P283" s="1">
        <f t="shared" si="68"/>
        <v>229066.8</v>
      </c>
      <c r="Q283" s="1">
        <f t="shared" si="69"/>
        <v>225965.91999999998</v>
      </c>
      <c r="R283" s="1">
        <v>0</v>
      </c>
      <c r="S283" s="1">
        <v>0</v>
      </c>
      <c r="T283" s="1">
        <v>0</v>
      </c>
      <c r="U283" s="1">
        <v>0</v>
      </c>
      <c r="V283" s="1">
        <v>0</v>
      </c>
      <c r="W283" s="1">
        <v>0</v>
      </c>
      <c r="X283" s="1">
        <v>0</v>
      </c>
      <c r="Y283" s="1">
        <v>0</v>
      </c>
      <c r="Z283" s="1">
        <v>0</v>
      </c>
      <c r="AA283" s="1">
        <v>0</v>
      </c>
      <c r="AB283" s="1">
        <v>0</v>
      </c>
      <c r="AC283" s="1">
        <v>0</v>
      </c>
      <c r="AD283" s="1">
        <v>0</v>
      </c>
      <c r="AE283" s="1">
        <v>0</v>
      </c>
      <c r="AF283" s="1">
        <v>0</v>
      </c>
      <c r="AG283" s="1">
        <v>0</v>
      </c>
      <c r="AH283" s="1">
        <v>0</v>
      </c>
      <c r="AI283" s="1">
        <v>0</v>
      </c>
      <c r="AJ283" s="1">
        <v>0</v>
      </c>
      <c r="AK283" s="1">
        <v>0</v>
      </c>
      <c r="AL283" s="1">
        <v>0</v>
      </c>
      <c r="AM283" s="1">
        <v>0</v>
      </c>
      <c r="AN283" s="1">
        <v>0</v>
      </c>
      <c r="AO283" s="1">
        <v>0</v>
      </c>
      <c r="AP283" s="1">
        <v>30740.41</v>
      </c>
      <c r="AQ283" s="1">
        <v>29086.76</v>
      </c>
      <c r="AR283" s="1">
        <v>26504.260000000002</v>
      </c>
      <c r="AS283" s="1">
        <v>27504.499999999996</v>
      </c>
      <c r="AT283" s="1">
        <v>28627.649999999998</v>
      </c>
      <c r="AU283" s="1">
        <v>2112.760000000002</v>
      </c>
      <c r="AV283" s="1">
        <v>0</v>
      </c>
      <c r="AW283" s="1">
        <v>0</v>
      </c>
      <c r="AX283" s="1">
        <v>27052.980000000003</v>
      </c>
      <c r="AY283" s="1">
        <v>2033.7799999999952</v>
      </c>
      <c r="AZ283" s="1">
        <v>0</v>
      </c>
      <c r="BA283" s="1">
        <v>0</v>
      </c>
      <c r="BB283" s="1">
        <v>24623.61</v>
      </c>
      <c r="BC283" s="1">
        <v>1880.6500000000015</v>
      </c>
      <c r="BD283" s="1">
        <v>0</v>
      </c>
      <c r="BE283" s="1">
        <v>25476.18</v>
      </c>
      <c r="BF283" s="1">
        <v>2028.3199999999961</v>
      </c>
      <c r="BG283" s="1">
        <v>0</v>
      </c>
      <c r="BH283" s="1">
        <v>0</v>
      </c>
      <c r="BI283" s="1">
        <v>0</v>
      </c>
      <c r="BJ283" s="1">
        <v>0</v>
      </c>
      <c r="BK283" s="1">
        <v>0</v>
      </c>
      <c r="BL283" s="1">
        <v>0</v>
      </c>
      <c r="BM283" s="1">
        <v>0</v>
      </c>
      <c r="BN283" s="1">
        <v>0</v>
      </c>
      <c r="BO283" s="1">
        <v>0</v>
      </c>
      <c r="BP283" s="1">
        <v>0</v>
      </c>
      <c r="BQ283" s="1">
        <v>0</v>
      </c>
      <c r="BR283" s="1">
        <v>0</v>
      </c>
      <c r="BS283" s="1">
        <v>0</v>
      </c>
      <c r="BT283" s="1">
        <v>0</v>
      </c>
      <c r="BU283" s="1">
        <v>12303.63</v>
      </c>
      <c r="BV283" s="1">
        <v>12952.59</v>
      </c>
      <c r="BW283" s="1">
        <v>12264.66</v>
      </c>
      <c r="BX283" s="1">
        <v>12704.08</v>
      </c>
      <c r="BY283" s="1">
        <v>12303.49</v>
      </c>
      <c r="BZ283" s="1">
        <v>12949.77</v>
      </c>
      <c r="CA283" s="1">
        <v>12262.68</v>
      </c>
      <c r="CB283" s="1">
        <v>12704.08</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9627.58</v>
      </c>
      <c r="CT283" s="1">
        <v>8752.49</v>
      </c>
      <c r="CU283" s="1">
        <v>6847.5</v>
      </c>
      <c r="CV283" s="1">
        <v>6464.4900000000007</v>
      </c>
      <c r="CW283" s="1">
        <v>9626.8799999999992</v>
      </c>
      <c r="CX283" s="1">
        <v>8746.0299999999988</v>
      </c>
      <c r="CY283" s="1">
        <v>6710.0400000000009</v>
      </c>
      <c r="CZ283" s="1">
        <v>6342.11</v>
      </c>
      <c r="DA283" s="1">
        <v>0.7</v>
      </c>
      <c r="DB283" s="1">
        <v>6.4599999999999991</v>
      </c>
      <c r="DC283" s="1">
        <v>23.22</v>
      </c>
      <c r="DD283" s="1">
        <v>0</v>
      </c>
      <c r="DE283" s="1">
        <v>0</v>
      </c>
      <c r="DF283" s="1">
        <v>0</v>
      </c>
      <c r="DG283" s="1">
        <v>0</v>
      </c>
      <c r="DH283" s="1">
        <v>0</v>
      </c>
      <c r="DI283" s="1">
        <v>0</v>
      </c>
      <c r="DJ283" s="1">
        <v>0</v>
      </c>
      <c r="DK283" s="1">
        <v>114.24</v>
      </c>
      <c r="DL283" s="1">
        <v>122.38</v>
      </c>
      <c r="DM283" s="1">
        <v>11245.21</v>
      </c>
      <c r="DN283" s="1">
        <v>12135.28</v>
      </c>
      <c r="DO283" s="1">
        <v>9885.119999999999</v>
      </c>
      <c r="DP283" s="1">
        <v>9658.49</v>
      </c>
      <c r="DQ283" s="1">
        <v>11245.21</v>
      </c>
      <c r="DR283" s="1">
        <v>12135.28</v>
      </c>
      <c r="DS283" s="1">
        <v>9885.119999999999</v>
      </c>
      <c r="DT283" s="1">
        <v>9658.49</v>
      </c>
      <c r="DU283" s="1">
        <v>0</v>
      </c>
      <c r="DV283" s="1">
        <v>0</v>
      </c>
      <c r="DW283" s="1">
        <v>0</v>
      </c>
      <c r="DX283" s="1">
        <v>0</v>
      </c>
      <c r="DY283" s="1">
        <v>0</v>
      </c>
      <c r="DZ283" s="1">
        <v>0</v>
      </c>
      <c r="EA283" s="1">
        <v>0</v>
      </c>
      <c r="EB283" s="1">
        <v>0</v>
      </c>
      <c r="EC283" s="1">
        <v>0</v>
      </c>
      <c r="ED283" s="1">
        <v>0</v>
      </c>
      <c r="EE283" s="1">
        <v>0</v>
      </c>
      <c r="EF283" s="1">
        <v>0</v>
      </c>
      <c r="EG283" s="1">
        <v>0</v>
      </c>
      <c r="EH283" s="1">
        <v>0</v>
      </c>
      <c r="EI283" s="1">
        <v>0</v>
      </c>
      <c r="EJ283" s="1">
        <v>0</v>
      </c>
      <c r="EK283" s="1">
        <v>9107.24</v>
      </c>
      <c r="EL283" s="1">
        <v>8117.84</v>
      </c>
      <c r="EM283" s="1">
        <v>15143.81</v>
      </c>
      <c r="EN283" s="1">
        <v>17511.98</v>
      </c>
      <c r="EO283" s="1">
        <v>9107.24</v>
      </c>
      <c r="EP283" s="1">
        <v>8116.42</v>
      </c>
      <c r="EQ283" s="1">
        <v>15143.81</v>
      </c>
      <c r="ER283" s="1">
        <v>17511.98</v>
      </c>
      <c r="ES283" s="1">
        <v>0</v>
      </c>
      <c r="ET283" s="1">
        <v>1.42</v>
      </c>
      <c r="EU283" s="1">
        <v>0</v>
      </c>
      <c r="EV283" s="1">
        <v>0</v>
      </c>
      <c r="EW283" s="1">
        <v>0</v>
      </c>
      <c r="EX283" s="1">
        <v>0</v>
      </c>
      <c r="EY283" s="1">
        <v>0</v>
      </c>
      <c r="EZ283" s="1">
        <v>0</v>
      </c>
      <c r="FA283" s="1">
        <v>0</v>
      </c>
      <c r="FB283" s="1">
        <v>0</v>
      </c>
      <c r="FC283" s="1">
        <v>0</v>
      </c>
      <c r="FD283" s="1">
        <v>0</v>
      </c>
      <c r="FE283" s="1">
        <v>1306.4100000000001</v>
      </c>
      <c r="FF283" s="1">
        <v>1903</v>
      </c>
      <c r="FG283" s="1">
        <v>1763.69</v>
      </c>
      <c r="FH283" s="1">
        <v>1667.58</v>
      </c>
      <c r="FI283" s="1">
        <v>1306.4100000000001</v>
      </c>
      <c r="FJ283" s="1">
        <v>1903</v>
      </c>
      <c r="FK283" s="1">
        <v>1763.69</v>
      </c>
      <c r="FL283" s="1">
        <v>1667.58</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v>0</v>
      </c>
      <c r="GC283" s="1">
        <v>6581.68</v>
      </c>
      <c r="GD283" s="1">
        <v>5851.26</v>
      </c>
      <c r="GE283" s="1">
        <v>5215.8500000000004</v>
      </c>
      <c r="GF283" s="1">
        <v>5066.93</v>
      </c>
      <c r="GG283" s="1">
        <v>6581.68</v>
      </c>
      <c r="GH283" s="1">
        <v>5848.02</v>
      </c>
      <c r="GI283" s="1">
        <v>5206.4400000000014</v>
      </c>
      <c r="GJ283" s="1">
        <v>5066.93</v>
      </c>
      <c r="GK283" s="1">
        <v>0</v>
      </c>
      <c r="GL283" s="1">
        <v>3.24</v>
      </c>
      <c r="GM283" s="1">
        <v>9.41</v>
      </c>
      <c r="GN283" s="1">
        <v>0</v>
      </c>
      <c r="GO283" s="1">
        <v>0</v>
      </c>
      <c r="GP283" s="1">
        <v>0</v>
      </c>
      <c r="GQ283" s="1">
        <v>0</v>
      </c>
      <c r="GR283" s="1">
        <v>0</v>
      </c>
      <c r="GS283" s="1">
        <v>0</v>
      </c>
      <c r="GT283" s="1">
        <v>0</v>
      </c>
      <c r="GU283" s="1">
        <v>0</v>
      </c>
      <c r="GV283" s="1">
        <v>0</v>
      </c>
      <c r="GW283" s="1">
        <v>0</v>
      </c>
      <c r="GX283" s="1">
        <v>0</v>
      </c>
      <c r="GY283" s="1">
        <v>0</v>
      </c>
      <c r="GZ283" s="1">
        <v>0</v>
      </c>
      <c r="HA283" s="1">
        <v>0</v>
      </c>
      <c r="HB283" s="1">
        <v>0</v>
      </c>
      <c r="HC283" s="1">
        <v>0</v>
      </c>
      <c r="HD283" s="1">
        <v>0</v>
      </c>
      <c r="HE283" s="1">
        <v>11914.33</v>
      </c>
      <c r="HF283" s="1">
        <v>12203.88</v>
      </c>
      <c r="HG283" s="1">
        <v>11517.77</v>
      </c>
      <c r="HH283" s="1">
        <v>10641.11</v>
      </c>
      <c r="HI283" s="1">
        <v>11914.33</v>
      </c>
      <c r="HJ283" s="1">
        <v>12203.88</v>
      </c>
      <c r="HK283" s="1">
        <v>11517.77</v>
      </c>
      <c r="HL283" s="1">
        <v>10641.11</v>
      </c>
      <c r="HM283" s="1">
        <v>0</v>
      </c>
      <c r="HN283" s="1">
        <v>0</v>
      </c>
      <c r="HO283" s="1">
        <v>0</v>
      </c>
      <c r="HP283" s="1">
        <v>0</v>
      </c>
      <c r="HQ283" s="1">
        <v>0</v>
      </c>
      <c r="HR283" s="1">
        <v>0</v>
      </c>
      <c r="HS283" s="1">
        <v>0</v>
      </c>
      <c r="HT283" s="1">
        <v>0</v>
      </c>
      <c r="HU283" s="1">
        <v>0</v>
      </c>
      <c r="HV283" s="1">
        <v>0</v>
      </c>
      <c r="HW283" s="1">
        <v>0</v>
      </c>
      <c r="HX283" s="1">
        <v>0</v>
      </c>
      <c r="HY283" s="1">
        <v>0</v>
      </c>
      <c r="HZ283" s="1">
        <v>0</v>
      </c>
      <c r="IA283" s="1">
        <v>0</v>
      </c>
      <c r="IB283" s="1">
        <v>0</v>
      </c>
      <c r="IC283" s="1">
        <v>0</v>
      </c>
      <c r="ID283" s="1">
        <v>0</v>
      </c>
      <c r="IE283" s="1">
        <v>0</v>
      </c>
      <c r="IF283" s="1">
        <v>0</v>
      </c>
      <c r="IG283" s="1">
        <v>0</v>
      </c>
      <c r="IH283" s="1">
        <v>0</v>
      </c>
      <c r="II283" s="1">
        <v>0</v>
      </c>
      <c r="IJ283" s="1">
        <v>0</v>
      </c>
      <c r="IK283" s="1">
        <v>0</v>
      </c>
      <c r="IL283" s="1">
        <v>0</v>
      </c>
      <c r="IM283" s="1">
        <v>0</v>
      </c>
      <c r="IN283" s="1">
        <v>0</v>
      </c>
      <c r="IO283" s="1">
        <v>2610.9299999999998</v>
      </c>
      <c r="IP283" s="1">
        <v>2242.33</v>
      </c>
      <c r="IQ283" s="1">
        <v>2416.21</v>
      </c>
      <c r="IR283" s="1">
        <v>1866.83</v>
      </c>
      <c r="IS283" s="1">
        <v>2305.88</v>
      </c>
      <c r="IT283" s="1">
        <v>2208.62</v>
      </c>
      <c r="IU283" s="1">
        <v>2334.3200000000002</v>
      </c>
      <c r="IV283" s="1">
        <v>1754.3</v>
      </c>
      <c r="IW283" s="1">
        <v>10</v>
      </c>
      <c r="IX283" s="1">
        <v>2.64</v>
      </c>
      <c r="IY283" s="1">
        <v>52.57</v>
      </c>
      <c r="IZ283" s="1">
        <v>86.830000000000013</v>
      </c>
      <c r="JA283" s="1">
        <v>0</v>
      </c>
      <c r="JB283" s="1">
        <v>0</v>
      </c>
      <c r="JC283" s="1">
        <v>0</v>
      </c>
      <c r="JD283" s="1">
        <v>0</v>
      </c>
      <c r="JE283" s="1">
        <v>0</v>
      </c>
      <c r="JF283" s="1">
        <v>0</v>
      </c>
      <c r="JG283" s="1">
        <v>0</v>
      </c>
      <c r="JH283" s="1">
        <v>0</v>
      </c>
      <c r="JI283" s="1">
        <v>0</v>
      </c>
      <c r="JJ283" s="1">
        <v>0</v>
      </c>
      <c r="JK283" s="1">
        <v>0</v>
      </c>
      <c r="JL283" s="1">
        <v>0</v>
      </c>
      <c r="JM283" s="1">
        <v>0</v>
      </c>
      <c r="JN283" s="1">
        <v>0</v>
      </c>
      <c r="JO283" s="1">
        <v>0</v>
      </c>
      <c r="JP283" s="1">
        <v>0</v>
      </c>
      <c r="JQ283" s="9"/>
      <c r="JR283" s="1">
        <f t="shared" si="60"/>
        <v>65598.533100000015</v>
      </c>
      <c r="JS283" s="1">
        <f t="shared" si="60"/>
        <v>65934.704700000002</v>
      </c>
      <c r="JT283" s="1">
        <f t="shared" si="60"/>
        <v>61848.036</v>
      </c>
      <c r="JU283" s="1">
        <f t="shared" si="58"/>
        <v>61010.7984</v>
      </c>
      <c r="JV283" s="1">
        <f t="shared" si="61"/>
        <v>12147.876500000002</v>
      </c>
      <c r="JW283" s="1">
        <f t="shared" si="61"/>
        <v>12210.130499999999</v>
      </c>
      <c r="JX283" s="1">
        <f t="shared" si="61"/>
        <v>11453.34</v>
      </c>
      <c r="JY283" s="1">
        <f t="shared" si="59"/>
        <v>11298.296</v>
      </c>
    </row>
    <row r="284" spans="1:285" x14ac:dyDescent="0.35">
      <c r="A284" s="2" t="s">
        <v>291</v>
      </c>
      <c r="B284" s="1">
        <v>507047</v>
      </c>
      <c r="C284" s="1">
        <v>513240</v>
      </c>
      <c r="D284" s="1">
        <v>516185</v>
      </c>
      <c r="E284" s="1">
        <v>519779</v>
      </c>
      <c r="F284" s="1">
        <v>428185.609</v>
      </c>
      <c r="G284" s="1">
        <v>433584.723</v>
      </c>
      <c r="H284" s="1">
        <v>421592.62400000001</v>
      </c>
      <c r="I284" s="1">
        <v>427218.48</v>
      </c>
      <c r="J284" s="1">
        <f t="shared" si="62"/>
        <v>99097.314000000013</v>
      </c>
      <c r="K284" s="1">
        <f t="shared" si="63"/>
        <v>114545.78200000001</v>
      </c>
      <c r="L284" s="1">
        <f t="shared" si="64"/>
        <v>100792.98899999999</v>
      </c>
      <c r="M284" s="1">
        <f t="shared" si="65"/>
        <v>105839.66</v>
      </c>
      <c r="N284" s="1">
        <f t="shared" si="66"/>
        <v>329088.29499999998</v>
      </c>
      <c r="O284" s="1">
        <f t="shared" si="67"/>
        <v>319038.94099999999</v>
      </c>
      <c r="P284" s="1">
        <f t="shared" si="68"/>
        <v>320799.63500000001</v>
      </c>
      <c r="Q284" s="1">
        <f t="shared" si="69"/>
        <v>321378.81999999995</v>
      </c>
      <c r="R284" s="1">
        <v>0</v>
      </c>
      <c r="S284" s="1">
        <v>0</v>
      </c>
      <c r="T284" s="1">
        <v>0</v>
      </c>
      <c r="U284" s="1">
        <v>0</v>
      </c>
      <c r="V284" s="1">
        <v>0</v>
      </c>
      <c r="W284" s="1">
        <v>0</v>
      </c>
      <c r="X284" s="1">
        <v>0</v>
      </c>
      <c r="Y284" s="1">
        <v>0</v>
      </c>
      <c r="Z284" s="1">
        <v>0</v>
      </c>
      <c r="AA284" s="1">
        <v>0</v>
      </c>
      <c r="AB284" s="1">
        <v>0</v>
      </c>
      <c r="AC284" s="1">
        <v>0</v>
      </c>
      <c r="AD284" s="1">
        <v>0</v>
      </c>
      <c r="AE284" s="1">
        <v>0</v>
      </c>
      <c r="AF284" s="1">
        <v>0</v>
      </c>
      <c r="AG284" s="1">
        <v>0</v>
      </c>
      <c r="AH284" s="1">
        <v>0</v>
      </c>
      <c r="AI284" s="1">
        <v>0</v>
      </c>
      <c r="AJ284" s="1">
        <v>0</v>
      </c>
      <c r="AK284" s="1">
        <v>0</v>
      </c>
      <c r="AL284" s="1">
        <v>0</v>
      </c>
      <c r="AM284" s="1">
        <v>0</v>
      </c>
      <c r="AN284" s="1">
        <v>0</v>
      </c>
      <c r="AO284" s="1">
        <v>0</v>
      </c>
      <c r="AP284" s="1">
        <v>33071.96</v>
      </c>
      <c r="AQ284" s="1">
        <v>39879.56</v>
      </c>
      <c r="AR284" s="1">
        <v>34633.57</v>
      </c>
      <c r="AS284" s="1">
        <v>40714.26</v>
      </c>
      <c r="AT284" s="1">
        <v>0</v>
      </c>
      <c r="AU284" s="1">
        <v>33071.96</v>
      </c>
      <c r="AV284" s="1">
        <v>0</v>
      </c>
      <c r="AW284" s="1">
        <v>0</v>
      </c>
      <c r="AX284" s="1">
        <v>0</v>
      </c>
      <c r="AY284" s="1">
        <v>39879.56</v>
      </c>
      <c r="AZ284" s="1">
        <v>0</v>
      </c>
      <c r="BA284" s="1">
        <v>0</v>
      </c>
      <c r="BB284" s="1">
        <v>0</v>
      </c>
      <c r="BC284" s="1">
        <v>34633.57</v>
      </c>
      <c r="BD284" s="1">
        <v>0</v>
      </c>
      <c r="BE284" s="1">
        <v>0</v>
      </c>
      <c r="BF284" s="1">
        <v>40714.26</v>
      </c>
      <c r="BG284" s="1">
        <v>0</v>
      </c>
      <c r="BH284" s="1">
        <v>0</v>
      </c>
      <c r="BI284" s="1">
        <v>0</v>
      </c>
      <c r="BJ284" s="1">
        <v>0</v>
      </c>
      <c r="BK284" s="1">
        <v>0</v>
      </c>
      <c r="BL284" s="1">
        <v>0</v>
      </c>
      <c r="BM284" s="1">
        <v>0</v>
      </c>
      <c r="BN284" s="1">
        <v>0</v>
      </c>
      <c r="BO284" s="1">
        <v>0</v>
      </c>
      <c r="BP284" s="1">
        <v>0</v>
      </c>
      <c r="BQ284" s="1">
        <v>0</v>
      </c>
      <c r="BR284" s="1">
        <v>0</v>
      </c>
      <c r="BS284" s="1">
        <v>0</v>
      </c>
      <c r="BT284" s="1">
        <v>0</v>
      </c>
      <c r="BU284" s="1">
        <v>27187.862000000001</v>
      </c>
      <c r="BV284" s="1">
        <v>30597.25</v>
      </c>
      <c r="BW284" s="1">
        <v>23276.76</v>
      </c>
      <c r="BX284" s="1">
        <v>22012.26</v>
      </c>
      <c r="BY284" s="1">
        <v>27187.862000000001</v>
      </c>
      <c r="BZ284" s="1">
        <v>30597.25</v>
      </c>
      <c r="CA284" s="1">
        <v>23276.76</v>
      </c>
      <c r="CB284" s="1">
        <v>22012.26</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6205.9599999999991</v>
      </c>
      <c r="CT284" s="1">
        <v>10891.27</v>
      </c>
      <c r="CU284" s="1">
        <v>6618.6</v>
      </c>
      <c r="CV284" s="1">
        <v>5472.6600000000008</v>
      </c>
      <c r="CW284" s="1">
        <v>6205.9599999999991</v>
      </c>
      <c r="CX284" s="1">
        <v>10891.27</v>
      </c>
      <c r="CY284" s="1">
        <v>6618.6</v>
      </c>
      <c r="CZ284" s="1">
        <v>5468.26</v>
      </c>
      <c r="DA284" s="1">
        <v>0</v>
      </c>
      <c r="DB284" s="1">
        <v>0</v>
      </c>
      <c r="DC284" s="1">
        <v>0</v>
      </c>
      <c r="DD284" s="1">
        <v>4.4000000000000004</v>
      </c>
      <c r="DE284" s="1">
        <v>0</v>
      </c>
      <c r="DF284" s="1">
        <v>0</v>
      </c>
      <c r="DG284" s="1">
        <v>0</v>
      </c>
      <c r="DH284" s="1">
        <v>0</v>
      </c>
      <c r="DI284" s="1">
        <v>0</v>
      </c>
      <c r="DJ284" s="1">
        <v>0</v>
      </c>
      <c r="DK284" s="1">
        <v>0</v>
      </c>
      <c r="DL284" s="1">
        <v>0</v>
      </c>
      <c r="DM284" s="1">
        <v>17721.89</v>
      </c>
      <c r="DN284" s="1">
        <v>17747.27</v>
      </c>
      <c r="DO284" s="1">
        <v>16030.94</v>
      </c>
      <c r="DP284" s="1">
        <v>15351.16</v>
      </c>
      <c r="DQ284" s="1">
        <v>17721.89</v>
      </c>
      <c r="DR284" s="1">
        <v>17747.27</v>
      </c>
      <c r="DS284" s="1">
        <v>16030.94</v>
      </c>
      <c r="DT284" s="1">
        <v>15351.16</v>
      </c>
      <c r="DU284" s="1">
        <v>0</v>
      </c>
      <c r="DV284" s="1">
        <v>0</v>
      </c>
      <c r="DW284" s="1">
        <v>0</v>
      </c>
      <c r="DX284" s="1">
        <v>0</v>
      </c>
      <c r="DY284" s="1">
        <v>0</v>
      </c>
      <c r="DZ284" s="1">
        <v>0</v>
      </c>
      <c r="EA284" s="1">
        <v>0</v>
      </c>
      <c r="EB284" s="1">
        <v>0</v>
      </c>
      <c r="EC284" s="1">
        <v>0</v>
      </c>
      <c r="ED284" s="1">
        <v>0</v>
      </c>
      <c r="EE284" s="1">
        <v>0</v>
      </c>
      <c r="EF284" s="1">
        <v>0</v>
      </c>
      <c r="EG284" s="1">
        <v>0</v>
      </c>
      <c r="EH284" s="1">
        <v>0</v>
      </c>
      <c r="EI284" s="1">
        <v>0</v>
      </c>
      <c r="EJ284" s="1">
        <v>0</v>
      </c>
      <c r="EK284" s="1">
        <v>5592.1490000000003</v>
      </c>
      <c r="EL284" s="1">
        <v>6075.5609999999997</v>
      </c>
      <c r="EM284" s="1">
        <v>10135.963</v>
      </c>
      <c r="EN284" s="1">
        <v>10248.19</v>
      </c>
      <c r="EO284" s="1">
        <v>5591.866</v>
      </c>
      <c r="EP284" s="1">
        <v>6074.6260000000002</v>
      </c>
      <c r="EQ284" s="1">
        <v>10131.819</v>
      </c>
      <c r="ER284" s="1">
        <v>10179.790000000001</v>
      </c>
      <c r="ES284" s="1">
        <v>0.28299999999999997</v>
      </c>
      <c r="ET284" s="1">
        <v>0.93500000000000005</v>
      </c>
      <c r="EU284" s="1">
        <v>4.1440000000000001</v>
      </c>
      <c r="EV284" s="1">
        <v>68.399999999999991</v>
      </c>
      <c r="EW284" s="1">
        <v>0</v>
      </c>
      <c r="EX284" s="1">
        <v>0</v>
      </c>
      <c r="EY284" s="1">
        <v>0</v>
      </c>
      <c r="EZ284" s="1">
        <v>0</v>
      </c>
      <c r="FA284" s="1">
        <v>0</v>
      </c>
      <c r="FB284" s="1">
        <v>0</v>
      </c>
      <c r="FC284" s="1">
        <v>0</v>
      </c>
      <c r="FD284" s="1">
        <v>0</v>
      </c>
      <c r="FE284" s="1">
        <v>315.97000000000003</v>
      </c>
      <c r="FF284" s="1">
        <v>292.44200000000001</v>
      </c>
      <c r="FG284" s="1">
        <v>432.06299999999999</v>
      </c>
      <c r="FH284" s="1">
        <v>497.08</v>
      </c>
      <c r="FI284" s="1">
        <v>0</v>
      </c>
      <c r="FJ284" s="1">
        <v>0</v>
      </c>
      <c r="FK284" s="1">
        <v>0</v>
      </c>
      <c r="FL284" s="1">
        <v>0</v>
      </c>
      <c r="FM284" s="1">
        <v>315.97000000000003</v>
      </c>
      <c r="FN284" s="1">
        <v>292.44200000000001</v>
      </c>
      <c r="FO284" s="1">
        <v>432.06299999999999</v>
      </c>
      <c r="FP284" s="1">
        <v>497.08</v>
      </c>
      <c r="FQ284" s="1">
        <v>0</v>
      </c>
      <c r="FR284" s="1">
        <v>0</v>
      </c>
      <c r="FS284" s="1">
        <v>0</v>
      </c>
      <c r="FT284" s="1">
        <v>0</v>
      </c>
      <c r="FU284" s="1">
        <v>0</v>
      </c>
      <c r="FV284" s="1">
        <v>0</v>
      </c>
      <c r="FW284" s="1">
        <v>0</v>
      </c>
      <c r="FX284" s="1">
        <v>0</v>
      </c>
      <c r="FY284" s="1">
        <v>0</v>
      </c>
      <c r="FZ284" s="1">
        <v>0</v>
      </c>
      <c r="GA284" s="1">
        <v>0</v>
      </c>
      <c r="GB284" s="1">
        <v>0</v>
      </c>
      <c r="GC284" s="1">
        <v>5693.5439999999999</v>
      </c>
      <c r="GD284" s="1">
        <v>6261.107</v>
      </c>
      <c r="GE284" s="1">
        <v>7234.6739999999991</v>
      </c>
      <c r="GF284" s="1">
        <v>8658.6200000000008</v>
      </c>
      <c r="GG284" s="1">
        <v>5693.5439999999999</v>
      </c>
      <c r="GH284" s="1">
        <v>6261.107</v>
      </c>
      <c r="GI284" s="1">
        <v>7234.6739999999991</v>
      </c>
      <c r="GJ284" s="1">
        <v>8658.5300000000007</v>
      </c>
      <c r="GK284" s="1">
        <v>0</v>
      </c>
      <c r="GL284" s="1">
        <v>0</v>
      </c>
      <c r="GM284" s="1">
        <v>0</v>
      </c>
      <c r="GN284" s="1">
        <v>0.09</v>
      </c>
      <c r="GO284" s="1">
        <v>0</v>
      </c>
      <c r="GP284" s="1">
        <v>0</v>
      </c>
      <c r="GQ284" s="1">
        <v>0</v>
      </c>
      <c r="GR284" s="1">
        <v>0</v>
      </c>
      <c r="GS284" s="1">
        <v>0</v>
      </c>
      <c r="GT284" s="1">
        <v>0</v>
      </c>
      <c r="GU284" s="1">
        <v>0</v>
      </c>
      <c r="GV284" s="1">
        <v>0</v>
      </c>
      <c r="GW284" s="1">
        <v>0</v>
      </c>
      <c r="GX284" s="1">
        <v>0</v>
      </c>
      <c r="GY284" s="1">
        <v>0</v>
      </c>
      <c r="GZ284" s="1">
        <v>0</v>
      </c>
      <c r="HA284" s="1">
        <v>0</v>
      </c>
      <c r="HB284" s="1">
        <v>0</v>
      </c>
      <c r="HC284" s="1">
        <v>0</v>
      </c>
      <c r="HD284" s="1">
        <v>0</v>
      </c>
      <c r="HE284" s="1">
        <v>0</v>
      </c>
      <c r="HF284" s="1">
        <v>0</v>
      </c>
      <c r="HG284" s="1">
        <v>0</v>
      </c>
      <c r="HH284" s="1">
        <v>0</v>
      </c>
      <c r="HI284" s="1">
        <v>0</v>
      </c>
      <c r="HJ284" s="1">
        <v>0</v>
      </c>
      <c r="HK284" s="1">
        <v>0</v>
      </c>
      <c r="HL284" s="1">
        <v>0</v>
      </c>
      <c r="HM284" s="1">
        <v>0</v>
      </c>
      <c r="HN284" s="1">
        <v>0</v>
      </c>
      <c r="HO284" s="1">
        <v>0</v>
      </c>
      <c r="HP284" s="1">
        <v>0</v>
      </c>
      <c r="HQ284" s="1">
        <v>0</v>
      </c>
      <c r="HR284" s="1">
        <v>0</v>
      </c>
      <c r="HS284" s="1">
        <v>0</v>
      </c>
      <c r="HT284" s="1">
        <v>0</v>
      </c>
      <c r="HU284" s="1">
        <v>0</v>
      </c>
      <c r="HV284" s="1">
        <v>0</v>
      </c>
      <c r="HW284" s="1">
        <v>0</v>
      </c>
      <c r="HX284" s="1">
        <v>0</v>
      </c>
      <c r="HY284" s="1">
        <v>0</v>
      </c>
      <c r="HZ284" s="1">
        <v>0</v>
      </c>
      <c r="IA284" s="1">
        <v>0</v>
      </c>
      <c r="IB284" s="1">
        <v>0</v>
      </c>
      <c r="IC284" s="1">
        <v>0</v>
      </c>
      <c r="ID284" s="1">
        <v>0</v>
      </c>
      <c r="IE284" s="1">
        <v>0</v>
      </c>
      <c r="IF284" s="1">
        <v>0</v>
      </c>
      <c r="IG284" s="1">
        <v>0</v>
      </c>
      <c r="IH284" s="1">
        <v>0</v>
      </c>
      <c r="II284" s="1">
        <v>0</v>
      </c>
      <c r="IJ284" s="1">
        <v>0</v>
      </c>
      <c r="IK284" s="1">
        <v>0</v>
      </c>
      <c r="IL284" s="1">
        <v>0</v>
      </c>
      <c r="IM284" s="1">
        <v>0</v>
      </c>
      <c r="IN284" s="1">
        <v>0</v>
      </c>
      <c r="IO284" s="1">
        <v>3307.9789999999998</v>
      </c>
      <c r="IP284" s="1">
        <v>2801.3220000000001</v>
      </c>
      <c r="IQ284" s="1">
        <v>2430.4189999999999</v>
      </c>
      <c r="IR284" s="1">
        <v>2885.43</v>
      </c>
      <c r="IS284" s="1">
        <v>3265.71</v>
      </c>
      <c r="IT284" s="1">
        <v>2741.1</v>
      </c>
      <c r="IU284" s="1">
        <v>2368.5</v>
      </c>
      <c r="IV284" s="1">
        <v>2714.97</v>
      </c>
      <c r="IW284" s="1">
        <v>42.268999999999998</v>
      </c>
      <c r="IX284" s="1">
        <v>60.222000000000001</v>
      </c>
      <c r="IY284" s="1">
        <v>61.918999999999997</v>
      </c>
      <c r="IZ284" s="1">
        <v>170.46</v>
      </c>
      <c r="JA284" s="1">
        <v>0</v>
      </c>
      <c r="JB284" s="1">
        <v>0</v>
      </c>
      <c r="JC284" s="1">
        <v>0</v>
      </c>
      <c r="JD284" s="1">
        <v>0</v>
      </c>
      <c r="JE284" s="1">
        <v>0</v>
      </c>
      <c r="JF284" s="1">
        <v>0</v>
      </c>
      <c r="JG284" s="1">
        <v>0</v>
      </c>
      <c r="JH284" s="1">
        <v>0</v>
      </c>
      <c r="JI284" s="1">
        <v>0</v>
      </c>
      <c r="JJ284" s="1">
        <v>0</v>
      </c>
      <c r="JK284" s="1">
        <v>0</v>
      </c>
      <c r="JL284" s="1">
        <v>0</v>
      </c>
      <c r="JM284" s="1">
        <v>0</v>
      </c>
      <c r="JN284" s="1">
        <v>0</v>
      </c>
      <c r="JO284" s="1">
        <v>0</v>
      </c>
      <c r="JP284" s="1">
        <v>0</v>
      </c>
      <c r="JQ284" s="9"/>
      <c r="JR284" s="1">
        <f t="shared" si="60"/>
        <v>88853.839649999994</v>
      </c>
      <c r="JS284" s="1">
        <f t="shared" si="60"/>
        <v>86140.514070000005</v>
      </c>
      <c r="JT284" s="1">
        <f t="shared" si="60"/>
        <v>86615.901450000005</v>
      </c>
      <c r="JU284" s="1">
        <f t="shared" si="58"/>
        <v>86772.281399999993</v>
      </c>
      <c r="JV284" s="1">
        <f t="shared" si="61"/>
        <v>16454.41475</v>
      </c>
      <c r="JW284" s="1">
        <f t="shared" si="61"/>
        <v>15951.947050000001</v>
      </c>
      <c r="JX284" s="1">
        <f t="shared" si="61"/>
        <v>16039.981750000001</v>
      </c>
      <c r="JY284" s="1">
        <f t="shared" si="59"/>
        <v>16068.940999999999</v>
      </c>
    </row>
    <row r="285" spans="1:285" x14ac:dyDescent="0.35">
      <c r="A285" s="2" t="s">
        <v>292</v>
      </c>
      <c r="B285" s="1">
        <v>125754</v>
      </c>
      <c r="C285" s="1">
        <v>127921</v>
      </c>
      <c r="D285" s="1">
        <v>130607</v>
      </c>
      <c r="E285" s="1">
        <v>133253</v>
      </c>
      <c r="F285" s="1">
        <v>40165.766000000003</v>
      </c>
      <c r="G285" s="1">
        <v>44058.483</v>
      </c>
      <c r="H285" s="1">
        <v>42124.514999999999</v>
      </c>
      <c r="I285" s="1">
        <v>41552.122000000003</v>
      </c>
      <c r="J285" s="1">
        <f t="shared" si="62"/>
        <v>27279.755999999998</v>
      </c>
      <c r="K285" s="1">
        <f t="shared" si="63"/>
        <v>30977.963000000003</v>
      </c>
      <c r="L285" s="1">
        <f t="shared" si="64"/>
        <v>28393.025000000001</v>
      </c>
      <c r="M285" s="1">
        <f t="shared" si="65"/>
        <v>28677.441999999999</v>
      </c>
      <c r="N285" s="1">
        <f t="shared" si="66"/>
        <v>12886.010000000006</v>
      </c>
      <c r="O285" s="1">
        <f t="shared" si="67"/>
        <v>13080.519999999997</v>
      </c>
      <c r="P285" s="1">
        <f t="shared" si="68"/>
        <v>13731.489999999998</v>
      </c>
      <c r="Q285" s="1">
        <f t="shared" si="69"/>
        <v>12874.680000000004</v>
      </c>
      <c r="R285" s="1">
        <v>0</v>
      </c>
      <c r="S285" s="1">
        <v>0</v>
      </c>
      <c r="T285" s="1">
        <v>0</v>
      </c>
      <c r="U285" s="1">
        <v>0</v>
      </c>
      <c r="V285" s="1">
        <v>0</v>
      </c>
      <c r="W285" s="1">
        <v>0</v>
      </c>
      <c r="X285" s="1">
        <v>0</v>
      </c>
      <c r="Y285" s="1">
        <v>0</v>
      </c>
      <c r="Z285" s="1">
        <v>0</v>
      </c>
      <c r="AA285" s="1">
        <v>0</v>
      </c>
      <c r="AB285" s="1">
        <v>0</v>
      </c>
      <c r="AC285" s="1">
        <v>0</v>
      </c>
      <c r="AD285" s="1">
        <v>0</v>
      </c>
      <c r="AE285" s="1">
        <v>0</v>
      </c>
      <c r="AF285" s="1">
        <v>0</v>
      </c>
      <c r="AG285" s="1">
        <v>0</v>
      </c>
      <c r="AH285" s="1">
        <v>0</v>
      </c>
      <c r="AI285" s="1">
        <v>0</v>
      </c>
      <c r="AJ285" s="1">
        <v>0</v>
      </c>
      <c r="AK285" s="1">
        <v>0</v>
      </c>
      <c r="AL285" s="1">
        <v>0</v>
      </c>
      <c r="AM285" s="1">
        <v>0</v>
      </c>
      <c r="AN285" s="1">
        <v>0</v>
      </c>
      <c r="AO285" s="1">
        <v>0</v>
      </c>
      <c r="AP285" s="1">
        <v>6168.0969999999998</v>
      </c>
      <c r="AQ285" s="1">
        <v>6589.4329999999991</v>
      </c>
      <c r="AR285" s="1">
        <v>6486.7149999999992</v>
      </c>
      <c r="AS285" s="1">
        <v>7291.652</v>
      </c>
      <c r="AT285" s="1">
        <v>0</v>
      </c>
      <c r="AU285" s="1">
        <v>6168.0969999999998</v>
      </c>
      <c r="AV285" s="1">
        <v>0</v>
      </c>
      <c r="AW285" s="1">
        <v>0</v>
      </c>
      <c r="AX285" s="1">
        <v>0</v>
      </c>
      <c r="AY285" s="1">
        <v>6589.4329999999991</v>
      </c>
      <c r="AZ285" s="1">
        <v>0</v>
      </c>
      <c r="BA285" s="1">
        <v>0</v>
      </c>
      <c r="BB285" s="1">
        <v>0</v>
      </c>
      <c r="BC285" s="1">
        <v>6486.7149999999992</v>
      </c>
      <c r="BD285" s="1">
        <v>0</v>
      </c>
      <c r="BE285" s="1">
        <v>0</v>
      </c>
      <c r="BF285" s="1">
        <v>7291.652</v>
      </c>
      <c r="BG285" s="1">
        <v>0</v>
      </c>
      <c r="BH285" s="1">
        <v>0</v>
      </c>
      <c r="BI285" s="1">
        <v>0</v>
      </c>
      <c r="BJ285" s="1">
        <v>0</v>
      </c>
      <c r="BK285" s="1">
        <v>0</v>
      </c>
      <c r="BL285" s="1">
        <v>0</v>
      </c>
      <c r="BM285" s="1">
        <v>0</v>
      </c>
      <c r="BN285" s="1">
        <v>0</v>
      </c>
      <c r="BO285" s="1">
        <v>0</v>
      </c>
      <c r="BP285" s="1">
        <v>0</v>
      </c>
      <c r="BQ285" s="1">
        <v>0</v>
      </c>
      <c r="BR285" s="1">
        <v>0</v>
      </c>
      <c r="BS285" s="1">
        <v>0</v>
      </c>
      <c r="BT285" s="1">
        <v>0</v>
      </c>
      <c r="BU285" s="1">
        <v>10497.85</v>
      </c>
      <c r="BV285" s="1">
        <v>13771.45</v>
      </c>
      <c r="BW285" s="1">
        <v>11908.94</v>
      </c>
      <c r="BX285" s="1">
        <v>10785.52</v>
      </c>
      <c r="BY285" s="1">
        <v>10495.87</v>
      </c>
      <c r="BZ285" s="1">
        <v>13771.45</v>
      </c>
      <c r="CA285" s="1">
        <v>11908.94</v>
      </c>
      <c r="CB285" s="1">
        <v>10785.52</v>
      </c>
      <c r="CC285" s="1">
        <v>1.98</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1429.6020000000001</v>
      </c>
      <c r="CT285" s="1">
        <v>1500.21</v>
      </c>
      <c r="CU285" s="1">
        <v>1358.79</v>
      </c>
      <c r="CV285" s="1">
        <v>1354.58</v>
      </c>
      <c r="CW285" s="1">
        <v>1413.6120000000001</v>
      </c>
      <c r="CX285" s="1">
        <v>1498.25</v>
      </c>
      <c r="CY285" s="1">
        <v>1262.3699999999999</v>
      </c>
      <c r="CZ285" s="1">
        <v>1217.5899999999999</v>
      </c>
      <c r="DA285" s="1">
        <v>0</v>
      </c>
      <c r="DB285" s="1">
        <v>0</v>
      </c>
      <c r="DC285" s="1">
        <v>0</v>
      </c>
      <c r="DD285" s="1">
        <v>0</v>
      </c>
      <c r="DE285" s="1">
        <v>0</v>
      </c>
      <c r="DF285" s="1">
        <v>0</v>
      </c>
      <c r="DG285" s="1">
        <v>0</v>
      </c>
      <c r="DH285" s="1">
        <v>0</v>
      </c>
      <c r="DI285" s="1">
        <v>15.99</v>
      </c>
      <c r="DJ285" s="1">
        <v>1.96</v>
      </c>
      <c r="DK285" s="1">
        <v>96.42</v>
      </c>
      <c r="DL285" s="1">
        <v>136.99</v>
      </c>
      <c r="DM285" s="1">
        <v>7599</v>
      </c>
      <c r="DN285" s="1">
        <v>7746.9</v>
      </c>
      <c r="DO285" s="1">
        <v>7210.82</v>
      </c>
      <c r="DP285" s="1">
        <v>7160.5</v>
      </c>
      <c r="DQ285" s="1">
        <v>7599</v>
      </c>
      <c r="DR285" s="1">
        <v>7746.9</v>
      </c>
      <c r="DS285" s="1">
        <v>7210.82</v>
      </c>
      <c r="DT285" s="1">
        <v>7160.5</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508.22699999999998</v>
      </c>
      <c r="EL285" s="1">
        <v>503.93</v>
      </c>
      <c r="EM285" s="1">
        <v>445.54</v>
      </c>
      <c r="EN285" s="1">
        <v>451.28</v>
      </c>
      <c r="EO285" s="1">
        <v>508.22699999999998</v>
      </c>
      <c r="EP285" s="1">
        <v>503.93</v>
      </c>
      <c r="EQ285" s="1">
        <v>445.54</v>
      </c>
      <c r="ER285" s="1">
        <v>451.28</v>
      </c>
      <c r="ES285" s="1">
        <v>0</v>
      </c>
      <c r="ET285" s="1">
        <v>0</v>
      </c>
      <c r="EU285" s="1">
        <v>0</v>
      </c>
      <c r="EV285" s="1">
        <v>0</v>
      </c>
      <c r="EW285" s="1">
        <v>0</v>
      </c>
      <c r="EX285" s="1">
        <v>0</v>
      </c>
      <c r="EY285" s="1">
        <v>0</v>
      </c>
      <c r="EZ285" s="1">
        <v>0</v>
      </c>
      <c r="FA285" s="1">
        <v>0</v>
      </c>
      <c r="FB285" s="1">
        <v>0</v>
      </c>
      <c r="FC285" s="1">
        <v>0</v>
      </c>
      <c r="FD285" s="1">
        <v>0</v>
      </c>
      <c r="FE285" s="1">
        <v>196.79</v>
      </c>
      <c r="FF285" s="1">
        <v>157.43</v>
      </c>
      <c r="FG285" s="1">
        <v>227.22</v>
      </c>
      <c r="FH285" s="1">
        <v>223.79</v>
      </c>
      <c r="FI285" s="1">
        <v>0</v>
      </c>
      <c r="FJ285" s="1">
        <v>0</v>
      </c>
      <c r="FK285" s="1">
        <v>0</v>
      </c>
      <c r="FL285" s="1">
        <v>0</v>
      </c>
      <c r="FM285" s="1">
        <v>196.79</v>
      </c>
      <c r="FN285" s="1">
        <v>157.43</v>
      </c>
      <c r="FO285" s="1">
        <v>227.22</v>
      </c>
      <c r="FP285" s="1">
        <v>223.79</v>
      </c>
      <c r="FQ285" s="1">
        <v>0</v>
      </c>
      <c r="FR285" s="1">
        <v>0</v>
      </c>
      <c r="FS285" s="1">
        <v>0</v>
      </c>
      <c r="FT285" s="1">
        <v>0</v>
      </c>
      <c r="FU285" s="1">
        <v>0</v>
      </c>
      <c r="FV285" s="1">
        <v>0</v>
      </c>
      <c r="FW285" s="1">
        <v>0</v>
      </c>
      <c r="FX285" s="1">
        <v>0</v>
      </c>
      <c r="FY285" s="1">
        <v>0</v>
      </c>
      <c r="FZ285" s="1">
        <v>0</v>
      </c>
      <c r="GA285" s="1">
        <v>0</v>
      </c>
      <c r="GB285" s="1">
        <v>0</v>
      </c>
      <c r="GC285" s="1">
        <v>20.8</v>
      </c>
      <c r="GD285" s="1">
        <v>23.36</v>
      </c>
      <c r="GE285" s="1">
        <v>15.32</v>
      </c>
      <c r="GF285" s="1">
        <v>20.14</v>
      </c>
      <c r="GG285" s="1">
        <v>20.8</v>
      </c>
      <c r="GH285" s="1">
        <v>23.36</v>
      </c>
      <c r="GI285" s="1">
        <v>15.32</v>
      </c>
      <c r="GJ285" s="1">
        <v>20.14</v>
      </c>
      <c r="GK285" s="1">
        <v>0</v>
      </c>
      <c r="GL285" s="1">
        <v>0</v>
      </c>
      <c r="GM285" s="1">
        <v>0</v>
      </c>
      <c r="GN285" s="1">
        <v>0</v>
      </c>
      <c r="GO285" s="1">
        <v>0</v>
      </c>
      <c r="GP285" s="1">
        <v>0</v>
      </c>
      <c r="GQ285" s="1">
        <v>0</v>
      </c>
      <c r="GR285" s="1">
        <v>0</v>
      </c>
      <c r="GS285" s="1">
        <v>0</v>
      </c>
      <c r="GT285" s="1">
        <v>0</v>
      </c>
      <c r="GU285" s="1">
        <v>0</v>
      </c>
      <c r="GV285" s="1">
        <v>0</v>
      </c>
      <c r="GW285" s="1">
        <v>0</v>
      </c>
      <c r="GX285" s="1">
        <v>0</v>
      </c>
      <c r="GY285" s="1">
        <v>0</v>
      </c>
      <c r="GZ285" s="1">
        <v>0</v>
      </c>
      <c r="HA285" s="1">
        <v>0</v>
      </c>
      <c r="HB285" s="1">
        <v>0</v>
      </c>
      <c r="HC285" s="1">
        <v>0</v>
      </c>
      <c r="HD285" s="1">
        <v>0</v>
      </c>
      <c r="HE285" s="1">
        <v>0</v>
      </c>
      <c r="HF285" s="1">
        <v>0</v>
      </c>
      <c r="HG285" s="1">
        <v>0</v>
      </c>
      <c r="HH285" s="1">
        <v>0</v>
      </c>
      <c r="HI285" s="1">
        <v>0</v>
      </c>
      <c r="HJ285" s="1">
        <v>0</v>
      </c>
      <c r="HK285" s="1">
        <v>0</v>
      </c>
      <c r="HL285" s="1">
        <v>0</v>
      </c>
      <c r="HM285" s="1">
        <v>0</v>
      </c>
      <c r="HN285" s="1">
        <v>0</v>
      </c>
      <c r="HO285" s="1">
        <v>0</v>
      </c>
      <c r="HP285" s="1">
        <v>0</v>
      </c>
      <c r="HQ285" s="1">
        <v>0</v>
      </c>
      <c r="HR285" s="1">
        <v>0</v>
      </c>
      <c r="HS285" s="1">
        <v>0</v>
      </c>
      <c r="HT285" s="1">
        <v>0</v>
      </c>
      <c r="HU285" s="1">
        <v>0</v>
      </c>
      <c r="HV285" s="1">
        <v>0</v>
      </c>
      <c r="HW285" s="1">
        <v>0</v>
      </c>
      <c r="HX285" s="1">
        <v>0</v>
      </c>
      <c r="HY285" s="1">
        <v>0</v>
      </c>
      <c r="HZ285" s="1">
        <v>0</v>
      </c>
      <c r="IA285" s="1">
        <v>0</v>
      </c>
      <c r="IB285" s="1">
        <v>0</v>
      </c>
      <c r="IC285" s="1">
        <v>0</v>
      </c>
      <c r="ID285" s="1">
        <v>0</v>
      </c>
      <c r="IE285" s="1">
        <v>0</v>
      </c>
      <c r="IF285" s="1">
        <v>0</v>
      </c>
      <c r="IG285" s="1">
        <v>0</v>
      </c>
      <c r="IH285" s="1">
        <v>0</v>
      </c>
      <c r="II285" s="1">
        <v>0</v>
      </c>
      <c r="IJ285" s="1">
        <v>0</v>
      </c>
      <c r="IK285" s="1">
        <v>0</v>
      </c>
      <c r="IL285" s="1">
        <v>0</v>
      </c>
      <c r="IM285" s="1">
        <v>0</v>
      </c>
      <c r="IN285" s="1">
        <v>0</v>
      </c>
      <c r="IO285" s="1">
        <v>859.39</v>
      </c>
      <c r="IP285" s="1">
        <v>685.25</v>
      </c>
      <c r="IQ285" s="1">
        <v>739.68</v>
      </c>
      <c r="IR285" s="1">
        <v>1389.98</v>
      </c>
      <c r="IS285" s="1">
        <v>859.39</v>
      </c>
      <c r="IT285" s="1">
        <v>685.25</v>
      </c>
      <c r="IU285" s="1">
        <v>739.68</v>
      </c>
      <c r="IV285" s="1">
        <v>1389.98</v>
      </c>
      <c r="IW285" s="1">
        <v>0</v>
      </c>
      <c r="IX285" s="1">
        <v>0</v>
      </c>
      <c r="IY285" s="1">
        <v>0</v>
      </c>
      <c r="IZ285" s="1">
        <v>0</v>
      </c>
      <c r="JA285" s="1">
        <v>0</v>
      </c>
      <c r="JB285" s="1">
        <v>0</v>
      </c>
      <c r="JC285" s="1">
        <v>0</v>
      </c>
      <c r="JD285" s="1">
        <v>0</v>
      </c>
      <c r="JE285" s="1">
        <v>0</v>
      </c>
      <c r="JF285" s="1">
        <v>0</v>
      </c>
      <c r="JG285" s="1">
        <v>0</v>
      </c>
      <c r="JH285" s="1">
        <v>0</v>
      </c>
      <c r="JI285" s="1">
        <v>0</v>
      </c>
      <c r="JJ285" s="1">
        <v>0</v>
      </c>
      <c r="JK285" s="1">
        <v>0</v>
      </c>
      <c r="JL285" s="1">
        <v>0</v>
      </c>
      <c r="JM285" s="1">
        <v>0</v>
      </c>
      <c r="JN285" s="1">
        <v>0</v>
      </c>
      <c r="JO285" s="1">
        <v>0</v>
      </c>
      <c r="JP285" s="1">
        <v>0</v>
      </c>
      <c r="JQ285" s="9"/>
      <c r="JR285" s="1">
        <f t="shared" si="60"/>
        <v>3479.2227000000016</v>
      </c>
      <c r="JS285" s="1">
        <f t="shared" si="60"/>
        <v>3531.7403999999992</v>
      </c>
      <c r="JT285" s="1">
        <f t="shared" si="60"/>
        <v>3707.5022999999997</v>
      </c>
      <c r="JU285" s="1">
        <f t="shared" si="58"/>
        <v>3476.1636000000012</v>
      </c>
      <c r="JV285" s="1">
        <f t="shared" si="61"/>
        <v>644.30050000000028</v>
      </c>
      <c r="JW285" s="1">
        <f t="shared" si="61"/>
        <v>654.02599999999984</v>
      </c>
      <c r="JX285" s="1">
        <f t="shared" si="61"/>
        <v>686.57449999999994</v>
      </c>
      <c r="JY285" s="1">
        <f t="shared" si="59"/>
        <v>643.73400000000026</v>
      </c>
    </row>
    <row r="286" spans="1:285" x14ac:dyDescent="0.35">
      <c r="A286" s="2" t="s">
        <v>293</v>
      </c>
      <c r="B286" s="1">
        <v>153991</v>
      </c>
      <c r="C286" s="1">
        <v>153922</v>
      </c>
      <c r="D286" s="1">
        <v>155069</v>
      </c>
      <c r="E286" s="1">
        <v>157174</v>
      </c>
      <c r="F286" s="1">
        <v>127970.95</v>
      </c>
      <c r="G286" s="1">
        <v>135949.6</v>
      </c>
      <c r="H286" s="1">
        <v>122234.61199999999</v>
      </c>
      <c r="I286" s="1">
        <v>122830.96</v>
      </c>
      <c r="J286" s="1">
        <f t="shared" si="62"/>
        <v>33600.739999999991</v>
      </c>
      <c r="K286" s="1">
        <f t="shared" si="63"/>
        <v>38550.109999999993</v>
      </c>
      <c r="L286" s="1">
        <f t="shared" si="64"/>
        <v>37371.438000000002</v>
      </c>
      <c r="M286" s="1">
        <f t="shared" si="65"/>
        <v>39206.927999999993</v>
      </c>
      <c r="N286" s="1">
        <f t="shared" si="66"/>
        <v>94370.21</v>
      </c>
      <c r="O286" s="1">
        <f t="shared" si="67"/>
        <v>97399.49000000002</v>
      </c>
      <c r="P286" s="1">
        <f t="shared" si="68"/>
        <v>84863.173999999999</v>
      </c>
      <c r="Q286" s="1">
        <f t="shared" si="69"/>
        <v>83624.032000000007</v>
      </c>
      <c r="R286" s="1">
        <v>2478.46</v>
      </c>
      <c r="S286" s="1">
        <v>2646.14</v>
      </c>
      <c r="T286" s="1">
        <v>2740.98</v>
      </c>
      <c r="U286" s="1">
        <v>2670.74</v>
      </c>
      <c r="V286" s="1">
        <v>0</v>
      </c>
      <c r="W286" s="1">
        <v>0</v>
      </c>
      <c r="X286" s="1">
        <v>2478.46</v>
      </c>
      <c r="Y286" s="1">
        <v>0</v>
      </c>
      <c r="Z286" s="1">
        <v>0</v>
      </c>
      <c r="AA286" s="1">
        <v>2646.14</v>
      </c>
      <c r="AB286" s="1">
        <v>0</v>
      </c>
      <c r="AC286" s="1">
        <v>0</v>
      </c>
      <c r="AD286" s="1">
        <v>2740.98</v>
      </c>
      <c r="AE286" s="1">
        <v>0</v>
      </c>
      <c r="AF286" s="1">
        <v>0</v>
      </c>
      <c r="AG286" s="1">
        <v>2670.74</v>
      </c>
      <c r="AH286" s="1">
        <v>0</v>
      </c>
      <c r="AI286" s="1">
        <v>0</v>
      </c>
      <c r="AJ286" s="1">
        <v>0</v>
      </c>
      <c r="AK286" s="1">
        <v>0</v>
      </c>
      <c r="AL286" s="1">
        <v>0</v>
      </c>
      <c r="AM286" s="1">
        <v>0</v>
      </c>
      <c r="AN286" s="1">
        <v>0</v>
      </c>
      <c r="AO286" s="1">
        <v>0</v>
      </c>
      <c r="AP286" s="1">
        <v>10827.32</v>
      </c>
      <c r="AQ286" s="1">
        <v>10623.08</v>
      </c>
      <c r="AR286" s="1">
        <v>9498.4399999999987</v>
      </c>
      <c r="AS286" s="1">
        <v>11926.8</v>
      </c>
      <c r="AT286" s="1">
        <v>0</v>
      </c>
      <c r="AU286" s="1">
        <v>10827.32</v>
      </c>
      <c r="AV286" s="1">
        <v>0</v>
      </c>
      <c r="AW286" s="1">
        <v>0</v>
      </c>
      <c r="AX286" s="1">
        <v>0</v>
      </c>
      <c r="AY286" s="1">
        <v>10623.08</v>
      </c>
      <c r="AZ286" s="1">
        <v>0</v>
      </c>
      <c r="BA286" s="1">
        <v>0</v>
      </c>
      <c r="BB286" s="1">
        <v>0</v>
      </c>
      <c r="BC286" s="1">
        <v>9498.4399999999987</v>
      </c>
      <c r="BD286" s="1">
        <v>0</v>
      </c>
      <c r="BE286" s="1">
        <v>0</v>
      </c>
      <c r="BF286" s="1">
        <v>11926.8</v>
      </c>
      <c r="BG286" s="1">
        <v>0</v>
      </c>
      <c r="BH286" s="1">
        <v>0</v>
      </c>
      <c r="BI286" s="1">
        <v>0</v>
      </c>
      <c r="BJ286" s="1">
        <v>0</v>
      </c>
      <c r="BK286" s="1">
        <v>0</v>
      </c>
      <c r="BL286" s="1">
        <v>0</v>
      </c>
      <c r="BM286" s="1">
        <v>0</v>
      </c>
      <c r="BN286" s="1">
        <v>0</v>
      </c>
      <c r="BO286" s="1">
        <v>0</v>
      </c>
      <c r="BP286" s="1">
        <v>0</v>
      </c>
      <c r="BQ286" s="1">
        <v>0</v>
      </c>
      <c r="BR286" s="1">
        <v>0</v>
      </c>
      <c r="BS286" s="1">
        <v>0</v>
      </c>
      <c r="BT286" s="1">
        <v>0</v>
      </c>
      <c r="BU286" s="1">
        <v>7141.91</v>
      </c>
      <c r="BV286" s="1">
        <v>11806.18</v>
      </c>
      <c r="BW286" s="1">
        <v>11807.06</v>
      </c>
      <c r="BX286" s="1">
        <v>14234.522000000001</v>
      </c>
      <c r="BY286" s="1">
        <v>7141.91</v>
      </c>
      <c r="BZ286" s="1">
        <v>11775.94</v>
      </c>
      <c r="CA286" s="1">
        <v>11807.06</v>
      </c>
      <c r="CB286" s="1">
        <v>14234.522000000001</v>
      </c>
      <c r="CC286" s="1">
        <v>0</v>
      </c>
      <c r="CD286" s="1">
        <v>30.24</v>
      </c>
      <c r="CE286" s="1">
        <v>0</v>
      </c>
      <c r="CF286" s="1">
        <v>0</v>
      </c>
      <c r="CG286" s="1">
        <v>0</v>
      </c>
      <c r="CH286" s="1">
        <v>0</v>
      </c>
      <c r="CI286" s="1">
        <v>0</v>
      </c>
      <c r="CJ286" s="1">
        <v>0</v>
      </c>
      <c r="CK286" s="1">
        <v>0</v>
      </c>
      <c r="CL286" s="1">
        <v>0</v>
      </c>
      <c r="CM286" s="1">
        <v>0</v>
      </c>
      <c r="CN286" s="1">
        <v>0</v>
      </c>
      <c r="CO286" s="1">
        <v>0</v>
      </c>
      <c r="CP286" s="1">
        <v>0</v>
      </c>
      <c r="CQ286" s="1">
        <v>0</v>
      </c>
      <c r="CR286" s="1">
        <v>0</v>
      </c>
      <c r="CS286" s="1">
        <v>2798.6</v>
      </c>
      <c r="CT286" s="1">
        <v>1603.5</v>
      </c>
      <c r="CU286" s="1">
        <v>2761.3960000000002</v>
      </c>
      <c r="CV286" s="1">
        <v>1909.261</v>
      </c>
      <c r="CW286" s="1">
        <v>2798.6</v>
      </c>
      <c r="CX286" s="1">
        <v>1603.5</v>
      </c>
      <c r="CY286" s="1">
        <v>2761.3960000000002</v>
      </c>
      <c r="CZ286" s="1">
        <v>1909.261</v>
      </c>
      <c r="DA286" s="1">
        <v>0</v>
      </c>
      <c r="DB286" s="1">
        <v>0</v>
      </c>
      <c r="DC286" s="1">
        <v>0</v>
      </c>
      <c r="DD286" s="1">
        <v>0</v>
      </c>
      <c r="DE286" s="1">
        <v>0</v>
      </c>
      <c r="DF286" s="1">
        <v>0</v>
      </c>
      <c r="DG286" s="1">
        <v>0</v>
      </c>
      <c r="DH286" s="1">
        <v>0</v>
      </c>
      <c r="DI286" s="1">
        <v>0</v>
      </c>
      <c r="DJ286" s="1">
        <v>0</v>
      </c>
      <c r="DK286" s="1">
        <v>0</v>
      </c>
      <c r="DL286" s="1">
        <v>0</v>
      </c>
      <c r="DM286" s="1">
        <v>5581.1200000000008</v>
      </c>
      <c r="DN286" s="1">
        <v>4439</v>
      </c>
      <c r="DO286" s="1">
        <v>3054.18</v>
      </c>
      <c r="DP286" s="1">
        <v>3094.1170000000002</v>
      </c>
      <c r="DQ286" s="1">
        <v>5581.1200000000008</v>
      </c>
      <c r="DR286" s="1">
        <v>4439</v>
      </c>
      <c r="DS286" s="1">
        <v>3054.18</v>
      </c>
      <c r="DT286" s="1">
        <v>3094.1170000000002</v>
      </c>
      <c r="DU286" s="1">
        <v>0</v>
      </c>
      <c r="DV286" s="1">
        <v>0</v>
      </c>
      <c r="DW286" s="1">
        <v>0</v>
      </c>
      <c r="DX286" s="1">
        <v>0</v>
      </c>
      <c r="DY286" s="1">
        <v>0</v>
      </c>
      <c r="DZ286" s="1">
        <v>0</v>
      </c>
      <c r="EA286" s="1">
        <v>0</v>
      </c>
      <c r="EB286" s="1">
        <v>0</v>
      </c>
      <c r="EC286" s="1">
        <v>0</v>
      </c>
      <c r="ED286" s="1">
        <v>0</v>
      </c>
      <c r="EE286" s="1">
        <v>0</v>
      </c>
      <c r="EF286" s="1">
        <v>0</v>
      </c>
      <c r="EG286" s="1">
        <v>0</v>
      </c>
      <c r="EH286" s="1">
        <v>0</v>
      </c>
      <c r="EI286" s="1">
        <v>0</v>
      </c>
      <c r="EJ286" s="1">
        <v>0</v>
      </c>
      <c r="EK286" s="1">
        <v>1766.66</v>
      </c>
      <c r="EL286" s="1">
        <v>3055.17</v>
      </c>
      <c r="EM286" s="1">
        <v>3161.3620000000001</v>
      </c>
      <c r="EN286" s="1">
        <v>3960.248</v>
      </c>
      <c r="EO286" s="1">
        <v>1766.66</v>
      </c>
      <c r="EP286" s="1">
        <v>3055.17</v>
      </c>
      <c r="EQ286" s="1">
        <v>3161.3620000000001</v>
      </c>
      <c r="ER286" s="1">
        <v>3960.248</v>
      </c>
      <c r="ES286" s="1">
        <v>0</v>
      </c>
      <c r="ET286" s="1">
        <v>0</v>
      </c>
      <c r="EU286" s="1">
        <v>0</v>
      </c>
      <c r="EV286" s="1">
        <v>0</v>
      </c>
      <c r="EW286" s="1">
        <v>0</v>
      </c>
      <c r="EX286" s="1">
        <v>0</v>
      </c>
      <c r="EY286" s="1">
        <v>0</v>
      </c>
      <c r="EZ286" s="1">
        <v>0</v>
      </c>
      <c r="FA286" s="1">
        <v>0</v>
      </c>
      <c r="FB286" s="1">
        <v>0</v>
      </c>
      <c r="FC286" s="1">
        <v>0</v>
      </c>
      <c r="FD286" s="1">
        <v>0</v>
      </c>
      <c r="FE286" s="1">
        <v>93.53</v>
      </c>
      <c r="FF286" s="1">
        <v>99.1</v>
      </c>
      <c r="FG286" s="1">
        <v>88.64</v>
      </c>
      <c r="FH286" s="1">
        <v>10.68</v>
      </c>
      <c r="FI286" s="1">
        <v>81.03</v>
      </c>
      <c r="FJ286" s="1">
        <v>99.1</v>
      </c>
      <c r="FK286" s="1">
        <v>63.16</v>
      </c>
      <c r="FL286" s="1">
        <v>0</v>
      </c>
      <c r="FM286" s="1">
        <v>12.5</v>
      </c>
      <c r="FN286" s="1">
        <v>0</v>
      </c>
      <c r="FO286" s="1">
        <v>25.48</v>
      </c>
      <c r="FP286" s="1">
        <v>10.68</v>
      </c>
      <c r="FQ286" s="1">
        <v>0</v>
      </c>
      <c r="FR286" s="1">
        <v>0</v>
      </c>
      <c r="FS286" s="1">
        <v>0</v>
      </c>
      <c r="FT286" s="1">
        <v>0</v>
      </c>
      <c r="FU286" s="1">
        <v>0</v>
      </c>
      <c r="FV286" s="1">
        <v>0</v>
      </c>
      <c r="FW286" s="1">
        <v>0</v>
      </c>
      <c r="FX286" s="1">
        <v>0</v>
      </c>
      <c r="FY286" s="1">
        <v>0</v>
      </c>
      <c r="FZ286" s="1">
        <v>0</v>
      </c>
      <c r="GA286" s="1">
        <v>0</v>
      </c>
      <c r="GB286" s="1">
        <v>0</v>
      </c>
      <c r="GC286" s="1">
        <v>1187.06</v>
      </c>
      <c r="GD286" s="1">
        <v>1234.74</v>
      </c>
      <c r="GE286" s="1">
        <v>1362.73</v>
      </c>
      <c r="GF286" s="1">
        <v>419.52</v>
      </c>
      <c r="GG286" s="1">
        <v>1187.06</v>
      </c>
      <c r="GH286" s="1">
        <v>1234.74</v>
      </c>
      <c r="GI286" s="1">
        <v>1362.73</v>
      </c>
      <c r="GJ286" s="1">
        <v>419.52</v>
      </c>
      <c r="GK286" s="1">
        <v>0</v>
      </c>
      <c r="GL286" s="1">
        <v>0</v>
      </c>
      <c r="GM286" s="1">
        <v>0</v>
      </c>
      <c r="GN286" s="1">
        <v>0</v>
      </c>
      <c r="GO286" s="1">
        <v>0</v>
      </c>
      <c r="GP286" s="1">
        <v>0</v>
      </c>
      <c r="GQ286" s="1">
        <v>0</v>
      </c>
      <c r="GR286" s="1">
        <v>0</v>
      </c>
      <c r="GS286" s="1">
        <v>0</v>
      </c>
      <c r="GT286" s="1">
        <v>0</v>
      </c>
      <c r="GU286" s="1">
        <v>0</v>
      </c>
      <c r="GV286" s="1">
        <v>0</v>
      </c>
      <c r="GW286" s="1">
        <v>0</v>
      </c>
      <c r="GX286" s="1">
        <v>0</v>
      </c>
      <c r="GY286" s="1">
        <v>0</v>
      </c>
      <c r="GZ286" s="1">
        <v>0</v>
      </c>
      <c r="HA286" s="1">
        <v>0</v>
      </c>
      <c r="HB286" s="1">
        <v>0</v>
      </c>
      <c r="HC286" s="1">
        <v>0</v>
      </c>
      <c r="HD286" s="1">
        <v>0</v>
      </c>
      <c r="HE286" s="1">
        <v>1704.02</v>
      </c>
      <c r="HF286" s="1">
        <v>2939.68</v>
      </c>
      <c r="HG286" s="1">
        <v>2399.2199999999998</v>
      </c>
      <c r="HH286" s="1">
        <v>970.36</v>
      </c>
      <c r="HI286" s="1">
        <v>1704.02</v>
      </c>
      <c r="HJ286" s="1">
        <v>2939.68</v>
      </c>
      <c r="HK286" s="1">
        <v>2399.2199999999998</v>
      </c>
      <c r="HL286" s="1">
        <v>667.18000000000006</v>
      </c>
      <c r="HM286" s="1">
        <v>0</v>
      </c>
      <c r="HN286" s="1">
        <v>0</v>
      </c>
      <c r="HO286" s="1">
        <v>0</v>
      </c>
      <c r="HP286" s="1">
        <v>0</v>
      </c>
      <c r="HQ286" s="1">
        <v>0</v>
      </c>
      <c r="HR286" s="1">
        <v>0</v>
      </c>
      <c r="HS286" s="1">
        <v>0</v>
      </c>
      <c r="HT286" s="1">
        <v>0</v>
      </c>
      <c r="HU286" s="1">
        <v>0</v>
      </c>
      <c r="HV286" s="1">
        <v>0</v>
      </c>
      <c r="HW286" s="1">
        <v>0</v>
      </c>
      <c r="HX286" s="1">
        <v>0</v>
      </c>
      <c r="HY286" s="1">
        <v>0</v>
      </c>
      <c r="HZ286" s="1">
        <v>0</v>
      </c>
      <c r="IA286" s="1">
        <v>0</v>
      </c>
      <c r="IB286" s="1">
        <v>0</v>
      </c>
      <c r="IC286" s="1">
        <v>0</v>
      </c>
      <c r="ID286" s="1">
        <v>0</v>
      </c>
      <c r="IE286" s="1">
        <v>0</v>
      </c>
      <c r="IF286" s="1">
        <v>303.18</v>
      </c>
      <c r="IG286" s="1">
        <v>0</v>
      </c>
      <c r="IH286" s="1">
        <v>0</v>
      </c>
      <c r="II286" s="1">
        <v>0</v>
      </c>
      <c r="IJ286" s="1">
        <v>0</v>
      </c>
      <c r="IK286" s="1">
        <v>0</v>
      </c>
      <c r="IL286" s="1">
        <v>0</v>
      </c>
      <c r="IM286" s="1">
        <v>0</v>
      </c>
      <c r="IN286" s="1">
        <v>0</v>
      </c>
      <c r="IO286" s="1">
        <v>22.06</v>
      </c>
      <c r="IP286" s="1">
        <v>103.52</v>
      </c>
      <c r="IQ286" s="1">
        <v>497.43</v>
      </c>
      <c r="IR286" s="1">
        <v>10.68</v>
      </c>
      <c r="IS286" s="1">
        <v>0</v>
      </c>
      <c r="IT286" s="1">
        <v>80.62</v>
      </c>
      <c r="IU286" s="1">
        <v>454.95</v>
      </c>
      <c r="IV286" s="1">
        <v>0</v>
      </c>
      <c r="IW286" s="1">
        <v>22.06</v>
      </c>
      <c r="IX286" s="1">
        <v>22.9</v>
      </c>
      <c r="IY286" s="1">
        <v>42.48</v>
      </c>
      <c r="IZ286" s="1">
        <v>10.68</v>
      </c>
      <c r="JA286" s="1">
        <v>0</v>
      </c>
      <c r="JB286" s="1">
        <v>0</v>
      </c>
      <c r="JC286" s="1">
        <v>0</v>
      </c>
      <c r="JD286" s="1">
        <v>0</v>
      </c>
      <c r="JE286" s="1">
        <v>0</v>
      </c>
      <c r="JF286" s="1">
        <v>0</v>
      </c>
      <c r="JG286" s="1">
        <v>0</v>
      </c>
      <c r="JH286" s="1">
        <v>0</v>
      </c>
      <c r="JI286" s="1">
        <v>0</v>
      </c>
      <c r="JJ286" s="1">
        <v>0</v>
      </c>
      <c r="JK286" s="1">
        <v>0</v>
      </c>
      <c r="JL286" s="1">
        <v>0</v>
      </c>
      <c r="JM286" s="1">
        <v>0</v>
      </c>
      <c r="JN286" s="1">
        <v>0</v>
      </c>
      <c r="JO286" s="1">
        <v>0</v>
      </c>
      <c r="JP286" s="1">
        <v>0</v>
      </c>
      <c r="JQ286" s="9"/>
      <c r="JR286" s="1">
        <f t="shared" si="60"/>
        <v>25479.956700000002</v>
      </c>
      <c r="JS286" s="1">
        <f t="shared" si="60"/>
        <v>26297.862300000008</v>
      </c>
      <c r="JT286" s="1">
        <f t="shared" si="60"/>
        <v>22913.056980000001</v>
      </c>
      <c r="JU286" s="1">
        <f t="shared" si="58"/>
        <v>22578.488640000003</v>
      </c>
      <c r="JV286" s="1">
        <f t="shared" si="61"/>
        <v>4718.5105000000003</v>
      </c>
      <c r="JW286" s="1">
        <f t="shared" si="61"/>
        <v>4869.9745000000012</v>
      </c>
      <c r="JX286" s="1">
        <f t="shared" si="61"/>
        <v>4243.1587</v>
      </c>
      <c r="JY286" s="1">
        <f t="shared" si="59"/>
        <v>4181.2016000000003</v>
      </c>
    </row>
    <row r="287" spans="1:285" x14ac:dyDescent="0.35">
      <c r="A287" s="2" t="s">
        <v>294</v>
      </c>
      <c r="B287" s="1">
        <v>320249</v>
      </c>
      <c r="C287" s="1">
        <v>320631</v>
      </c>
      <c r="D287" s="1">
        <v>322674</v>
      </c>
      <c r="E287" s="1">
        <v>325583</v>
      </c>
      <c r="F287" s="1">
        <v>90048.084999999992</v>
      </c>
      <c r="G287" s="1">
        <v>85773.604000000007</v>
      </c>
      <c r="H287" s="1">
        <v>75292.692999999999</v>
      </c>
      <c r="I287" s="1">
        <v>79989.891999999993</v>
      </c>
      <c r="J287" s="1">
        <f t="shared" si="62"/>
        <v>46528.304999999993</v>
      </c>
      <c r="K287" s="1">
        <f t="shared" si="63"/>
        <v>44636.993999999999</v>
      </c>
      <c r="L287" s="1">
        <f t="shared" si="64"/>
        <v>39409.633000000002</v>
      </c>
      <c r="M287" s="1">
        <f t="shared" si="65"/>
        <v>41784.381999999998</v>
      </c>
      <c r="N287" s="1">
        <f t="shared" si="66"/>
        <v>43519.78</v>
      </c>
      <c r="O287" s="1">
        <f t="shared" si="67"/>
        <v>41136.610000000008</v>
      </c>
      <c r="P287" s="1">
        <f t="shared" si="68"/>
        <v>35883.06</v>
      </c>
      <c r="Q287" s="1">
        <f t="shared" si="69"/>
        <v>38205.509999999995</v>
      </c>
      <c r="R287" s="1">
        <v>0</v>
      </c>
      <c r="S287" s="1">
        <v>0</v>
      </c>
      <c r="T287" s="1">
        <v>0</v>
      </c>
      <c r="U287" s="1">
        <v>0</v>
      </c>
      <c r="V287" s="1">
        <v>0</v>
      </c>
      <c r="W287" s="1">
        <v>0</v>
      </c>
      <c r="X287" s="1">
        <v>0</v>
      </c>
      <c r="Y287" s="1">
        <v>0</v>
      </c>
      <c r="Z287" s="1">
        <v>0</v>
      </c>
      <c r="AA287" s="1">
        <v>0</v>
      </c>
      <c r="AB287" s="1">
        <v>0</v>
      </c>
      <c r="AC287" s="1">
        <v>0</v>
      </c>
      <c r="AD287" s="1">
        <v>0</v>
      </c>
      <c r="AE287" s="1">
        <v>0</v>
      </c>
      <c r="AF287" s="1">
        <v>0</v>
      </c>
      <c r="AG287" s="1">
        <v>0</v>
      </c>
      <c r="AH287" s="1">
        <v>0</v>
      </c>
      <c r="AI287" s="1">
        <v>0</v>
      </c>
      <c r="AJ287" s="1">
        <v>0</v>
      </c>
      <c r="AK287" s="1">
        <v>0</v>
      </c>
      <c r="AL287" s="1">
        <v>0</v>
      </c>
      <c r="AM287" s="1">
        <v>0</v>
      </c>
      <c r="AN287" s="1">
        <v>0</v>
      </c>
      <c r="AO287" s="1">
        <v>0</v>
      </c>
      <c r="AP287" s="1">
        <v>12553.09</v>
      </c>
      <c r="AQ287" s="1">
        <v>13380.1</v>
      </c>
      <c r="AR287" s="1">
        <v>11707.5</v>
      </c>
      <c r="AS287" s="1">
        <v>13516.470000000001</v>
      </c>
      <c r="AT287" s="1">
        <v>0</v>
      </c>
      <c r="AU287" s="1">
        <v>12553.09</v>
      </c>
      <c r="AV287" s="1">
        <v>0</v>
      </c>
      <c r="AW287" s="1">
        <v>0</v>
      </c>
      <c r="AX287" s="1">
        <v>0</v>
      </c>
      <c r="AY287" s="1">
        <v>13380.1</v>
      </c>
      <c r="AZ287" s="1">
        <v>0</v>
      </c>
      <c r="BA287" s="1">
        <v>0</v>
      </c>
      <c r="BB287" s="1">
        <v>0</v>
      </c>
      <c r="BC287" s="1">
        <v>11707.5</v>
      </c>
      <c r="BD287" s="1">
        <v>0</v>
      </c>
      <c r="BE287" s="1">
        <v>0</v>
      </c>
      <c r="BF287" s="1">
        <v>13516.470000000001</v>
      </c>
      <c r="BG287" s="1">
        <v>0</v>
      </c>
      <c r="BH287" s="1">
        <v>0</v>
      </c>
      <c r="BI287" s="1">
        <v>0</v>
      </c>
      <c r="BJ287" s="1">
        <v>0</v>
      </c>
      <c r="BK287" s="1">
        <v>0</v>
      </c>
      <c r="BL287" s="1">
        <v>0</v>
      </c>
      <c r="BM287" s="1">
        <v>0</v>
      </c>
      <c r="BN287" s="1">
        <v>0</v>
      </c>
      <c r="BO287" s="1">
        <v>0</v>
      </c>
      <c r="BP287" s="1">
        <v>0</v>
      </c>
      <c r="BQ287" s="1">
        <v>0</v>
      </c>
      <c r="BR287" s="1">
        <v>0</v>
      </c>
      <c r="BS287" s="1">
        <v>0</v>
      </c>
      <c r="BT287" s="1">
        <v>0</v>
      </c>
      <c r="BU287" s="1">
        <v>16806.509999999998</v>
      </c>
      <c r="BV287" s="1">
        <v>14378.17</v>
      </c>
      <c r="BW287" s="1">
        <v>13991.03</v>
      </c>
      <c r="BX287" s="1">
        <v>14470.65</v>
      </c>
      <c r="BY287" s="1">
        <v>16806.509999999998</v>
      </c>
      <c r="BZ287" s="1">
        <v>14378.17</v>
      </c>
      <c r="CA287" s="1">
        <v>13991.03</v>
      </c>
      <c r="CB287" s="1">
        <v>14470.65</v>
      </c>
      <c r="CC287" s="1">
        <v>0</v>
      </c>
      <c r="CD287" s="1">
        <v>0</v>
      </c>
      <c r="CE287" s="1">
        <v>0</v>
      </c>
      <c r="CF287" s="1">
        <v>0</v>
      </c>
      <c r="CG287" s="1">
        <v>0</v>
      </c>
      <c r="CH287" s="1">
        <v>0</v>
      </c>
      <c r="CI287" s="1">
        <v>0</v>
      </c>
      <c r="CJ287" s="1">
        <v>0</v>
      </c>
      <c r="CK287" s="1">
        <v>0</v>
      </c>
      <c r="CL287" s="1">
        <v>0</v>
      </c>
      <c r="CM287" s="1">
        <v>0</v>
      </c>
      <c r="CN287" s="1">
        <v>0</v>
      </c>
      <c r="CO287" s="1">
        <v>0</v>
      </c>
      <c r="CP287" s="1">
        <v>0</v>
      </c>
      <c r="CQ287" s="1">
        <v>0</v>
      </c>
      <c r="CR287" s="1">
        <v>0</v>
      </c>
      <c r="CS287" s="1">
        <v>3205.53</v>
      </c>
      <c r="CT287" s="1">
        <v>3267.46</v>
      </c>
      <c r="CU287" s="1">
        <v>2990.37</v>
      </c>
      <c r="CV287" s="1">
        <v>3504.3</v>
      </c>
      <c r="CW287" s="1">
        <v>3205.53</v>
      </c>
      <c r="CX287" s="1">
        <v>3267.46</v>
      </c>
      <c r="CY287" s="1">
        <v>2990.37</v>
      </c>
      <c r="CZ287" s="1">
        <v>3504.3</v>
      </c>
      <c r="DA287" s="1">
        <v>0</v>
      </c>
      <c r="DB287" s="1">
        <v>0</v>
      </c>
      <c r="DC287" s="1">
        <v>0</v>
      </c>
      <c r="DD287" s="1">
        <v>0</v>
      </c>
      <c r="DE287" s="1">
        <v>0</v>
      </c>
      <c r="DF287" s="1">
        <v>0</v>
      </c>
      <c r="DG287" s="1">
        <v>0</v>
      </c>
      <c r="DH287" s="1">
        <v>0</v>
      </c>
      <c r="DI287" s="1">
        <v>0</v>
      </c>
      <c r="DJ287" s="1">
        <v>0</v>
      </c>
      <c r="DK287" s="1">
        <v>0</v>
      </c>
      <c r="DL287" s="1">
        <v>0</v>
      </c>
      <c r="DM287" s="1">
        <v>10192.15</v>
      </c>
      <c r="DN287" s="1">
        <v>9722.4500000000007</v>
      </c>
      <c r="DO287" s="1">
        <v>8059.43</v>
      </c>
      <c r="DP287" s="1">
        <v>7919.83</v>
      </c>
      <c r="DQ287" s="1">
        <v>10192.15</v>
      </c>
      <c r="DR287" s="1">
        <v>9722.4500000000007</v>
      </c>
      <c r="DS287" s="1">
        <v>8059.43</v>
      </c>
      <c r="DT287" s="1">
        <v>7919.83</v>
      </c>
      <c r="DU287" s="1">
        <v>0</v>
      </c>
      <c r="DV287" s="1">
        <v>0</v>
      </c>
      <c r="DW287" s="1">
        <v>0</v>
      </c>
      <c r="DX287" s="1">
        <v>0</v>
      </c>
      <c r="DY287" s="1">
        <v>0</v>
      </c>
      <c r="DZ287" s="1">
        <v>0</v>
      </c>
      <c r="EA287" s="1">
        <v>0</v>
      </c>
      <c r="EB287" s="1">
        <v>0</v>
      </c>
      <c r="EC287" s="1">
        <v>0</v>
      </c>
      <c r="ED287" s="1">
        <v>0</v>
      </c>
      <c r="EE287" s="1">
        <v>0</v>
      </c>
      <c r="EF287" s="1">
        <v>0</v>
      </c>
      <c r="EG287" s="1">
        <v>0</v>
      </c>
      <c r="EH287" s="1">
        <v>0</v>
      </c>
      <c r="EI287" s="1">
        <v>0</v>
      </c>
      <c r="EJ287" s="1">
        <v>0</v>
      </c>
      <c r="EK287" s="1">
        <v>1422.19</v>
      </c>
      <c r="EL287" s="1">
        <v>1807.36</v>
      </c>
      <c r="EM287" s="1">
        <v>1169.49</v>
      </c>
      <c r="EN287" s="1">
        <v>1298.83</v>
      </c>
      <c r="EO287" s="1">
        <v>1422.19</v>
      </c>
      <c r="EP287" s="1">
        <v>1807.36</v>
      </c>
      <c r="EQ287" s="1">
        <v>1169.49</v>
      </c>
      <c r="ER287" s="1">
        <v>1298.83</v>
      </c>
      <c r="ES287" s="1">
        <v>0</v>
      </c>
      <c r="ET287" s="1">
        <v>0</v>
      </c>
      <c r="EU287" s="1">
        <v>0</v>
      </c>
      <c r="EV287" s="1">
        <v>0</v>
      </c>
      <c r="EW287" s="1">
        <v>0</v>
      </c>
      <c r="EX287" s="1">
        <v>0</v>
      </c>
      <c r="EY287" s="1">
        <v>0</v>
      </c>
      <c r="EZ287" s="1">
        <v>0</v>
      </c>
      <c r="FA287" s="1">
        <v>0</v>
      </c>
      <c r="FB287" s="1">
        <v>0</v>
      </c>
      <c r="FC287" s="1">
        <v>0</v>
      </c>
      <c r="FD287" s="1">
        <v>0</v>
      </c>
      <c r="FE287" s="1">
        <v>62.825000000000003</v>
      </c>
      <c r="FF287" s="1">
        <v>86.114000000000004</v>
      </c>
      <c r="FG287" s="1">
        <v>85.382999999999996</v>
      </c>
      <c r="FH287" s="1">
        <v>69.891999999999996</v>
      </c>
      <c r="FI287" s="1">
        <v>62.825000000000003</v>
      </c>
      <c r="FJ287" s="1">
        <v>86.114000000000004</v>
      </c>
      <c r="FK287" s="1">
        <v>85.382999999999996</v>
      </c>
      <c r="FL287" s="1">
        <v>69.891999999999996</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v>0</v>
      </c>
      <c r="GC287" s="1">
        <v>158.69999999999999</v>
      </c>
      <c r="GD287" s="1">
        <v>142.91999999999999</v>
      </c>
      <c r="GE287" s="1">
        <v>196.99</v>
      </c>
      <c r="GF287" s="1">
        <v>108.34</v>
      </c>
      <c r="GG287" s="1">
        <v>158.69999999999999</v>
      </c>
      <c r="GH287" s="1">
        <v>142.91999999999999</v>
      </c>
      <c r="GI287" s="1">
        <v>196.99</v>
      </c>
      <c r="GJ287" s="1">
        <v>108.34</v>
      </c>
      <c r="GK287" s="1">
        <v>0</v>
      </c>
      <c r="GL287" s="1">
        <v>0</v>
      </c>
      <c r="GM287" s="1">
        <v>0</v>
      </c>
      <c r="GN287" s="1">
        <v>0</v>
      </c>
      <c r="GO287" s="1">
        <v>0</v>
      </c>
      <c r="GP287" s="1">
        <v>0</v>
      </c>
      <c r="GQ287" s="1">
        <v>0</v>
      </c>
      <c r="GR287" s="1">
        <v>0</v>
      </c>
      <c r="GS287" s="1">
        <v>0</v>
      </c>
      <c r="GT287" s="1">
        <v>0</v>
      </c>
      <c r="GU287" s="1">
        <v>0</v>
      </c>
      <c r="GV287" s="1">
        <v>0</v>
      </c>
      <c r="GW287" s="1">
        <v>0</v>
      </c>
      <c r="GX287" s="1">
        <v>0</v>
      </c>
      <c r="GY287" s="1">
        <v>0</v>
      </c>
      <c r="GZ287" s="1">
        <v>0</v>
      </c>
      <c r="HA287" s="1">
        <v>0</v>
      </c>
      <c r="HB287" s="1">
        <v>0</v>
      </c>
      <c r="HC287" s="1">
        <v>0</v>
      </c>
      <c r="HD287" s="1">
        <v>0</v>
      </c>
      <c r="HE287" s="1">
        <v>0</v>
      </c>
      <c r="HF287" s="1">
        <v>0</v>
      </c>
      <c r="HG287" s="1">
        <v>0</v>
      </c>
      <c r="HH287" s="1">
        <v>0</v>
      </c>
      <c r="HI287" s="1">
        <v>0</v>
      </c>
      <c r="HJ287" s="1">
        <v>0</v>
      </c>
      <c r="HK287" s="1">
        <v>0</v>
      </c>
      <c r="HL287" s="1">
        <v>0</v>
      </c>
      <c r="HM287" s="1">
        <v>0</v>
      </c>
      <c r="HN287" s="1">
        <v>0</v>
      </c>
      <c r="HO287" s="1">
        <v>0</v>
      </c>
      <c r="HP287" s="1">
        <v>0</v>
      </c>
      <c r="HQ287" s="1">
        <v>0</v>
      </c>
      <c r="HR287" s="1">
        <v>0</v>
      </c>
      <c r="HS287" s="1">
        <v>0</v>
      </c>
      <c r="HT287" s="1">
        <v>0</v>
      </c>
      <c r="HU287" s="1">
        <v>0</v>
      </c>
      <c r="HV287" s="1">
        <v>0</v>
      </c>
      <c r="HW287" s="1">
        <v>0</v>
      </c>
      <c r="HX287" s="1">
        <v>0</v>
      </c>
      <c r="HY287" s="1">
        <v>0</v>
      </c>
      <c r="HZ287" s="1">
        <v>0</v>
      </c>
      <c r="IA287" s="1">
        <v>0</v>
      </c>
      <c r="IB287" s="1">
        <v>0</v>
      </c>
      <c r="IC287" s="1">
        <v>0</v>
      </c>
      <c r="ID287" s="1">
        <v>0</v>
      </c>
      <c r="IE287" s="1">
        <v>0</v>
      </c>
      <c r="IF287" s="1">
        <v>0</v>
      </c>
      <c r="IG287" s="1">
        <v>0</v>
      </c>
      <c r="IH287" s="1">
        <v>0</v>
      </c>
      <c r="II287" s="1">
        <v>0</v>
      </c>
      <c r="IJ287" s="1">
        <v>0</v>
      </c>
      <c r="IK287" s="1">
        <v>0</v>
      </c>
      <c r="IL287" s="1">
        <v>0</v>
      </c>
      <c r="IM287" s="1">
        <v>0</v>
      </c>
      <c r="IN287" s="1">
        <v>0</v>
      </c>
      <c r="IO287" s="1">
        <v>2127.31</v>
      </c>
      <c r="IP287" s="1">
        <v>1852.42</v>
      </c>
      <c r="IQ287" s="1">
        <v>1209.44</v>
      </c>
      <c r="IR287" s="1">
        <v>896.06999999999994</v>
      </c>
      <c r="IS287" s="1">
        <v>2127.31</v>
      </c>
      <c r="IT287" s="1">
        <v>1852.42</v>
      </c>
      <c r="IU287" s="1">
        <v>1209.44</v>
      </c>
      <c r="IV287" s="1">
        <v>896.06999999999994</v>
      </c>
      <c r="IW287" s="1">
        <v>0</v>
      </c>
      <c r="IX287" s="1">
        <v>0</v>
      </c>
      <c r="IY287" s="1">
        <v>0</v>
      </c>
      <c r="IZ287" s="1">
        <v>0</v>
      </c>
      <c r="JA287" s="1">
        <v>0</v>
      </c>
      <c r="JB287" s="1">
        <v>0</v>
      </c>
      <c r="JC287" s="1">
        <v>0</v>
      </c>
      <c r="JD287" s="1">
        <v>0</v>
      </c>
      <c r="JE287" s="1">
        <v>0</v>
      </c>
      <c r="JF287" s="1">
        <v>0</v>
      </c>
      <c r="JG287" s="1">
        <v>0</v>
      </c>
      <c r="JH287" s="1">
        <v>0</v>
      </c>
      <c r="JI287" s="1">
        <v>0</v>
      </c>
      <c r="JJ287" s="1">
        <v>0</v>
      </c>
      <c r="JK287" s="1">
        <v>0</v>
      </c>
      <c r="JL287" s="1">
        <v>0</v>
      </c>
      <c r="JM287" s="1">
        <v>0</v>
      </c>
      <c r="JN287" s="1">
        <v>0</v>
      </c>
      <c r="JO287" s="1">
        <v>0</v>
      </c>
      <c r="JP287" s="1">
        <v>0</v>
      </c>
      <c r="JQ287" s="9"/>
      <c r="JR287" s="1">
        <f t="shared" si="60"/>
        <v>11750.340600000001</v>
      </c>
      <c r="JS287" s="1">
        <f t="shared" si="60"/>
        <v>11106.884700000002</v>
      </c>
      <c r="JT287" s="1">
        <f t="shared" si="60"/>
        <v>9688.4261999999999</v>
      </c>
      <c r="JU287" s="1">
        <f t="shared" si="58"/>
        <v>10315.4877</v>
      </c>
      <c r="JV287" s="1">
        <f t="shared" si="61"/>
        <v>2175.989</v>
      </c>
      <c r="JW287" s="1">
        <f t="shared" si="61"/>
        <v>2056.8305000000005</v>
      </c>
      <c r="JX287" s="1">
        <f t="shared" si="61"/>
        <v>1794.153</v>
      </c>
      <c r="JY287" s="1">
        <f t="shared" si="59"/>
        <v>1910.2754999999997</v>
      </c>
    </row>
    <row r="288" spans="1:285" x14ac:dyDescent="0.35">
      <c r="A288" s="2" t="s">
        <v>295</v>
      </c>
      <c r="B288" s="1">
        <v>103882</v>
      </c>
      <c r="C288" s="1">
        <v>103900</v>
      </c>
      <c r="D288" s="1">
        <v>104432</v>
      </c>
      <c r="E288" s="1">
        <v>105053</v>
      </c>
      <c r="F288" s="1">
        <v>40377.154999999999</v>
      </c>
      <c r="G288" s="1">
        <v>34948.288999999997</v>
      </c>
      <c r="H288" s="1">
        <v>31690.003000000001</v>
      </c>
      <c r="I288" s="1">
        <v>31812.252</v>
      </c>
      <c r="J288" s="1">
        <f t="shared" si="62"/>
        <v>25560.089</v>
      </c>
      <c r="K288" s="1">
        <f t="shared" si="63"/>
        <v>21826.082999999999</v>
      </c>
      <c r="L288" s="1">
        <f t="shared" si="64"/>
        <v>19399.333000000002</v>
      </c>
      <c r="M288" s="1">
        <f t="shared" si="65"/>
        <v>20055.660999999996</v>
      </c>
      <c r="N288" s="1">
        <f t="shared" si="66"/>
        <v>14817.065999999999</v>
      </c>
      <c r="O288" s="1">
        <f t="shared" si="67"/>
        <v>13122.205999999998</v>
      </c>
      <c r="P288" s="1">
        <f t="shared" si="68"/>
        <v>12290.669999999998</v>
      </c>
      <c r="Q288" s="1">
        <f t="shared" si="69"/>
        <v>11756.591000000004</v>
      </c>
      <c r="R288" s="1">
        <v>3975.4549999999999</v>
      </c>
      <c r="S288" s="1">
        <v>4155.4849999999997</v>
      </c>
      <c r="T288" s="1">
        <v>3748.98</v>
      </c>
      <c r="U288" s="1">
        <v>3647.415</v>
      </c>
      <c r="V288" s="1">
        <v>0</v>
      </c>
      <c r="W288" s="1">
        <v>0</v>
      </c>
      <c r="X288" s="1">
        <v>3975.4549999999999</v>
      </c>
      <c r="Y288" s="1">
        <v>0</v>
      </c>
      <c r="Z288" s="1">
        <v>0</v>
      </c>
      <c r="AA288" s="1">
        <v>4155.4849999999997</v>
      </c>
      <c r="AB288" s="1">
        <v>0</v>
      </c>
      <c r="AC288" s="1">
        <v>0</v>
      </c>
      <c r="AD288" s="1">
        <v>3748.98</v>
      </c>
      <c r="AE288" s="1">
        <v>0</v>
      </c>
      <c r="AF288" s="1">
        <v>0</v>
      </c>
      <c r="AG288" s="1">
        <v>3647.415</v>
      </c>
      <c r="AH288" s="1">
        <v>0</v>
      </c>
      <c r="AI288" s="1">
        <v>0</v>
      </c>
      <c r="AJ288" s="1">
        <v>0</v>
      </c>
      <c r="AK288" s="1">
        <v>0</v>
      </c>
      <c r="AL288" s="1">
        <v>0</v>
      </c>
      <c r="AM288" s="1">
        <v>0</v>
      </c>
      <c r="AN288" s="1">
        <v>0</v>
      </c>
      <c r="AO288" s="1">
        <v>0</v>
      </c>
      <c r="AP288" s="1">
        <v>8085.7969999999996</v>
      </c>
      <c r="AQ288" s="1">
        <v>5919.1090000000013</v>
      </c>
      <c r="AR288" s="1">
        <v>6306.4520000000011</v>
      </c>
      <c r="AS288" s="1">
        <v>7698.3460000000005</v>
      </c>
      <c r="AT288" s="1">
        <v>3840.0480000000002</v>
      </c>
      <c r="AU288" s="1">
        <v>4245.7489999999998</v>
      </c>
      <c r="AV288" s="1">
        <v>0</v>
      </c>
      <c r="AW288" s="1">
        <v>0</v>
      </c>
      <c r="AX288" s="1">
        <v>1128.731</v>
      </c>
      <c r="AY288" s="1">
        <v>4790.3780000000015</v>
      </c>
      <c r="AZ288" s="1">
        <v>0</v>
      </c>
      <c r="BA288" s="1">
        <v>0</v>
      </c>
      <c r="BB288" s="1">
        <v>2109.4749999999999</v>
      </c>
      <c r="BC288" s="1">
        <v>4196.9770000000008</v>
      </c>
      <c r="BD288" s="1">
        <v>0</v>
      </c>
      <c r="BE288" s="1">
        <v>1592.1620000000003</v>
      </c>
      <c r="BF288" s="1">
        <v>6106.1840000000002</v>
      </c>
      <c r="BG288" s="1">
        <v>0</v>
      </c>
      <c r="BH288" s="1">
        <v>0</v>
      </c>
      <c r="BI288" s="1">
        <v>0</v>
      </c>
      <c r="BJ288" s="1">
        <v>0</v>
      </c>
      <c r="BK288" s="1">
        <v>0</v>
      </c>
      <c r="BL288" s="1">
        <v>0</v>
      </c>
      <c r="BM288" s="1">
        <v>0</v>
      </c>
      <c r="BN288" s="1">
        <v>0</v>
      </c>
      <c r="BO288" s="1">
        <v>0</v>
      </c>
      <c r="BP288" s="1">
        <v>0</v>
      </c>
      <c r="BQ288" s="1">
        <v>0</v>
      </c>
      <c r="BR288" s="1">
        <v>0</v>
      </c>
      <c r="BS288" s="1">
        <v>0</v>
      </c>
      <c r="BT288" s="1">
        <v>0</v>
      </c>
      <c r="BU288" s="1">
        <v>5248.8600000000006</v>
      </c>
      <c r="BV288" s="1">
        <v>5885.8629999999994</v>
      </c>
      <c r="BW288" s="1">
        <v>4282.076</v>
      </c>
      <c r="BX288" s="1">
        <v>4726.3950000000004</v>
      </c>
      <c r="BY288" s="1">
        <v>5243.9879999999994</v>
      </c>
      <c r="BZ288" s="1">
        <v>5883.85</v>
      </c>
      <c r="CA288" s="1">
        <v>4281.7879999999996</v>
      </c>
      <c r="CB288" s="1">
        <v>4726.3950000000004</v>
      </c>
      <c r="CC288" s="1">
        <v>4.8719999999999999</v>
      </c>
      <c r="CD288" s="1">
        <v>2.0129999999999999</v>
      </c>
      <c r="CE288" s="1">
        <v>0.28799999999999998</v>
      </c>
      <c r="CF288" s="1">
        <v>0</v>
      </c>
      <c r="CG288" s="1">
        <v>0</v>
      </c>
      <c r="CH288" s="1">
        <v>0</v>
      </c>
      <c r="CI288" s="1">
        <v>0</v>
      </c>
      <c r="CJ288" s="1">
        <v>0</v>
      </c>
      <c r="CK288" s="1">
        <v>0</v>
      </c>
      <c r="CL288" s="1">
        <v>0</v>
      </c>
      <c r="CM288" s="1">
        <v>0</v>
      </c>
      <c r="CN288" s="1">
        <v>0</v>
      </c>
      <c r="CO288" s="1">
        <v>0</v>
      </c>
      <c r="CP288" s="1">
        <v>0</v>
      </c>
      <c r="CQ288" s="1">
        <v>0</v>
      </c>
      <c r="CR288" s="1">
        <v>0</v>
      </c>
      <c r="CS288" s="1">
        <v>3947.6729999999998</v>
      </c>
      <c r="CT288" s="1">
        <v>2175.9380000000001</v>
      </c>
      <c r="CU288" s="1">
        <v>1138.1690000000001</v>
      </c>
      <c r="CV288" s="1">
        <v>1420.2950000000001</v>
      </c>
      <c r="CW288" s="1">
        <v>3944.6880000000001</v>
      </c>
      <c r="CX288" s="1">
        <v>2175.5160000000001</v>
      </c>
      <c r="CY288" s="1">
        <v>1137.8810000000001</v>
      </c>
      <c r="CZ288" s="1">
        <v>1420.2950000000001</v>
      </c>
      <c r="DA288" s="1">
        <v>2.9849999999999999</v>
      </c>
      <c r="DB288" s="1">
        <v>0.42199999999999999</v>
      </c>
      <c r="DC288" s="1">
        <v>0.28799999999999998</v>
      </c>
      <c r="DD288" s="1">
        <v>0</v>
      </c>
      <c r="DE288" s="1">
        <v>0</v>
      </c>
      <c r="DF288" s="1">
        <v>0</v>
      </c>
      <c r="DG288" s="1">
        <v>0</v>
      </c>
      <c r="DH288" s="1">
        <v>0</v>
      </c>
      <c r="DI288" s="1">
        <v>0</v>
      </c>
      <c r="DJ288" s="1">
        <v>0</v>
      </c>
      <c r="DK288" s="1">
        <v>0</v>
      </c>
      <c r="DL288" s="1">
        <v>0</v>
      </c>
      <c r="DM288" s="1">
        <v>2032.3520000000001</v>
      </c>
      <c r="DN288" s="1">
        <v>2155.7600000000002</v>
      </c>
      <c r="DO288" s="1">
        <v>2419.0920000000001</v>
      </c>
      <c r="DP288" s="1">
        <v>1222.0229999999999</v>
      </c>
      <c r="DQ288" s="1">
        <v>1619.5509999999999</v>
      </c>
      <c r="DR288" s="1">
        <v>2155.7600000000002</v>
      </c>
      <c r="DS288" s="1">
        <v>2419.0920000000001</v>
      </c>
      <c r="DT288" s="1">
        <v>1222.0229999999999</v>
      </c>
      <c r="DU288" s="1">
        <v>412.80099999999999</v>
      </c>
      <c r="DV288" s="1">
        <v>0</v>
      </c>
      <c r="DW288" s="1">
        <v>0</v>
      </c>
      <c r="DX288" s="1">
        <v>0</v>
      </c>
      <c r="DY288" s="1">
        <v>0</v>
      </c>
      <c r="DZ288" s="1">
        <v>0</v>
      </c>
      <c r="EA288" s="1">
        <v>0</v>
      </c>
      <c r="EB288" s="1">
        <v>0</v>
      </c>
      <c r="EC288" s="1">
        <v>0</v>
      </c>
      <c r="ED288" s="1">
        <v>0</v>
      </c>
      <c r="EE288" s="1">
        <v>0</v>
      </c>
      <c r="EF288" s="1">
        <v>0</v>
      </c>
      <c r="EG288" s="1">
        <v>0</v>
      </c>
      <c r="EH288" s="1">
        <v>0</v>
      </c>
      <c r="EI288" s="1">
        <v>0</v>
      </c>
      <c r="EJ288" s="1">
        <v>0</v>
      </c>
      <c r="EK288" s="1">
        <v>1242.4390000000001</v>
      </c>
      <c r="EL288" s="1">
        <v>657.46</v>
      </c>
      <c r="EM288" s="1">
        <v>623.37</v>
      </c>
      <c r="EN288" s="1">
        <v>506.54500000000002</v>
      </c>
      <c r="EO288" s="1">
        <v>1242.4390000000001</v>
      </c>
      <c r="EP288" s="1">
        <v>657.46</v>
      </c>
      <c r="EQ288" s="1">
        <v>623.37</v>
      </c>
      <c r="ER288" s="1">
        <v>506.54500000000002</v>
      </c>
      <c r="ES288" s="1">
        <v>0</v>
      </c>
      <c r="ET288" s="1">
        <v>0</v>
      </c>
      <c r="EU288" s="1">
        <v>0</v>
      </c>
      <c r="EV288" s="1">
        <v>0</v>
      </c>
      <c r="EW288" s="1">
        <v>0</v>
      </c>
      <c r="EX288" s="1">
        <v>0</v>
      </c>
      <c r="EY288" s="1">
        <v>0</v>
      </c>
      <c r="EZ288" s="1">
        <v>0</v>
      </c>
      <c r="FA288" s="1">
        <v>0</v>
      </c>
      <c r="FB288" s="1">
        <v>0</v>
      </c>
      <c r="FC288" s="1">
        <v>0</v>
      </c>
      <c r="FD288" s="1">
        <v>0</v>
      </c>
      <c r="FE288" s="1">
        <v>115.717</v>
      </c>
      <c r="FF288" s="1">
        <v>140.06700000000001</v>
      </c>
      <c r="FG288" s="1">
        <v>95.454999999999998</v>
      </c>
      <c r="FH288" s="1">
        <v>63.779000000000003</v>
      </c>
      <c r="FI288" s="1">
        <v>39.313000000000002</v>
      </c>
      <c r="FJ288" s="1">
        <v>103.33499999999999</v>
      </c>
      <c r="FK288" s="1">
        <v>81.695999999999998</v>
      </c>
      <c r="FL288" s="1">
        <v>48.482999999999997</v>
      </c>
      <c r="FM288" s="1">
        <v>76.403999999999996</v>
      </c>
      <c r="FN288" s="1">
        <v>36.731999999999999</v>
      </c>
      <c r="FO288" s="1">
        <v>13.759</v>
      </c>
      <c r="FP288" s="1">
        <v>15.295999999999999</v>
      </c>
      <c r="FQ288" s="1">
        <v>0</v>
      </c>
      <c r="FR288" s="1">
        <v>0</v>
      </c>
      <c r="FS288" s="1">
        <v>0</v>
      </c>
      <c r="FT288" s="1">
        <v>0</v>
      </c>
      <c r="FU288" s="1">
        <v>0</v>
      </c>
      <c r="FV288" s="1">
        <v>0</v>
      </c>
      <c r="FW288" s="1">
        <v>0</v>
      </c>
      <c r="FX288" s="1">
        <v>0</v>
      </c>
      <c r="FY288" s="1">
        <v>0</v>
      </c>
      <c r="FZ288" s="1">
        <v>0</v>
      </c>
      <c r="GA288" s="1">
        <v>0</v>
      </c>
      <c r="GB288" s="1">
        <v>0</v>
      </c>
      <c r="GC288" s="1">
        <v>47.4</v>
      </c>
      <c r="GD288" s="1">
        <v>28.285</v>
      </c>
      <c r="GE288" s="1">
        <v>42.506</v>
      </c>
      <c r="GF288" s="1">
        <v>44.708000000000013</v>
      </c>
      <c r="GG288" s="1">
        <v>47.4</v>
      </c>
      <c r="GH288" s="1">
        <v>27.85</v>
      </c>
      <c r="GI288" s="1">
        <v>42.34</v>
      </c>
      <c r="GJ288" s="1">
        <v>44.708000000000013</v>
      </c>
      <c r="GK288" s="1">
        <v>0</v>
      </c>
      <c r="GL288" s="1">
        <v>0.435</v>
      </c>
      <c r="GM288" s="1">
        <v>0.16600000000000001</v>
      </c>
      <c r="GN288" s="1">
        <v>0</v>
      </c>
      <c r="GO288" s="1">
        <v>0</v>
      </c>
      <c r="GP288" s="1">
        <v>0</v>
      </c>
      <c r="GQ288" s="1">
        <v>0</v>
      </c>
      <c r="GR288" s="1">
        <v>0</v>
      </c>
      <c r="GS288" s="1">
        <v>0</v>
      </c>
      <c r="GT288" s="1">
        <v>0</v>
      </c>
      <c r="GU288" s="1">
        <v>0</v>
      </c>
      <c r="GV288" s="1">
        <v>0</v>
      </c>
      <c r="GW288" s="1">
        <v>0</v>
      </c>
      <c r="GX288" s="1">
        <v>0</v>
      </c>
      <c r="GY288" s="1">
        <v>0</v>
      </c>
      <c r="GZ288" s="1">
        <v>0</v>
      </c>
      <c r="HA288" s="1">
        <v>0</v>
      </c>
      <c r="HB288" s="1">
        <v>0</v>
      </c>
      <c r="HC288" s="1">
        <v>0</v>
      </c>
      <c r="HD288" s="1">
        <v>0</v>
      </c>
      <c r="HE288" s="1">
        <v>0</v>
      </c>
      <c r="HF288" s="1">
        <v>0</v>
      </c>
      <c r="HG288" s="1">
        <v>0</v>
      </c>
      <c r="HH288" s="1">
        <v>0</v>
      </c>
      <c r="HI288" s="1">
        <v>0</v>
      </c>
      <c r="HJ288" s="1">
        <v>0</v>
      </c>
      <c r="HK288" s="1">
        <v>0</v>
      </c>
      <c r="HL288" s="1">
        <v>0</v>
      </c>
      <c r="HM288" s="1">
        <v>0</v>
      </c>
      <c r="HN288" s="1">
        <v>0</v>
      </c>
      <c r="HO288" s="1">
        <v>0</v>
      </c>
      <c r="HP288" s="1">
        <v>0</v>
      </c>
      <c r="HQ288" s="1">
        <v>0</v>
      </c>
      <c r="HR288" s="1">
        <v>0</v>
      </c>
      <c r="HS288" s="1">
        <v>0</v>
      </c>
      <c r="HT288" s="1">
        <v>0</v>
      </c>
      <c r="HU288" s="1">
        <v>0</v>
      </c>
      <c r="HV288" s="1">
        <v>0</v>
      </c>
      <c r="HW288" s="1">
        <v>0</v>
      </c>
      <c r="HX288" s="1">
        <v>0</v>
      </c>
      <c r="HY288" s="1">
        <v>0</v>
      </c>
      <c r="HZ288" s="1">
        <v>0</v>
      </c>
      <c r="IA288" s="1">
        <v>0</v>
      </c>
      <c r="IB288" s="1">
        <v>0</v>
      </c>
      <c r="IC288" s="1">
        <v>0</v>
      </c>
      <c r="ID288" s="1">
        <v>0</v>
      </c>
      <c r="IE288" s="1">
        <v>0</v>
      </c>
      <c r="IF288" s="1">
        <v>0</v>
      </c>
      <c r="IG288" s="1">
        <v>0</v>
      </c>
      <c r="IH288" s="1">
        <v>0</v>
      </c>
      <c r="II288" s="1">
        <v>0</v>
      </c>
      <c r="IJ288" s="1">
        <v>0</v>
      </c>
      <c r="IK288" s="1">
        <v>0</v>
      </c>
      <c r="IL288" s="1">
        <v>0</v>
      </c>
      <c r="IM288" s="1">
        <v>0</v>
      </c>
      <c r="IN288" s="1">
        <v>0</v>
      </c>
      <c r="IO288" s="1">
        <v>864.39599999999996</v>
      </c>
      <c r="IP288" s="1">
        <v>708.11599999999999</v>
      </c>
      <c r="IQ288" s="1">
        <v>743.23299999999995</v>
      </c>
      <c r="IR288" s="1">
        <v>726.15499999999997</v>
      </c>
      <c r="IS288" s="1">
        <v>864.39599999999996</v>
      </c>
      <c r="IT288" s="1">
        <v>708.11599999999999</v>
      </c>
      <c r="IU288" s="1">
        <v>743.15</v>
      </c>
      <c r="IV288" s="1">
        <v>726.15499999999997</v>
      </c>
      <c r="IW288" s="1">
        <v>0</v>
      </c>
      <c r="IX288" s="1">
        <v>0</v>
      </c>
      <c r="IY288" s="1">
        <v>8.3000000000000004E-2</v>
      </c>
      <c r="IZ288" s="1">
        <v>0</v>
      </c>
      <c r="JA288" s="1">
        <v>0</v>
      </c>
      <c r="JB288" s="1">
        <v>0</v>
      </c>
      <c r="JC288" s="1">
        <v>0</v>
      </c>
      <c r="JD288" s="1">
        <v>0</v>
      </c>
      <c r="JE288" s="1">
        <v>0</v>
      </c>
      <c r="JF288" s="1">
        <v>0</v>
      </c>
      <c r="JG288" s="1">
        <v>0</v>
      </c>
      <c r="JH288" s="1">
        <v>0</v>
      </c>
      <c r="JI288" s="1">
        <v>0</v>
      </c>
      <c r="JJ288" s="1">
        <v>0</v>
      </c>
      <c r="JK288" s="1">
        <v>0</v>
      </c>
      <c r="JL288" s="1">
        <v>0</v>
      </c>
      <c r="JM288" s="1">
        <v>0</v>
      </c>
      <c r="JN288" s="1">
        <v>0</v>
      </c>
      <c r="JO288" s="1">
        <v>0</v>
      </c>
      <c r="JP288" s="1">
        <v>0</v>
      </c>
      <c r="JQ288" s="9"/>
      <c r="JR288" s="1">
        <f t="shared" si="60"/>
        <v>4000.6078200000002</v>
      </c>
      <c r="JS288" s="1">
        <f t="shared" si="60"/>
        <v>3542.9956199999997</v>
      </c>
      <c r="JT288" s="1">
        <f t="shared" si="60"/>
        <v>3318.4808999999996</v>
      </c>
      <c r="JU288" s="1">
        <f t="shared" si="58"/>
        <v>3174.2795700000011</v>
      </c>
      <c r="JV288" s="1">
        <f t="shared" si="61"/>
        <v>740.85329999999999</v>
      </c>
      <c r="JW288" s="1">
        <f t="shared" si="61"/>
        <v>656.11029999999994</v>
      </c>
      <c r="JX288" s="1">
        <f t="shared" si="61"/>
        <v>614.5335</v>
      </c>
      <c r="JY288" s="1">
        <f t="shared" si="59"/>
        <v>587.82955000000027</v>
      </c>
    </row>
    <row r="289" spans="1:285" x14ac:dyDescent="0.35">
      <c r="A289" s="2" t="s">
        <v>296</v>
      </c>
      <c r="B289" s="1">
        <v>174708</v>
      </c>
      <c r="C289" s="1">
        <v>178231</v>
      </c>
      <c r="D289" s="1">
        <v>181318</v>
      </c>
      <c r="E289" s="1">
        <v>184561</v>
      </c>
      <c r="F289" s="1">
        <v>130334.61</v>
      </c>
      <c r="G289" s="1">
        <v>134802.22</v>
      </c>
      <c r="H289" s="1">
        <v>121233.14</v>
      </c>
      <c r="I289" s="1">
        <v>121564.37</v>
      </c>
      <c r="J289" s="1">
        <f t="shared" si="62"/>
        <v>44565.170000000006</v>
      </c>
      <c r="K289" s="1">
        <f t="shared" si="63"/>
        <v>56254.839999999989</v>
      </c>
      <c r="L289" s="1">
        <f t="shared" si="64"/>
        <v>50068.82</v>
      </c>
      <c r="M289" s="1">
        <f t="shared" si="65"/>
        <v>50809.55</v>
      </c>
      <c r="N289" s="1">
        <f t="shared" si="66"/>
        <v>85769.44</v>
      </c>
      <c r="O289" s="1">
        <f t="shared" si="67"/>
        <v>78547.38</v>
      </c>
      <c r="P289" s="1">
        <f t="shared" si="68"/>
        <v>71164.320000000007</v>
      </c>
      <c r="Q289" s="1">
        <f t="shared" si="69"/>
        <v>70754.819999999992</v>
      </c>
      <c r="R289" s="1">
        <v>5994.69</v>
      </c>
      <c r="S289" s="1">
        <v>6325.93</v>
      </c>
      <c r="T289" s="1">
        <v>6238.8</v>
      </c>
      <c r="U289" s="1">
        <v>6154.74</v>
      </c>
      <c r="V289" s="1">
        <v>0</v>
      </c>
      <c r="W289" s="1">
        <v>0</v>
      </c>
      <c r="X289" s="1">
        <v>5994.69</v>
      </c>
      <c r="Y289" s="1">
        <v>0</v>
      </c>
      <c r="Z289" s="1">
        <v>0</v>
      </c>
      <c r="AA289" s="1">
        <v>6325.93</v>
      </c>
      <c r="AB289" s="1">
        <v>0</v>
      </c>
      <c r="AC289" s="1">
        <v>0</v>
      </c>
      <c r="AD289" s="1">
        <v>6238.8</v>
      </c>
      <c r="AE289" s="1">
        <v>0</v>
      </c>
      <c r="AF289" s="1">
        <v>0</v>
      </c>
      <c r="AG289" s="1">
        <v>6154.74</v>
      </c>
      <c r="AH289" s="1">
        <v>0</v>
      </c>
      <c r="AI289" s="1">
        <v>0</v>
      </c>
      <c r="AJ289" s="1">
        <v>0</v>
      </c>
      <c r="AK289" s="1">
        <v>0</v>
      </c>
      <c r="AL289" s="1">
        <v>0</v>
      </c>
      <c r="AM289" s="1">
        <v>0</v>
      </c>
      <c r="AN289" s="1">
        <v>0</v>
      </c>
      <c r="AO289" s="1">
        <v>0</v>
      </c>
      <c r="AP289" s="1">
        <v>12051.04</v>
      </c>
      <c r="AQ289" s="1">
        <v>12723.419999999998</v>
      </c>
      <c r="AR289" s="1">
        <v>11407.42</v>
      </c>
      <c r="AS289" s="1">
        <v>13007.23</v>
      </c>
      <c r="AT289" s="1">
        <v>0</v>
      </c>
      <c r="AU289" s="1">
        <v>12051.04</v>
      </c>
      <c r="AV289" s="1">
        <v>0</v>
      </c>
      <c r="AW289" s="1">
        <v>0</v>
      </c>
      <c r="AX289" s="1">
        <v>0</v>
      </c>
      <c r="AY289" s="1">
        <v>12723.419999999998</v>
      </c>
      <c r="AZ289" s="1">
        <v>0</v>
      </c>
      <c r="BA289" s="1">
        <v>0</v>
      </c>
      <c r="BB289" s="1">
        <v>0</v>
      </c>
      <c r="BC289" s="1">
        <v>11407.42</v>
      </c>
      <c r="BD289" s="1">
        <v>0</v>
      </c>
      <c r="BE289" s="1">
        <v>0</v>
      </c>
      <c r="BF289" s="1">
        <v>13007.23</v>
      </c>
      <c r="BG289" s="1">
        <v>0</v>
      </c>
      <c r="BH289" s="1">
        <v>0</v>
      </c>
      <c r="BI289" s="1">
        <v>0</v>
      </c>
      <c r="BJ289" s="1">
        <v>0</v>
      </c>
      <c r="BK289" s="1">
        <v>0</v>
      </c>
      <c r="BL289" s="1">
        <v>0</v>
      </c>
      <c r="BM289" s="1">
        <v>0</v>
      </c>
      <c r="BN289" s="1">
        <v>0</v>
      </c>
      <c r="BO289" s="1">
        <v>0</v>
      </c>
      <c r="BP289" s="1">
        <v>0</v>
      </c>
      <c r="BQ289" s="1">
        <v>0</v>
      </c>
      <c r="BR289" s="1">
        <v>0</v>
      </c>
      <c r="BS289" s="1">
        <v>0</v>
      </c>
      <c r="BT289" s="1">
        <v>0</v>
      </c>
      <c r="BU289" s="1">
        <v>7339.22</v>
      </c>
      <c r="BV289" s="1">
        <v>13882.24</v>
      </c>
      <c r="BW289" s="1">
        <v>13012.8</v>
      </c>
      <c r="BX289" s="1">
        <v>11628.38</v>
      </c>
      <c r="BY289" s="1">
        <v>7167.59</v>
      </c>
      <c r="BZ289" s="1">
        <v>13500.08</v>
      </c>
      <c r="CA289" s="1">
        <v>12703.54</v>
      </c>
      <c r="CB289" s="1">
        <v>11358.44</v>
      </c>
      <c r="CC289" s="1">
        <v>171.63</v>
      </c>
      <c r="CD289" s="1">
        <v>382.16</v>
      </c>
      <c r="CE289" s="1">
        <v>309.26</v>
      </c>
      <c r="CF289" s="1">
        <v>269.94</v>
      </c>
      <c r="CG289" s="1">
        <v>0</v>
      </c>
      <c r="CH289" s="1">
        <v>0</v>
      </c>
      <c r="CI289" s="1">
        <v>0</v>
      </c>
      <c r="CJ289" s="1">
        <v>0</v>
      </c>
      <c r="CK289" s="1">
        <v>0</v>
      </c>
      <c r="CL289" s="1">
        <v>0</v>
      </c>
      <c r="CM289" s="1">
        <v>0</v>
      </c>
      <c r="CN289" s="1">
        <v>0</v>
      </c>
      <c r="CO289" s="1">
        <v>0</v>
      </c>
      <c r="CP289" s="1">
        <v>0</v>
      </c>
      <c r="CQ289" s="1">
        <v>0</v>
      </c>
      <c r="CR289" s="1">
        <v>0</v>
      </c>
      <c r="CS289" s="1">
        <v>2975.76</v>
      </c>
      <c r="CT289" s="1">
        <v>5306.11</v>
      </c>
      <c r="CU289" s="1">
        <v>4375.82</v>
      </c>
      <c r="CV289" s="1">
        <v>4965.45</v>
      </c>
      <c r="CW289" s="1">
        <v>2804.13</v>
      </c>
      <c r="CX289" s="1">
        <v>4923.95</v>
      </c>
      <c r="CY289" s="1">
        <v>4065.76</v>
      </c>
      <c r="CZ289" s="1">
        <v>4695.51</v>
      </c>
      <c r="DA289" s="1">
        <v>171.63</v>
      </c>
      <c r="DB289" s="1">
        <v>382.16</v>
      </c>
      <c r="DC289" s="1">
        <v>310.06</v>
      </c>
      <c r="DD289" s="1">
        <v>269.94</v>
      </c>
      <c r="DE289" s="1">
        <v>0</v>
      </c>
      <c r="DF289" s="1">
        <v>0</v>
      </c>
      <c r="DG289" s="1">
        <v>0</v>
      </c>
      <c r="DH289" s="1">
        <v>0</v>
      </c>
      <c r="DI289" s="1">
        <v>0</v>
      </c>
      <c r="DJ289" s="1">
        <v>0</v>
      </c>
      <c r="DK289" s="1">
        <v>0</v>
      </c>
      <c r="DL289" s="1">
        <v>0</v>
      </c>
      <c r="DM289" s="1">
        <v>4599.62</v>
      </c>
      <c r="DN289" s="1">
        <v>4235.74</v>
      </c>
      <c r="DO289" s="1">
        <v>3710.41</v>
      </c>
      <c r="DP289" s="1">
        <v>3405.4</v>
      </c>
      <c r="DQ289" s="1">
        <v>4599.62</v>
      </c>
      <c r="DR289" s="1">
        <v>4235.74</v>
      </c>
      <c r="DS289" s="1">
        <v>3710.41</v>
      </c>
      <c r="DT289" s="1">
        <v>3405.4</v>
      </c>
      <c r="DU289" s="1">
        <v>0</v>
      </c>
      <c r="DV289" s="1">
        <v>0</v>
      </c>
      <c r="DW289" s="1">
        <v>0</v>
      </c>
      <c r="DX289" s="1">
        <v>0</v>
      </c>
      <c r="DY289" s="1">
        <v>0</v>
      </c>
      <c r="DZ289" s="1">
        <v>0</v>
      </c>
      <c r="EA289" s="1">
        <v>0</v>
      </c>
      <c r="EB289" s="1">
        <v>0</v>
      </c>
      <c r="EC289" s="1">
        <v>0</v>
      </c>
      <c r="ED289" s="1">
        <v>0</v>
      </c>
      <c r="EE289" s="1">
        <v>0</v>
      </c>
      <c r="EF289" s="1">
        <v>0</v>
      </c>
      <c r="EG289" s="1">
        <v>0</v>
      </c>
      <c r="EH289" s="1">
        <v>0</v>
      </c>
      <c r="EI289" s="1">
        <v>0</v>
      </c>
      <c r="EJ289" s="1">
        <v>0</v>
      </c>
      <c r="EK289" s="1">
        <v>2305.11</v>
      </c>
      <c r="EL289" s="1">
        <v>2831.24</v>
      </c>
      <c r="EM289" s="1">
        <v>2127.25</v>
      </c>
      <c r="EN289" s="1">
        <v>2208.3200000000002</v>
      </c>
      <c r="EO289" s="1">
        <v>2125.7600000000002</v>
      </c>
      <c r="EP289" s="1">
        <v>2436.84</v>
      </c>
      <c r="EQ289" s="1">
        <v>1801.1</v>
      </c>
      <c r="ER289" s="1">
        <v>2112.42</v>
      </c>
      <c r="ES289" s="1">
        <v>179.35</v>
      </c>
      <c r="ET289" s="1">
        <v>394.4</v>
      </c>
      <c r="EU289" s="1">
        <v>326.14999999999998</v>
      </c>
      <c r="EV289" s="1">
        <v>95.899999999999991</v>
      </c>
      <c r="EW289" s="1">
        <v>0</v>
      </c>
      <c r="EX289" s="1">
        <v>0</v>
      </c>
      <c r="EY289" s="1">
        <v>0</v>
      </c>
      <c r="EZ289" s="1">
        <v>0</v>
      </c>
      <c r="FA289" s="1">
        <v>0</v>
      </c>
      <c r="FB289" s="1">
        <v>0</v>
      </c>
      <c r="FC289" s="1">
        <v>0</v>
      </c>
      <c r="FD289" s="1">
        <v>0</v>
      </c>
      <c r="FE289" s="1">
        <v>541.46</v>
      </c>
      <c r="FF289" s="1">
        <v>824.77</v>
      </c>
      <c r="FG289" s="1">
        <v>628.73</v>
      </c>
      <c r="FH289" s="1">
        <v>639.79999999999995</v>
      </c>
      <c r="FI289" s="1">
        <v>482.63</v>
      </c>
      <c r="FJ289" s="1">
        <v>442.61</v>
      </c>
      <c r="FK289" s="1">
        <v>319.47000000000003</v>
      </c>
      <c r="FL289" s="1">
        <v>369.86</v>
      </c>
      <c r="FM289" s="1">
        <v>58.83</v>
      </c>
      <c r="FN289" s="1">
        <v>382.16</v>
      </c>
      <c r="FO289" s="1">
        <v>309.26</v>
      </c>
      <c r="FP289" s="1">
        <v>269.94</v>
      </c>
      <c r="FQ289" s="1">
        <v>0</v>
      </c>
      <c r="FR289" s="1">
        <v>0</v>
      </c>
      <c r="FS289" s="1">
        <v>0</v>
      </c>
      <c r="FT289" s="1">
        <v>0</v>
      </c>
      <c r="FU289" s="1">
        <v>0</v>
      </c>
      <c r="FV289" s="1">
        <v>0</v>
      </c>
      <c r="FW289" s="1">
        <v>0</v>
      </c>
      <c r="FX289" s="1">
        <v>0</v>
      </c>
      <c r="FY289" s="1">
        <v>0</v>
      </c>
      <c r="FZ289" s="1">
        <v>0</v>
      </c>
      <c r="GA289" s="1">
        <v>0</v>
      </c>
      <c r="GB289" s="1">
        <v>0</v>
      </c>
      <c r="GC289" s="1">
        <v>1405.8</v>
      </c>
      <c r="GD289" s="1">
        <v>2299.23</v>
      </c>
      <c r="GE289" s="1">
        <v>1565.77</v>
      </c>
      <c r="GF289" s="1">
        <v>1445.29</v>
      </c>
      <c r="GG289" s="1">
        <v>1234.17</v>
      </c>
      <c r="GH289" s="1">
        <v>1913.11</v>
      </c>
      <c r="GI289" s="1">
        <v>1254.9100000000001</v>
      </c>
      <c r="GJ289" s="1">
        <v>1175.3499999999999</v>
      </c>
      <c r="GK289" s="1">
        <v>171.63</v>
      </c>
      <c r="GL289" s="1">
        <v>386.12</v>
      </c>
      <c r="GM289" s="1">
        <v>310.86</v>
      </c>
      <c r="GN289" s="1">
        <v>269.94</v>
      </c>
      <c r="GO289" s="1">
        <v>0</v>
      </c>
      <c r="GP289" s="1">
        <v>0</v>
      </c>
      <c r="GQ289" s="1">
        <v>0</v>
      </c>
      <c r="GR289" s="1">
        <v>0</v>
      </c>
      <c r="GS289" s="1">
        <v>0</v>
      </c>
      <c r="GT289" s="1">
        <v>0</v>
      </c>
      <c r="GU289" s="1">
        <v>0</v>
      </c>
      <c r="GV289" s="1">
        <v>0</v>
      </c>
      <c r="GW289" s="1">
        <v>0</v>
      </c>
      <c r="GX289" s="1">
        <v>0</v>
      </c>
      <c r="GY289" s="1">
        <v>0</v>
      </c>
      <c r="GZ289" s="1">
        <v>0</v>
      </c>
      <c r="HA289" s="1">
        <v>0</v>
      </c>
      <c r="HB289" s="1">
        <v>0</v>
      </c>
      <c r="HC289" s="1">
        <v>0</v>
      </c>
      <c r="HD289" s="1">
        <v>0</v>
      </c>
      <c r="HE289" s="1">
        <v>5561.09</v>
      </c>
      <c r="HF289" s="1">
        <v>6454.4499999999989</v>
      </c>
      <c r="HG289" s="1">
        <v>5968.2900000000009</v>
      </c>
      <c r="HH289" s="1">
        <v>5921.66</v>
      </c>
      <c r="HI289" s="1">
        <v>5422.0599999999986</v>
      </c>
      <c r="HJ289" s="1">
        <v>6220.2599999999993</v>
      </c>
      <c r="HK289" s="1">
        <v>5759.0300000000007</v>
      </c>
      <c r="HL289" s="1">
        <v>5709.89</v>
      </c>
      <c r="HM289" s="1">
        <v>0</v>
      </c>
      <c r="HN289" s="1">
        <v>0</v>
      </c>
      <c r="HO289" s="1">
        <v>0</v>
      </c>
      <c r="HP289" s="1">
        <v>0</v>
      </c>
      <c r="HQ289" s="1">
        <v>0</v>
      </c>
      <c r="HR289" s="1">
        <v>0</v>
      </c>
      <c r="HS289" s="1">
        <v>0</v>
      </c>
      <c r="HT289" s="1">
        <v>0</v>
      </c>
      <c r="HU289" s="1">
        <v>0</v>
      </c>
      <c r="HV289" s="1">
        <v>0</v>
      </c>
      <c r="HW289" s="1">
        <v>0</v>
      </c>
      <c r="HX289" s="1">
        <v>0</v>
      </c>
      <c r="HY289" s="1">
        <v>0</v>
      </c>
      <c r="HZ289" s="1">
        <v>0</v>
      </c>
      <c r="IA289" s="1">
        <v>0</v>
      </c>
      <c r="IB289" s="1">
        <v>0</v>
      </c>
      <c r="IC289" s="1">
        <v>139.03</v>
      </c>
      <c r="ID289" s="1">
        <v>234.19</v>
      </c>
      <c r="IE289" s="1">
        <v>209.26</v>
      </c>
      <c r="IF289" s="1">
        <v>211.77</v>
      </c>
      <c r="IG289" s="1">
        <v>0</v>
      </c>
      <c r="IH289" s="1">
        <v>0</v>
      </c>
      <c r="II289" s="1">
        <v>0</v>
      </c>
      <c r="IJ289" s="1">
        <v>0</v>
      </c>
      <c r="IK289" s="1">
        <v>0</v>
      </c>
      <c r="IL289" s="1">
        <v>0</v>
      </c>
      <c r="IM289" s="1">
        <v>0</v>
      </c>
      <c r="IN289" s="1">
        <v>0</v>
      </c>
      <c r="IO289" s="1">
        <v>1791.38</v>
      </c>
      <c r="IP289" s="1">
        <v>1371.71</v>
      </c>
      <c r="IQ289" s="1">
        <v>1033.53</v>
      </c>
      <c r="IR289" s="1">
        <v>1433.28</v>
      </c>
      <c r="IS289" s="1">
        <v>1609.54</v>
      </c>
      <c r="IT289" s="1">
        <v>976.64</v>
      </c>
      <c r="IU289" s="1">
        <v>705.81999999999994</v>
      </c>
      <c r="IV289" s="1">
        <v>1141.77</v>
      </c>
      <c r="IW289" s="1">
        <v>181.84</v>
      </c>
      <c r="IX289" s="1">
        <v>395.07000000000011</v>
      </c>
      <c r="IY289" s="1">
        <v>327.71</v>
      </c>
      <c r="IZ289" s="1">
        <v>291.51</v>
      </c>
      <c r="JA289" s="1">
        <v>0</v>
      </c>
      <c r="JB289" s="1">
        <v>0</v>
      </c>
      <c r="JC289" s="1">
        <v>0</v>
      </c>
      <c r="JD289" s="1">
        <v>0</v>
      </c>
      <c r="JE289" s="1">
        <v>0</v>
      </c>
      <c r="JF289" s="1">
        <v>0</v>
      </c>
      <c r="JG289" s="1">
        <v>0</v>
      </c>
      <c r="JH289" s="1">
        <v>0</v>
      </c>
      <c r="JI289" s="1">
        <v>0</v>
      </c>
      <c r="JJ289" s="1">
        <v>0</v>
      </c>
      <c r="JK289" s="1">
        <v>0</v>
      </c>
      <c r="JL289" s="1">
        <v>0</v>
      </c>
      <c r="JM289" s="1">
        <v>0</v>
      </c>
      <c r="JN289" s="1">
        <v>0</v>
      </c>
      <c r="JO289" s="1">
        <v>0</v>
      </c>
      <c r="JP289" s="1">
        <v>0</v>
      </c>
      <c r="JQ289" s="9"/>
      <c r="JR289" s="1">
        <f t="shared" si="60"/>
        <v>23157.748800000001</v>
      </c>
      <c r="JS289" s="1">
        <f t="shared" si="60"/>
        <v>21207.792600000004</v>
      </c>
      <c r="JT289" s="1">
        <f t="shared" si="60"/>
        <v>19214.366400000003</v>
      </c>
      <c r="JU289" s="1">
        <f t="shared" si="58"/>
        <v>19103.8014</v>
      </c>
      <c r="JV289" s="1">
        <f t="shared" si="61"/>
        <v>4288.4720000000007</v>
      </c>
      <c r="JW289" s="1">
        <f t="shared" si="61"/>
        <v>3927.3690000000006</v>
      </c>
      <c r="JX289" s="1">
        <f t="shared" si="61"/>
        <v>3558.2160000000003</v>
      </c>
      <c r="JY289" s="1">
        <f t="shared" si="59"/>
        <v>3537.741</v>
      </c>
    </row>
    <row r="290" spans="1:285" x14ac:dyDescent="0.35">
      <c r="A290" s="2" t="s">
        <v>297</v>
      </c>
      <c r="B290" s="1">
        <v>263123</v>
      </c>
      <c r="C290" s="1">
        <v>264260</v>
      </c>
      <c r="D290" s="1">
        <v>269036</v>
      </c>
      <c r="E290" s="1">
        <v>275601</v>
      </c>
      <c r="F290" s="1">
        <v>229130.79</v>
      </c>
      <c r="G290" s="1">
        <v>237705.04</v>
      </c>
      <c r="H290" s="1">
        <v>220364.049</v>
      </c>
      <c r="I290" s="1">
        <v>213538.02600000001</v>
      </c>
      <c r="J290" s="1">
        <f t="shared" si="62"/>
        <v>44473.731999999996</v>
      </c>
      <c r="K290" s="1">
        <f t="shared" si="63"/>
        <v>47741.333999999995</v>
      </c>
      <c r="L290" s="1">
        <f t="shared" si="64"/>
        <v>43161.053999999996</v>
      </c>
      <c r="M290" s="1">
        <f t="shared" si="65"/>
        <v>40627.641000000003</v>
      </c>
      <c r="N290" s="1">
        <f t="shared" si="66"/>
        <v>184657.05800000002</v>
      </c>
      <c r="O290" s="1">
        <f t="shared" si="67"/>
        <v>189963.70600000001</v>
      </c>
      <c r="P290" s="1">
        <f t="shared" si="68"/>
        <v>177202.995</v>
      </c>
      <c r="Q290" s="1">
        <f t="shared" si="69"/>
        <v>172910.38500000001</v>
      </c>
      <c r="R290" s="1">
        <v>37.200000000000003</v>
      </c>
      <c r="S290" s="1">
        <v>55.9</v>
      </c>
      <c r="T290" s="1">
        <v>71.2</v>
      </c>
      <c r="U290" s="1">
        <v>84.699999999999989</v>
      </c>
      <c r="V290" s="1">
        <v>0</v>
      </c>
      <c r="W290" s="1">
        <v>0</v>
      </c>
      <c r="X290" s="1">
        <v>37.200000000000003</v>
      </c>
      <c r="Y290" s="1">
        <v>0</v>
      </c>
      <c r="Z290" s="1">
        <v>0</v>
      </c>
      <c r="AA290" s="1">
        <v>55.9</v>
      </c>
      <c r="AB290" s="1">
        <v>0</v>
      </c>
      <c r="AC290" s="1">
        <v>0</v>
      </c>
      <c r="AD290" s="1">
        <v>71.2</v>
      </c>
      <c r="AE290" s="1">
        <v>0</v>
      </c>
      <c r="AF290" s="1">
        <v>0</v>
      </c>
      <c r="AG290" s="1">
        <v>84.699999999999989</v>
      </c>
      <c r="AH290" s="1">
        <v>0</v>
      </c>
      <c r="AI290" s="1">
        <v>0</v>
      </c>
      <c r="AJ290" s="1">
        <v>0</v>
      </c>
      <c r="AK290" s="1">
        <v>0</v>
      </c>
      <c r="AL290" s="1">
        <v>0</v>
      </c>
      <c r="AM290" s="1">
        <v>0</v>
      </c>
      <c r="AN290" s="1">
        <v>0</v>
      </c>
      <c r="AO290" s="1">
        <v>0</v>
      </c>
      <c r="AP290" s="1">
        <v>14396.029999999999</v>
      </c>
      <c r="AQ290" s="1">
        <v>14046.7</v>
      </c>
      <c r="AR290" s="1">
        <v>12514.939999999999</v>
      </c>
      <c r="AS290" s="1">
        <v>13917.59</v>
      </c>
      <c r="AT290" s="1">
        <v>0</v>
      </c>
      <c r="AU290" s="1">
        <v>14396.029999999999</v>
      </c>
      <c r="AV290" s="1">
        <v>0</v>
      </c>
      <c r="AW290" s="1">
        <v>0</v>
      </c>
      <c r="AX290" s="1">
        <v>0</v>
      </c>
      <c r="AY290" s="1">
        <v>14046.7</v>
      </c>
      <c r="AZ290" s="1">
        <v>0</v>
      </c>
      <c r="BA290" s="1">
        <v>0</v>
      </c>
      <c r="BB290" s="1">
        <v>0</v>
      </c>
      <c r="BC290" s="1">
        <v>12514.939999999999</v>
      </c>
      <c r="BD290" s="1">
        <v>0</v>
      </c>
      <c r="BE290" s="1">
        <v>0</v>
      </c>
      <c r="BF290" s="1">
        <v>13917.59</v>
      </c>
      <c r="BG290" s="1">
        <v>0</v>
      </c>
      <c r="BH290" s="1">
        <v>0</v>
      </c>
      <c r="BI290" s="1">
        <v>0</v>
      </c>
      <c r="BJ290" s="1">
        <v>0</v>
      </c>
      <c r="BK290" s="1">
        <v>0</v>
      </c>
      <c r="BL290" s="1">
        <v>0</v>
      </c>
      <c r="BM290" s="1">
        <v>0</v>
      </c>
      <c r="BN290" s="1">
        <v>0</v>
      </c>
      <c r="BO290" s="1">
        <v>0</v>
      </c>
      <c r="BP290" s="1">
        <v>0</v>
      </c>
      <c r="BQ290" s="1">
        <v>0</v>
      </c>
      <c r="BR290" s="1">
        <v>0</v>
      </c>
      <c r="BS290" s="1">
        <v>0</v>
      </c>
      <c r="BT290" s="1">
        <v>0</v>
      </c>
      <c r="BU290" s="1">
        <v>9722</v>
      </c>
      <c r="BV290" s="1">
        <v>10366.06</v>
      </c>
      <c r="BW290" s="1">
        <v>9662.9399999999987</v>
      </c>
      <c r="BX290" s="1">
        <v>7986.99</v>
      </c>
      <c r="BY290" s="1">
        <v>9722</v>
      </c>
      <c r="BZ290" s="1">
        <v>10366.06</v>
      </c>
      <c r="CA290" s="1">
        <v>9662.9399999999987</v>
      </c>
      <c r="CB290" s="1">
        <v>7986.99</v>
      </c>
      <c r="CC290" s="1">
        <v>0</v>
      </c>
      <c r="CD290" s="1">
        <v>0</v>
      </c>
      <c r="CE290" s="1">
        <v>0</v>
      </c>
      <c r="CF290" s="1">
        <v>0</v>
      </c>
      <c r="CG290" s="1">
        <v>0</v>
      </c>
      <c r="CH290" s="1">
        <v>0</v>
      </c>
      <c r="CI290" s="1">
        <v>0</v>
      </c>
      <c r="CJ290" s="1">
        <v>0</v>
      </c>
      <c r="CK290" s="1">
        <v>0</v>
      </c>
      <c r="CL290" s="1">
        <v>0</v>
      </c>
      <c r="CM290" s="1">
        <v>0</v>
      </c>
      <c r="CN290" s="1">
        <v>0</v>
      </c>
      <c r="CO290" s="1">
        <v>0</v>
      </c>
      <c r="CP290" s="1">
        <v>0</v>
      </c>
      <c r="CQ290" s="1">
        <v>0</v>
      </c>
      <c r="CR290" s="1">
        <v>0</v>
      </c>
      <c r="CS290" s="1">
        <v>6260.91</v>
      </c>
      <c r="CT290" s="1">
        <v>5767.5730000000003</v>
      </c>
      <c r="CU290" s="1">
        <v>4995.1899999999996</v>
      </c>
      <c r="CV290" s="1">
        <v>6233.7509999999993</v>
      </c>
      <c r="CW290" s="1">
        <v>6260.91</v>
      </c>
      <c r="CX290" s="1">
        <v>5767.5730000000003</v>
      </c>
      <c r="CY290" s="1">
        <v>4995.1899999999996</v>
      </c>
      <c r="CZ290" s="1">
        <v>6233.7509999999993</v>
      </c>
      <c r="DA290" s="1">
        <v>0</v>
      </c>
      <c r="DB290" s="1">
        <v>0</v>
      </c>
      <c r="DC290" s="1">
        <v>0</v>
      </c>
      <c r="DD290" s="1">
        <v>0</v>
      </c>
      <c r="DE290" s="1">
        <v>0</v>
      </c>
      <c r="DF290" s="1">
        <v>0</v>
      </c>
      <c r="DG290" s="1">
        <v>0</v>
      </c>
      <c r="DH290" s="1">
        <v>0</v>
      </c>
      <c r="DI290" s="1">
        <v>0</v>
      </c>
      <c r="DJ290" s="1">
        <v>0</v>
      </c>
      <c r="DK290" s="1">
        <v>0</v>
      </c>
      <c r="DL290" s="1">
        <v>0</v>
      </c>
      <c r="DM290" s="1">
        <v>5069.7199999999993</v>
      </c>
      <c r="DN290" s="1">
        <v>4443.63</v>
      </c>
      <c r="DO290" s="1">
        <v>4019.73</v>
      </c>
      <c r="DP290" s="1">
        <v>3153.31</v>
      </c>
      <c r="DQ290" s="1">
        <v>5069.7199999999993</v>
      </c>
      <c r="DR290" s="1">
        <v>4443.63</v>
      </c>
      <c r="DS290" s="1">
        <v>4019.73</v>
      </c>
      <c r="DT290" s="1">
        <v>3153.31</v>
      </c>
      <c r="DU290" s="1">
        <v>0</v>
      </c>
      <c r="DV290" s="1">
        <v>0</v>
      </c>
      <c r="DW290" s="1">
        <v>0</v>
      </c>
      <c r="DX290" s="1">
        <v>0</v>
      </c>
      <c r="DY290" s="1">
        <v>0</v>
      </c>
      <c r="DZ290" s="1">
        <v>0</v>
      </c>
      <c r="EA290" s="1">
        <v>0</v>
      </c>
      <c r="EB290" s="1">
        <v>0</v>
      </c>
      <c r="EC290" s="1">
        <v>0</v>
      </c>
      <c r="ED290" s="1">
        <v>0</v>
      </c>
      <c r="EE290" s="1">
        <v>0</v>
      </c>
      <c r="EF290" s="1">
        <v>0</v>
      </c>
      <c r="EG290" s="1">
        <v>0</v>
      </c>
      <c r="EH290" s="1">
        <v>0</v>
      </c>
      <c r="EI290" s="1">
        <v>0</v>
      </c>
      <c r="EJ290" s="1">
        <v>0</v>
      </c>
      <c r="EK290" s="1">
        <v>3258.19</v>
      </c>
      <c r="EL290" s="1">
        <v>4757.82</v>
      </c>
      <c r="EM290" s="1">
        <v>4099.8899999999994</v>
      </c>
      <c r="EN290" s="1">
        <v>3214.6190000000001</v>
      </c>
      <c r="EO290" s="1">
        <v>3258.19</v>
      </c>
      <c r="EP290" s="1">
        <v>4757.82</v>
      </c>
      <c r="EQ290" s="1">
        <v>4099.8899999999994</v>
      </c>
      <c r="ER290" s="1">
        <v>3214.6190000000001</v>
      </c>
      <c r="ES290" s="1">
        <v>0</v>
      </c>
      <c r="ET290" s="1">
        <v>0</v>
      </c>
      <c r="EU290" s="1">
        <v>0</v>
      </c>
      <c r="EV290" s="1">
        <v>0</v>
      </c>
      <c r="EW290" s="1">
        <v>0</v>
      </c>
      <c r="EX290" s="1">
        <v>0</v>
      </c>
      <c r="EY290" s="1">
        <v>0</v>
      </c>
      <c r="EZ290" s="1">
        <v>0</v>
      </c>
      <c r="FA290" s="1">
        <v>0</v>
      </c>
      <c r="FB290" s="1">
        <v>0</v>
      </c>
      <c r="FC290" s="1">
        <v>0</v>
      </c>
      <c r="FD290" s="1">
        <v>0</v>
      </c>
      <c r="FE290" s="1">
        <v>98.84</v>
      </c>
      <c r="FF290" s="1">
        <v>191.7</v>
      </c>
      <c r="FG290" s="1">
        <v>158</v>
      </c>
      <c r="FH290" s="1">
        <v>165.44</v>
      </c>
      <c r="FI290" s="1">
        <v>0</v>
      </c>
      <c r="FJ290" s="1">
        <v>0</v>
      </c>
      <c r="FK290" s="1">
        <v>0</v>
      </c>
      <c r="FL290" s="1">
        <v>0</v>
      </c>
      <c r="FM290" s="1">
        <v>98.84</v>
      </c>
      <c r="FN290" s="1">
        <v>191.7</v>
      </c>
      <c r="FO290" s="1">
        <v>158</v>
      </c>
      <c r="FP290" s="1">
        <v>165.44</v>
      </c>
      <c r="FQ290" s="1">
        <v>0</v>
      </c>
      <c r="FR290" s="1">
        <v>0</v>
      </c>
      <c r="FS290" s="1">
        <v>0</v>
      </c>
      <c r="FT290" s="1">
        <v>0</v>
      </c>
      <c r="FU290" s="1">
        <v>0</v>
      </c>
      <c r="FV290" s="1">
        <v>0</v>
      </c>
      <c r="FW290" s="1">
        <v>0</v>
      </c>
      <c r="FX290" s="1">
        <v>0</v>
      </c>
      <c r="FY290" s="1">
        <v>0</v>
      </c>
      <c r="FZ290" s="1">
        <v>0</v>
      </c>
      <c r="GA290" s="1">
        <v>0</v>
      </c>
      <c r="GB290" s="1">
        <v>0</v>
      </c>
      <c r="GC290" s="1">
        <v>588.34199999999998</v>
      </c>
      <c r="GD290" s="1">
        <v>654.38699999999994</v>
      </c>
      <c r="GE290" s="1">
        <v>536.71399999999994</v>
      </c>
      <c r="GF290" s="1">
        <v>525.82000000000005</v>
      </c>
      <c r="GG290" s="1">
        <v>588.34199999999998</v>
      </c>
      <c r="GH290" s="1">
        <v>654.38699999999994</v>
      </c>
      <c r="GI290" s="1">
        <v>536.71399999999994</v>
      </c>
      <c r="GJ290" s="1">
        <v>525.82000000000005</v>
      </c>
      <c r="GK290" s="1">
        <v>0</v>
      </c>
      <c r="GL290" s="1">
        <v>0</v>
      </c>
      <c r="GM290" s="1">
        <v>0</v>
      </c>
      <c r="GN290" s="1">
        <v>0</v>
      </c>
      <c r="GO290" s="1">
        <v>0</v>
      </c>
      <c r="GP290" s="1">
        <v>0</v>
      </c>
      <c r="GQ290" s="1">
        <v>0</v>
      </c>
      <c r="GR290" s="1">
        <v>0</v>
      </c>
      <c r="GS290" s="1">
        <v>0</v>
      </c>
      <c r="GT290" s="1">
        <v>0</v>
      </c>
      <c r="GU290" s="1">
        <v>0</v>
      </c>
      <c r="GV290" s="1">
        <v>0</v>
      </c>
      <c r="GW290" s="1">
        <v>0</v>
      </c>
      <c r="GX290" s="1">
        <v>0</v>
      </c>
      <c r="GY290" s="1">
        <v>0</v>
      </c>
      <c r="GZ290" s="1">
        <v>0</v>
      </c>
      <c r="HA290" s="1">
        <v>0</v>
      </c>
      <c r="HB290" s="1">
        <v>0</v>
      </c>
      <c r="HC290" s="1">
        <v>0</v>
      </c>
      <c r="HD290" s="1">
        <v>0</v>
      </c>
      <c r="HE290" s="1">
        <v>4356.3899999999994</v>
      </c>
      <c r="HF290" s="1">
        <v>6276.9239999999991</v>
      </c>
      <c r="HG290" s="1">
        <v>5766.5599999999986</v>
      </c>
      <c r="HH290" s="1">
        <v>3883.16</v>
      </c>
      <c r="HI290" s="1">
        <v>2625.9</v>
      </c>
      <c r="HJ290" s="1">
        <v>4122.3580000000002</v>
      </c>
      <c r="HK290" s="1">
        <v>5766.5599999999986</v>
      </c>
      <c r="HL290" s="1">
        <v>3883.16</v>
      </c>
      <c r="HM290" s="1">
        <v>0</v>
      </c>
      <c r="HN290" s="1">
        <v>0</v>
      </c>
      <c r="HO290" s="1">
        <v>0</v>
      </c>
      <c r="HP290" s="1">
        <v>0</v>
      </c>
      <c r="HQ290" s="1">
        <v>0</v>
      </c>
      <c r="HR290" s="1">
        <v>0</v>
      </c>
      <c r="HS290" s="1">
        <v>0</v>
      </c>
      <c r="HT290" s="1">
        <v>0</v>
      </c>
      <c r="HU290" s="1">
        <v>0</v>
      </c>
      <c r="HV290" s="1">
        <v>0</v>
      </c>
      <c r="HW290" s="1">
        <v>0</v>
      </c>
      <c r="HX290" s="1">
        <v>0</v>
      </c>
      <c r="HY290" s="1">
        <v>0</v>
      </c>
      <c r="HZ290" s="1">
        <v>0</v>
      </c>
      <c r="IA290" s="1">
        <v>0</v>
      </c>
      <c r="IB290" s="1">
        <v>0</v>
      </c>
      <c r="IC290" s="1">
        <v>1730.49</v>
      </c>
      <c r="ID290" s="1">
        <v>2154.5659999999998</v>
      </c>
      <c r="IE290" s="1">
        <v>0</v>
      </c>
      <c r="IF290" s="1">
        <v>0</v>
      </c>
      <c r="IG290" s="1">
        <v>0</v>
      </c>
      <c r="IH290" s="1">
        <v>0</v>
      </c>
      <c r="II290" s="1">
        <v>0</v>
      </c>
      <c r="IJ290" s="1">
        <v>0</v>
      </c>
      <c r="IK290" s="1">
        <v>0</v>
      </c>
      <c r="IL290" s="1">
        <v>0</v>
      </c>
      <c r="IM290" s="1">
        <v>0</v>
      </c>
      <c r="IN290" s="1">
        <v>0</v>
      </c>
      <c r="IO290" s="1">
        <v>686.11</v>
      </c>
      <c r="IP290" s="1">
        <v>1180.6400000000001</v>
      </c>
      <c r="IQ290" s="1">
        <v>1335.89</v>
      </c>
      <c r="IR290" s="1">
        <v>1462.261</v>
      </c>
      <c r="IS290" s="1">
        <v>686.11</v>
      </c>
      <c r="IT290" s="1">
        <v>1180.6400000000001</v>
      </c>
      <c r="IU290" s="1">
        <v>1335.89</v>
      </c>
      <c r="IV290" s="1">
        <v>1277.6010000000001</v>
      </c>
      <c r="IW290" s="1">
        <v>0</v>
      </c>
      <c r="IX290" s="1">
        <v>0</v>
      </c>
      <c r="IY290" s="1">
        <v>0</v>
      </c>
      <c r="IZ290" s="1">
        <v>0</v>
      </c>
      <c r="JA290" s="1">
        <v>0</v>
      </c>
      <c r="JB290" s="1">
        <v>0</v>
      </c>
      <c r="JC290" s="1">
        <v>0</v>
      </c>
      <c r="JD290" s="1">
        <v>0</v>
      </c>
      <c r="JE290" s="1">
        <v>0</v>
      </c>
      <c r="JF290" s="1">
        <v>0</v>
      </c>
      <c r="JG290" s="1">
        <v>0</v>
      </c>
      <c r="JH290" s="1">
        <v>0</v>
      </c>
      <c r="JI290" s="1">
        <v>0</v>
      </c>
      <c r="JJ290" s="1">
        <v>0</v>
      </c>
      <c r="JK290" s="1">
        <v>0</v>
      </c>
      <c r="JL290" s="1">
        <v>0</v>
      </c>
      <c r="JM290" s="1">
        <v>0</v>
      </c>
      <c r="JN290" s="1">
        <v>0</v>
      </c>
      <c r="JO290" s="1">
        <v>0</v>
      </c>
      <c r="JP290" s="1">
        <v>0</v>
      </c>
      <c r="JQ290" s="9"/>
      <c r="JR290" s="1">
        <f t="shared" si="60"/>
        <v>49857.405660000011</v>
      </c>
      <c r="JS290" s="1">
        <f t="shared" si="60"/>
        <v>51290.200620000003</v>
      </c>
      <c r="JT290" s="1">
        <f t="shared" si="60"/>
        <v>47844.808649999999</v>
      </c>
      <c r="JU290" s="1">
        <f t="shared" si="58"/>
        <v>46685.803950000009</v>
      </c>
      <c r="JV290" s="1">
        <f t="shared" si="61"/>
        <v>9232.8529000000017</v>
      </c>
      <c r="JW290" s="1">
        <f t="shared" si="61"/>
        <v>9498.185300000001</v>
      </c>
      <c r="JX290" s="1">
        <f t="shared" si="61"/>
        <v>8860.1497500000005</v>
      </c>
      <c r="JY290" s="1">
        <f t="shared" si="59"/>
        <v>8645.5192500000012</v>
      </c>
    </row>
    <row r="291" spans="1:285" x14ac:dyDescent="0.35">
      <c r="A291" s="2" t="s">
        <v>298</v>
      </c>
      <c r="B291" s="1">
        <v>104399</v>
      </c>
      <c r="C291" s="1">
        <v>103628</v>
      </c>
      <c r="D291" s="1">
        <v>104178</v>
      </c>
      <c r="E291" s="1">
        <v>105403</v>
      </c>
      <c r="F291" s="1">
        <v>35745.17</v>
      </c>
      <c r="G291" s="1">
        <v>33387.248</v>
      </c>
      <c r="H291" s="1">
        <v>28155.992999999999</v>
      </c>
      <c r="I291" s="1">
        <v>30190.38</v>
      </c>
      <c r="J291" s="1">
        <f t="shared" si="62"/>
        <v>21505.076000000005</v>
      </c>
      <c r="K291" s="1">
        <f t="shared" si="63"/>
        <v>19524.245000000003</v>
      </c>
      <c r="L291" s="1">
        <f t="shared" si="64"/>
        <v>14577.123</v>
      </c>
      <c r="M291" s="1">
        <f t="shared" si="65"/>
        <v>17017.670000000002</v>
      </c>
      <c r="N291" s="1">
        <f t="shared" si="66"/>
        <v>14240.093999999994</v>
      </c>
      <c r="O291" s="1">
        <f t="shared" si="67"/>
        <v>13863.002999999997</v>
      </c>
      <c r="P291" s="1">
        <f t="shared" si="68"/>
        <v>13578.869999999999</v>
      </c>
      <c r="Q291" s="1">
        <f t="shared" si="69"/>
        <v>13172.71</v>
      </c>
      <c r="R291" s="1">
        <v>0</v>
      </c>
      <c r="S291" s="1">
        <v>0</v>
      </c>
      <c r="T291" s="1">
        <v>0</v>
      </c>
      <c r="U291" s="1">
        <v>0</v>
      </c>
      <c r="V291" s="1">
        <v>0</v>
      </c>
      <c r="W291" s="1">
        <v>0</v>
      </c>
      <c r="X291" s="1">
        <v>0</v>
      </c>
      <c r="Y291" s="1">
        <v>0</v>
      </c>
      <c r="Z291" s="1">
        <v>0</v>
      </c>
      <c r="AA291" s="1">
        <v>0</v>
      </c>
      <c r="AB291" s="1">
        <v>0</v>
      </c>
      <c r="AC291" s="1">
        <v>0</v>
      </c>
      <c r="AD291" s="1">
        <v>0</v>
      </c>
      <c r="AE291" s="1">
        <v>0</v>
      </c>
      <c r="AF291" s="1">
        <v>0</v>
      </c>
      <c r="AG291" s="1">
        <v>0</v>
      </c>
      <c r="AH291" s="1">
        <v>0</v>
      </c>
      <c r="AI291" s="1">
        <v>0</v>
      </c>
      <c r="AJ291" s="1">
        <v>0</v>
      </c>
      <c r="AK291" s="1">
        <v>0</v>
      </c>
      <c r="AL291" s="1">
        <v>0</v>
      </c>
      <c r="AM291" s="1">
        <v>0</v>
      </c>
      <c r="AN291" s="1">
        <v>0</v>
      </c>
      <c r="AO291" s="1">
        <v>0</v>
      </c>
      <c r="AP291" s="1">
        <v>2227.38</v>
      </c>
      <c r="AQ291" s="1">
        <v>2487.2599999999998</v>
      </c>
      <c r="AR291" s="1">
        <v>2288.2799999999997</v>
      </c>
      <c r="AS291" s="1">
        <v>2633.6680000000001</v>
      </c>
      <c r="AT291" s="1">
        <v>0</v>
      </c>
      <c r="AU291" s="1">
        <v>2227.38</v>
      </c>
      <c r="AV291" s="1">
        <v>0</v>
      </c>
      <c r="AW291" s="1">
        <v>0</v>
      </c>
      <c r="AX291" s="1">
        <v>0</v>
      </c>
      <c r="AY291" s="1">
        <v>2487.2599999999998</v>
      </c>
      <c r="AZ291" s="1">
        <v>0</v>
      </c>
      <c r="BA291" s="1">
        <v>0</v>
      </c>
      <c r="BB291" s="1">
        <v>0</v>
      </c>
      <c r="BC291" s="1">
        <v>2288.2799999999997</v>
      </c>
      <c r="BD291" s="1">
        <v>0</v>
      </c>
      <c r="BE291" s="1">
        <v>0</v>
      </c>
      <c r="BF291" s="1">
        <v>2633.6680000000001</v>
      </c>
      <c r="BG291" s="1">
        <v>0</v>
      </c>
      <c r="BH291" s="1">
        <v>0</v>
      </c>
      <c r="BI291" s="1">
        <v>0</v>
      </c>
      <c r="BJ291" s="1">
        <v>0</v>
      </c>
      <c r="BK291" s="1">
        <v>0</v>
      </c>
      <c r="BL291" s="1">
        <v>0</v>
      </c>
      <c r="BM291" s="1">
        <v>0</v>
      </c>
      <c r="BN291" s="1">
        <v>0</v>
      </c>
      <c r="BO291" s="1">
        <v>0</v>
      </c>
      <c r="BP291" s="1">
        <v>0</v>
      </c>
      <c r="BQ291" s="1">
        <v>0</v>
      </c>
      <c r="BR291" s="1">
        <v>0</v>
      </c>
      <c r="BS291" s="1">
        <v>0</v>
      </c>
      <c r="BT291" s="1">
        <v>0</v>
      </c>
      <c r="BU291" s="1">
        <v>9067.4049999999988</v>
      </c>
      <c r="BV291" s="1">
        <v>8198.1190000000006</v>
      </c>
      <c r="BW291" s="1">
        <v>5956.7439999999997</v>
      </c>
      <c r="BX291" s="1">
        <v>7420.2469999999994</v>
      </c>
      <c r="BY291" s="1">
        <v>9067.4049999999988</v>
      </c>
      <c r="BZ291" s="1">
        <v>8198.1190000000006</v>
      </c>
      <c r="CA291" s="1">
        <v>5956.7439999999997</v>
      </c>
      <c r="CB291" s="1">
        <v>7420.2469999999994</v>
      </c>
      <c r="CC291" s="1">
        <v>0</v>
      </c>
      <c r="CD291" s="1">
        <v>0</v>
      </c>
      <c r="CE291" s="1">
        <v>0</v>
      </c>
      <c r="CF291" s="1">
        <v>0</v>
      </c>
      <c r="CG291" s="1">
        <v>0</v>
      </c>
      <c r="CH291" s="1">
        <v>0</v>
      </c>
      <c r="CI291" s="1">
        <v>0</v>
      </c>
      <c r="CJ291" s="1">
        <v>0</v>
      </c>
      <c r="CK291" s="1">
        <v>0</v>
      </c>
      <c r="CL291" s="1">
        <v>0</v>
      </c>
      <c r="CM291" s="1">
        <v>0</v>
      </c>
      <c r="CN291" s="1">
        <v>0</v>
      </c>
      <c r="CO291" s="1">
        <v>0</v>
      </c>
      <c r="CP291" s="1">
        <v>0</v>
      </c>
      <c r="CQ291" s="1">
        <v>0</v>
      </c>
      <c r="CR291" s="1">
        <v>0</v>
      </c>
      <c r="CS291" s="1">
        <v>3527.66</v>
      </c>
      <c r="CT291" s="1">
        <v>3385.15</v>
      </c>
      <c r="CU291" s="1">
        <v>1635.9</v>
      </c>
      <c r="CV291" s="1">
        <v>2777.73</v>
      </c>
      <c r="CW291" s="1">
        <v>3527.66</v>
      </c>
      <c r="CX291" s="1">
        <v>3385.15</v>
      </c>
      <c r="CY291" s="1">
        <v>1635.9</v>
      </c>
      <c r="CZ291" s="1">
        <v>2777.73</v>
      </c>
      <c r="DA291" s="1">
        <v>0</v>
      </c>
      <c r="DB291" s="1">
        <v>0</v>
      </c>
      <c r="DC291" s="1">
        <v>0</v>
      </c>
      <c r="DD291" s="1">
        <v>0</v>
      </c>
      <c r="DE291" s="1">
        <v>0</v>
      </c>
      <c r="DF291" s="1">
        <v>0</v>
      </c>
      <c r="DG291" s="1">
        <v>0</v>
      </c>
      <c r="DH291" s="1">
        <v>0</v>
      </c>
      <c r="DI291" s="1">
        <v>0</v>
      </c>
      <c r="DJ291" s="1">
        <v>0</v>
      </c>
      <c r="DK291" s="1">
        <v>0</v>
      </c>
      <c r="DL291" s="1">
        <v>0</v>
      </c>
      <c r="DM291" s="1">
        <v>3701.1689999999999</v>
      </c>
      <c r="DN291" s="1">
        <v>3966.79</v>
      </c>
      <c r="DO291" s="1">
        <v>3423.02</v>
      </c>
      <c r="DP291" s="1">
        <v>3307.05</v>
      </c>
      <c r="DQ291" s="1">
        <v>3701.1689999999999</v>
      </c>
      <c r="DR291" s="1">
        <v>3966.79</v>
      </c>
      <c r="DS291" s="1">
        <v>3423.02</v>
      </c>
      <c r="DT291" s="1">
        <v>3307.05</v>
      </c>
      <c r="DU291" s="1">
        <v>0</v>
      </c>
      <c r="DV291" s="1">
        <v>0</v>
      </c>
      <c r="DW291" s="1">
        <v>0</v>
      </c>
      <c r="DX291" s="1">
        <v>0</v>
      </c>
      <c r="DY291" s="1">
        <v>0</v>
      </c>
      <c r="DZ291" s="1">
        <v>0</v>
      </c>
      <c r="EA291" s="1">
        <v>0</v>
      </c>
      <c r="EB291" s="1">
        <v>0</v>
      </c>
      <c r="EC291" s="1">
        <v>0</v>
      </c>
      <c r="ED291" s="1">
        <v>0</v>
      </c>
      <c r="EE291" s="1">
        <v>0</v>
      </c>
      <c r="EF291" s="1">
        <v>0</v>
      </c>
      <c r="EG291" s="1">
        <v>0</v>
      </c>
      <c r="EH291" s="1">
        <v>0</v>
      </c>
      <c r="EI291" s="1">
        <v>0</v>
      </c>
      <c r="EJ291" s="1">
        <v>0</v>
      </c>
      <c r="EK291" s="1">
        <v>2754.29</v>
      </c>
      <c r="EL291" s="1">
        <v>1063.6300000000001</v>
      </c>
      <c r="EM291" s="1">
        <v>921.78</v>
      </c>
      <c r="EN291" s="1">
        <v>481.8</v>
      </c>
      <c r="EO291" s="1">
        <v>2754.14</v>
      </c>
      <c r="EP291" s="1">
        <v>1063.5</v>
      </c>
      <c r="EQ291" s="1">
        <v>920.91000000000008</v>
      </c>
      <c r="ER291" s="1">
        <v>480.27</v>
      </c>
      <c r="ES291" s="1">
        <v>0.15</v>
      </c>
      <c r="ET291" s="1">
        <v>0.13</v>
      </c>
      <c r="EU291" s="1">
        <v>0.87000000000000011</v>
      </c>
      <c r="EV291" s="1">
        <v>1.53</v>
      </c>
      <c r="EW291" s="1">
        <v>0</v>
      </c>
      <c r="EX291" s="1">
        <v>0</v>
      </c>
      <c r="EY291" s="1">
        <v>0</v>
      </c>
      <c r="EZ291" s="1">
        <v>0</v>
      </c>
      <c r="FA291" s="1">
        <v>0</v>
      </c>
      <c r="FB291" s="1">
        <v>0</v>
      </c>
      <c r="FC291" s="1">
        <v>0</v>
      </c>
      <c r="FD291" s="1">
        <v>0</v>
      </c>
      <c r="FE291" s="1">
        <v>47.325000000000003</v>
      </c>
      <c r="FF291" s="1">
        <v>134.67599999999999</v>
      </c>
      <c r="FG291" s="1">
        <v>123.435</v>
      </c>
      <c r="FH291" s="1">
        <v>167.506</v>
      </c>
      <c r="FI291" s="1">
        <v>47.325000000000003</v>
      </c>
      <c r="FJ291" s="1">
        <v>134.67599999999999</v>
      </c>
      <c r="FK291" s="1">
        <v>123.435</v>
      </c>
      <c r="FL291" s="1">
        <v>167.506</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v>0</v>
      </c>
      <c r="GC291" s="1">
        <v>17.257000000000001</v>
      </c>
      <c r="GD291" s="1">
        <v>23.9</v>
      </c>
      <c r="GE291" s="1">
        <v>22.524000000000001</v>
      </c>
      <c r="GF291" s="1">
        <v>21.268999999999998</v>
      </c>
      <c r="GG291" s="1">
        <v>17.257000000000001</v>
      </c>
      <c r="GH291" s="1">
        <v>23.9</v>
      </c>
      <c r="GI291" s="1">
        <v>22.524000000000001</v>
      </c>
      <c r="GJ291" s="1">
        <v>21.268999999999998</v>
      </c>
      <c r="GK291" s="1">
        <v>0</v>
      </c>
      <c r="GL291" s="1">
        <v>0</v>
      </c>
      <c r="GM291" s="1">
        <v>0</v>
      </c>
      <c r="GN291" s="1">
        <v>0</v>
      </c>
      <c r="GO291" s="1">
        <v>0</v>
      </c>
      <c r="GP291" s="1">
        <v>0</v>
      </c>
      <c r="GQ291" s="1">
        <v>0</v>
      </c>
      <c r="GR291" s="1">
        <v>0</v>
      </c>
      <c r="GS291" s="1">
        <v>0</v>
      </c>
      <c r="GT291" s="1">
        <v>0</v>
      </c>
      <c r="GU291" s="1">
        <v>0</v>
      </c>
      <c r="GV291" s="1">
        <v>0</v>
      </c>
      <c r="GW291" s="1">
        <v>0</v>
      </c>
      <c r="GX291" s="1">
        <v>0</v>
      </c>
      <c r="GY291" s="1">
        <v>0</v>
      </c>
      <c r="GZ291" s="1">
        <v>0</v>
      </c>
      <c r="HA291" s="1">
        <v>0</v>
      </c>
      <c r="HB291" s="1">
        <v>0</v>
      </c>
      <c r="HC291" s="1">
        <v>0</v>
      </c>
      <c r="HD291" s="1">
        <v>0</v>
      </c>
      <c r="HE291" s="1">
        <v>0</v>
      </c>
      <c r="HF291" s="1">
        <v>0</v>
      </c>
      <c r="HG291" s="1">
        <v>0</v>
      </c>
      <c r="HH291" s="1">
        <v>10.74</v>
      </c>
      <c r="HI291" s="1">
        <v>0</v>
      </c>
      <c r="HJ291" s="1">
        <v>0</v>
      </c>
      <c r="HK291" s="1">
        <v>0</v>
      </c>
      <c r="HL291" s="1">
        <v>10.74</v>
      </c>
      <c r="HM291" s="1">
        <v>0</v>
      </c>
      <c r="HN291" s="1">
        <v>0</v>
      </c>
      <c r="HO291" s="1">
        <v>0</v>
      </c>
      <c r="HP291" s="1">
        <v>0</v>
      </c>
      <c r="HQ291" s="1">
        <v>0</v>
      </c>
      <c r="HR291" s="1">
        <v>0</v>
      </c>
      <c r="HS291" s="1">
        <v>0</v>
      </c>
      <c r="HT291" s="1">
        <v>0</v>
      </c>
      <c r="HU291" s="1">
        <v>0</v>
      </c>
      <c r="HV291" s="1">
        <v>0</v>
      </c>
      <c r="HW291" s="1">
        <v>0</v>
      </c>
      <c r="HX291" s="1">
        <v>0</v>
      </c>
      <c r="HY291" s="1">
        <v>0</v>
      </c>
      <c r="HZ291" s="1">
        <v>0</v>
      </c>
      <c r="IA291" s="1">
        <v>0</v>
      </c>
      <c r="IB291" s="1">
        <v>0</v>
      </c>
      <c r="IC291" s="1">
        <v>0</v>
      </c>
      <c r="ID291" s="1">
        <v>0</v>
      </c>
      <c r="IE291" s="1">
        <v>0</v>
      </c>
      <c r="IF291" s="1">
        <v>0</v>
      </c>
      <c r="IG291" s="1">
        <v>0</v>
      </c>
      <c r="IH291" s="1">
        <v>0</v>
      </c>
      <c r="II291" s="1">
        <v>0</v>
      </c>
      <c r="IJ291" s="1">
        <v>0</v>
      </c>
      <c r="IK291" s="1">
        <v>0</v>
      </c>
      <c r="IL291" s="1">
        <v>0</v>
      </c>
      <c r="IM291" s="1">
        <v>0</v>
      </c>
      <c r="IN291" s="1">
        <v>0</v>
      </c>
      <c r="IO291" s="1">
        <v>162.59</v>
      </c>
      <c r="IP291" s="1">
        <v>264.72000000000003</v>
      </c>
      <c r="IQ291" s="1">
        <v>205.44</v>
      </c>
      <c r="IR291" s="1">
        <v>197.66</v>
      </c>
      <c r="IS291" s="1">
        <v>162.59</v>
      </c>
      <c r="IT291" s="1">
        <v>264.72000000000003</v>
      </c>
      <c r="IU291" s="1">
        <v>205.44</v>
      </c>
      <c r="IV291" s="1">
        <v>197.66</v>
      </c>
      <c r="IW291" s="1">
        <v>0</v>
      </c>
      <c r="IX291" s="1">
        <v>0</v>
      </c>
      <c r="IY291" s="1">
        <v>0</v>
      </c>
      <c r="IZ291" s="1">
        <v>0</v>
      </c>
      <c r="JA291" s="1">
        <v>0</v>
      </c>
      <c r="JB291" s="1">
        <v>0</v>
      </c>
      <c r="JC291" s="1">
        <v>0</v>
      </c>
      <c r="JD291" s="1">
        <v>0</v>
      </c>
      <c r="JE291" s="1">
        <v>0</v>
      </c>
      <c r="JF291" s="1">
        <v>0</v>
      </c>
      <c r="JG291" s="1">
        <v>0</v>
      </c>
      <c r="JH291" s="1">
        <v>0</v>
      </c>
      <c r="JI291" s="1">
        <v>0</v>
      </c>
      <c r="JJ291" s="1">
        <v>0</v>
      </c>
      <c r="JK291" s="1">
        <v>0</v>
      </c>
      <c r="JL291" s="1">
        <v>0</v>
      </c>
      <c r="JM291" s="1">
        <v>0</v>
      </c>
      <c r="JN291" s="1">
        <v>0</v>
      </c>
      <c r="JO291" s="1">
        <v>0</v>
      </c>
      <c r="JP291" s="1">
        <v>0</v>
      </c>
      <c r="JQ291" s="9"/>
      <c r="JR291" s="1">
        <f t="shared" si="60"/>
        <v>3844.8253799999984</v>
      </c>
      <c r="JS291" s="1">
        <f t="shared" si="60"/>
        <v>3743.0108099999993</v>
      </c>
      <c r="JT291" s="1">
        <f t="shared" si="60"/>
        <v>3666.2948999999999</v>
      </c>
      <c r="JU291" s="1">
        <f t="shared" si="58"/>
        <v>3556.6316999999999</v>
      </c>
      <c r="JV291" s="1">
        <f t="shared" si="61"/>
        <v>712.00469999999973</v>
      </c>
      <c r="JW291" s="1">
        <f t="shared" si="61"/>
        <v>693.15014999999994</v>
      </c>
      <c r="JX291" s="1">
        <f t="shared" si="61"/>
        <v>678.94349999999997</v>
      </c>
      <c r="JY291" s="1">
        <f t="shared" si="59"/>
        <v>658.63549999999998</v>
      </c>
    </row>
    <row r="292" spans="1:285" x14ac:dyDescent="0.35">
      <c r="A292" s="2" t="s">
        <v>299</v>
      </c>
      <c r="B292" s="1">
        <v>111064</v>
      </c>
      <c r="C292" s="1">
        <v>111654</v>
      </c>
      <c r="D292" s="1">
        <v>112071</v>
      </c>
      <c r="E292" s="1">
        <v>112897</v>
      </c>
      <c r="F292" s="1">
        <v>47280.290999999997</v>
      </c>
      <c r="G292" s="1">
        <v>44422.099000000002</v>
      </c>
      <c r="H292" s="1">
        <v>39217.953000000001</v>
      </c>
      <c r="I292" s="1">
        <v>42571.707000000002</v>
      </c>
      <c r="J292" s="1">
        <f t="shared" si="62"/>
        <v>34928.210999999996</v>
      </c>
      <c r="K292" s="1">
        <f t="shared" si="63"/>
        <v>30899.388999999996</v>
      </c>
      <c r="L292" s="1">
        <f t="shared" si="64"/>
        <v>26290.152999999998</v>
      </c>
      <c r="M292" s="1">
        <f t="shared" si="65"/>
        <v>28296.786999999997</v>
      </c>
      <c r="N292" s="1">
        <f t="shared" si="66"/>
        <v>12352.080000000002</v>
      </c>
      <c r="O292" s="1">
        <f t="shared" si="67"/>
        <v>13522.710000000006</v>
      </c>
      <c r="P292" s="1">
        <f t="shared" si="68"/>
        <v>12927.800000000003</v>
      </c>
      <c r="Q292" s="1">
        <f t="shared" si="69"/>
        <v>14274.920000000006</v>
      </c>
      <c r="R292" s="1">
        <v>0</v>
      </c>
      <c r="S292" s="1">
        <v>0</v>
      </c>
      <c r="T292" s="1">
        <v>0</v>
      </c>
      <c r="U292" s="1">
        <v>39.249999999999993</v>
      </c>
      <c r="V292" s="1">
        <v>0</v>
      </c>
      <c r="W292" s="1">
        <v>0</v>
      </c>
      <c r="X292" s="1">
        <v>0</v>
      </c>
      <c r="Y292" s="1">
        <v>0</v>
      </c>
      <c r="Z292" s="1">
        <v>0</v>
      </c>
      <c r="AA292" s="1">
        <v>0</v>
      </c>
      <c r="AB292" s="1">
        <v>0</v>
      </c>
      <c r="AC292" s="1">
        <v>0</v>
      </c>
      <c r="AD292" s="1">
        <v>0</v>
      </c>
      <c r="AE292" s="1">
        <v>0</v>
      </c>
      <c r="AF292" s="1">
        <v>0</v>
      </c>
      <c r="AG292" s="1">
        <v>36.75</v>
      </c>
      <c r="AH292" s="1">
        <v>0</v>
      </c>
      <c r="AI292" s="1">
        <v>0</v>
      </c>
      <c r="AJ292" s="1">
        <v>0</v>
      </c>
      <c r="AK292" s="1">
        <v>0</v>
      </c>
      <c r="AL292" s="1">
        <v>0</v>
      </c>
      <c r="AM292" s="1">
        <v>0</v>
      </c>
      <c r="AN292" s="1">
        <v>0</v>
      </c>
      <c r="AO292" s="1">
        <v>2.4999999999999929</v>
      </c>
      <c r="AP292" s="1">
        <v>6362.23</v>
      </c>
      <c r="AQ292" s="1">
        <v>7151.92</v>
      </c>
      <c r="AR292" s="1">
        <v>5877.3799999999992</v>
      </c>
      <c r="AS292" s="1">
        <v>6972.48</v>
      </c>
      <c r="AT292" s="1">
        <v>0</v>
      </c>
      <c r="AU292" s="1">
        <v>6362.23</v>
      </c>
      <c r="AV292" s="1">
        <v>0</v>
      </c>
      <c r="AW292" s="1">
        <v>0</v>
      </c>
      <c r="AX292" s="1">
        <v>0</v>
      </c>
      <c r="AY292" s="1">
        <v>7151.92</v>
      </c>
      <c r="AZ292" s="1">
        <v>0</v>
      </c>
      <c r="BA292" s="1">
        <v>0</v>
      </c>
      <c r="BB292" s="1">
        <v>0</v>
      </c>
      <c r="BC292" s="1">
        <v>5877.3799999999992</v>
      </c>
      <c r="BD292" s="1">
        <v>0</v>
      </c>
      <c r="BE292" s="1">
        <v>0</v>
      </c>
      <c r="BF292" s="1">
        <v>6972.48</v>
      </c>
      <c r="BG292" s="1">
        <v>0</v>
      </c>
      <c r="BH292" s="1">
        <v>0</v>
      </c>
      <c r="BI292" s="1">
        <v>0</v>
      </c>
      <c r="BJ292" s="1">
        <v>0</v>
      </c>
      <c r="BK292" s="1">
        <v>0</v>
      </c>
      <c r="BL292" s="1">
        <v>0</v>
      </c>
      <c r="BM292" s="1">
        <v>0</v>
      </c>
      <c r="BN292" s="1">
        <v>0</v>
      </c>
      <c r="BO292" s="1">
        <v>0</v>
      </c>
      <c r="BP292" s="1">
        <v>0</v>
      </c>
      <c r="BQ292" s="1">
        <v>0</v>
      </c>
      <c r="BR292" s="1">
        <v>0</v>
      </c>
      <c r="BS292" s="1">
        <v>0</v>
      </c>
      <c r="BT292" s="1">
        <v>0</v>
      </c>
      <c r="BU292" s="1">
        <v>15149.44</v>
      </c>
      <c r="BV292" s="1">
        <v>12062.32</v>
      </c>
      <c r="BW292" s="1">
        <v>15144.32</v>
      </c>
      <c r="BX292" s="1">
        <v>15255.38</v>
      </c>
      <c r="BY292" s="1">
        <v>15149.44</v>
      </c>
      <c r="BZ292" s="1">
        <v>12062.32</v>
      </c>
      <c r="CA292" s="1">
        <v>15144.32</v>
      </c>
      <c r="CB292" s="1">
        <v>15255.38</v>
      </c>
      <c r="CC292" s="1">
        <v>0</v>
      </c>
      <c r="CD292" s="1">
        <v>0</v>
      </c>
      <c r="CE292" s="1">
        <v>0</v>
      </c>
      <c r="CF292" s="1">
        <v>0</v>
      </c>
      <c r="CG292" s="1">
        <v>0</v>
      </c>
      <c r="CH292" s="1">
        <v>0</v>
      </c>
      <c r="CI292" s="1">
        <v>0</v>
      </c>
      <c r="CJ292" s="1">
        <v>0</v>
      </c>
      <c r="CK292" s="1">
        <v>0</v>
      </c>
      <c r="CL292" s="1">
        <v>0</v>
      </c>
      <c r="CM292" s="1">
        <v>0</v>
      </c>
      <c r="CN292" s="1">
        <v>0</v>
      </c>
      <c r="CO292" s="1">
        <v>0</v>
      </c>
      <c r="CP292" s="1">
        <v>0</v>
      </c>
      <c r="CQ292" s="1">
        <v>0</v>
      </c>
      <c r="CR292" s="1">
        <v>0</v>
      </c>
      <c r="CS292" s="1">
        <v>6595.5300000000007</v>
      </c>
      <c r="CT292" s="1">
        <v>5492.57</v>
      </c>
      <c r="CU292" s="1">
        <v>836.06</v>
      </c>
      <c r="CV292" s="1">
        <v>985.85</v>
      </c>
      <c r="CW292" s="1">
        <v>6595.5300000000007</v>
      </c>
      <c r="CX292" s="1">
        <v>5492.52</v>
      </c>
      <c r="CY292" s="1">
        <v>834.72</v>
      </c>
      <c r="CZ292" s="1">
        <v>983.34999999999991</v>
      </c>
      <c r="DA292" s="1">
        <v>0</v>
      </c>
      <c r="DB292" s="1">
        <v>0</v>
      </c>
      <c r="DC292" s="1">
        <v>0</v>
      </c>
      <c r="DD292" s="1">
        <v>0</v>
      </c>
      <c r="DE292" s="1">
        <v>0</v>
      </c>
      <c r="DF292" s="1">
        <v>0</v>
      </c>
      <c r="DG292" s="1">
        <v>0</v>
      </c>
      <c r="DH292" s="1">
        <v>0</v>
      </c>
      <c r="DI292" s="1">
        <v>0</v>
      </c>
      <c r="DJ292" s="1">
        <v>0.05</v>
      </c>
      <c r="DK292" s="1">
        <v>1.34</v>
      </c>
      <c r="DL292" s="1">
        <v>2.5</v>
      </c>
      <c r="DM292" s="1">
        <v>3431.65</v>
      </c>
      <c r="DN292" s="1">
        <v>3620.54</v>
      </c>
      <c r="DO292" s="1">
        <v>3284.04</v>
      </c>
      <c r="DP292" s="1">
        <v>3280.92</v>
      </c>
      <c r="DQ292" s="1">
        <v>3431.65</v>
      </c>
      <c r="DR292" s="1">
        <v>3620.54</v>
      </c>
      <c r="DS292" s="1">
        <v>3284.04</v>
      </c>
      <c r="DT292" s="1">
        <v>3280.92</v>
      </c>
      <c r="DU292" s="1">
        <v>0</v>
      </c>
      <c r="DV292" s="1">
        <v>0</v>
      </c>
      <c r="DW292" s="1">
        <v>0</v>
      </c>
      <c r="DX292" s="1">
        <v>0</v>
      </c>
      <c r="DY292" s="1">
        <v>0</v>
      </c>
      <c r="DZ292" s="1">
        <v>0</v>
      </c>
      <c r="EA292" s="1">
        <v>0</v>
      </c>
      <c r="EB292" s="1">
        <v>0</v>
      </c>
      <c r="EC292" s="1">
        <v>0</v>
      </c>
      <c r="ED292" s="1">
        <v>0</v>
      </c>
      <c r="EE292" s="1">
        <v>0</v>
      </c>
      <c r="EF292" s="1">
        <v>0</v>
      </c>
      <c r="EG292" s="1">
        <v>0</v>
      </c>
      <c r="EH292" s="1">
        <v>0</v>
      </c>
      <c r="EI292" s="1">
        <v>0</v>
      </c>
      <c r="EJ292" s="1">
        <v>0</v>
      </c>
      <c r="EK292" s="1">
        <v>2986.62</v>
      </c>
      <c r="EL292" s="1">
        <v>2068.9899999999998</v>
      </c>
      <c r="EM292" s="1">
        <v>611.65300000000002</v>
      </c>
      <c r="EN292" s="1">
        <v>938.00099999999998</v>
      </c>
      <c r="EO292" s="1">
        <v>2986.62</v>
      </c>
      <c r="EP292" s="1">
        <v>2068.9899999999998</v>
      </c>
      <c r="EQ292" s="1">
        <v>611.65300000000002</v>
      </c>
      <c r="ER292" s="1">
        <v>938.00099999999998</v>
      </c>
      <c r="ES292" s="1">
        <v>0</v>
      </c>
      <c r="ET292" s="1">
        <v>0</v>
      </c>
      <c r="EU292" s="1">
        <v>0</v>
      </c>
      <c r="EV292" s="1">
        <v>0</v>
      </c>
      <c r="EW292" s="1">
        <v>0</v>
      </c>
      <c r="EX292" s="1">
        <v>0</v>
      </c>
      <c r="EY292" s="1">
        <v>0</v>
      </c>
      <c r="EZ292" s="1">
        <v>0</v>
      </c>
      <c r="FA292" s="1">
        <v>0</v>
      </c>
      <c r="FB292" s="1">
        <v>0</v>
      </c>
      <c r="FC292" s="1">
        <v>0</v>
      </c>
      <c r="FD292" s="1">
        <v>0</v>
      </c>
      <c r="FE292" s="1">
        <v>29.945</v>
      </c>
      <c r="FF292" s="1">
        <v>138.691</v>
      </c>
      <c r="FG292" s="1">
        <v>119.32</v>
      </c>
      <c r="FH292" s="1">
        <v>111.94799999999999</v>
      </c>
      <c r="FI292" s="1">
        <v>29.945</v>
      </c>
      <c r="FJ292" s="1">
        <v>138.691</v>
      </c>
      <c r="FK292" s="1">
        <v>119.32</v>
      </c>
      <c r="FL292" s="1">
        <v>111.94799999999999</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v>0</v>
      </c>
      <c r="GC292" s="1">
        <v>130.80600000000001</v>
      </c>
      <c r="GD292" s="1">
        <v>92.657999999999987</v>
      </c>
      <c r="GE292" s="1">
        <v>102.25</v>
      </c>
      <c r="GF292" s="1">
        <v>356.63799999999998</v>
      </c>
      <c r="GG292" s="1">
        <v>130.80600000000001</v>
      </c>
      <c r="GH292" s="1">
        <v>92.657999999999987</v>
      </c>
      <c r="GI292" s="1">
        <v>102.25</v>
      </c>
      <c r="GJ292" s="1">
        <v>356.63799999999998</v>
      </c>
      <c r="GK292" s="1">
        <v>0</v>
      </c>
      <c r="GL292" s="1">
        <v>0</v>
      </c>
      <c r="GM292" s="1">
        <v>0</v>
      </c>
      <c r="GN292" s="1">
        <v>0</v>
      </c>
      <c r="GO292" s="1">
        <v>0</v>
      </c>
      <c r="GP292" s="1">
        <v>0</v>
      </c>
      <c r="GQ292" s="1">
        <v>0</v>
      </c>
      <c r="GR292" s="1">
        <v>0</v>
      </c>
      <c r="GS292" s="1">
        <v>0</v>
      </c>
      <c r="GT292" s="1">
        <v>0</v>
      </c>
      <c r="GU292" s="1">
        <v>0</v>
      </c>
      <c r="GV292" s="1">
        <v>0</v>
      </c>
      <c r="GW292" s="1">
        <v>0</v>
      </c>
      <c r="GX292" s="1">
        <v>0</v>
      </c>
      <c r="GY292" s="1">
        <v>0</v>
      </c>
      <c r="GZ292" s="1">
        <v>0</v>
      </c>
      <c r="HA292" s="1">
        <v>0</v>
      </c>
      <c r="HB292" s="1">
        <v>0</v>
      </c>
      <c r="HC292" s="1">
        <v>0</v>
      </c>
      <c r="HD292" s="1">
        <v>0</v>
      </c>
      <c r="HE292" s="1">
        <v>0</v>
      </c>
      <c r="HF292" s="1">
        <v>0</v>
      </c>
      <c r="HG292" s="1">
        <v>0</v>
      </c>
      <c r="HH292" s="1">
        <v>0</v>
      </c>
      <c r="HI292" s="1">
        <v>0</v>
      </c>
      <c r="HJ292" s="1">
        <v>0</v>
      </c>
      <c r="HK292" s="1">
        <v>0</v>
      </c>
      <c r="HL292" s="1">
        <v>0</v>
      </c>
      <c r="HM292" s="1">
        <v>0</v>
      </c>
      <c r="HN292" s="1">
        <v>0</v>
      </c>
      <c r="HO292" s="1">
        <v>0</v>
      </c>
      <c r="HP292" s="1">
        <v>0</v>
      </c>
      <c r="HQ292" s="1">
        <v>0</v>
      </c>
      <c r="HR292" s="1">
        <v>0</v>
      </c>
      <c r="HS292" s="1">
        <v>0</v>
      </c>
      <c r="HT292" s="1">
        <v>0</v>
      </c>
      <c r="HU292" s="1">
        <v>0</v>
      </c>
      <c r="HV292" s="1">
        <v>0</v>
      </c>
      <c r="HW292" s="1">
        <v>0</v>
      </c>
      <c r="HX292" s="1">
        <v>0</v>
      </c>
      <c r="HY292" s="1">
        <v>0</v>
      </c>
      <c r="HZ292" s="1">
        <v>0</v>
      </c>
      <c r="IA292" s="1">
        <v>0</v>
      </c>
      <c r="IB292" s="1">
        <v>0</v>
      </c>
      <c r="IC292" s="1">
        <v>0</v>
      </c>
      <c r="ID292" s="1">
        <v>0</v>
      </c>
      <c r="IE292" s="1">
        <v>0</v>
      </c>
      <c r="IF292" s="1">
        <v>0</v>
      </c>
      <c r="IG292" s="1">
        <v>0</v>
      </c>
      <c r="IH292" s="1">
        <v>0</v>
      </c>
      <c r="II292" s="1">
        <v>0</v>
      </c>
      <c r="IJ292" s="1">
        <v>0</v>
      </c>
      <c r="IK292" s="1">
        <v>0</v>
      </c>
      <c r="IL292" s="1">
        <v>0</v>
      </c>
      <c r="IM292" s="1">
        <v>0</v>
      </c>
      <c r="IN292" s="1">
        <v>0</v>
      </c>
      <c r="IO292" s="1">
        <v>241.99</v>
      </c>
      <c r="IP292" s="1">
        <v>271.7</v>
      </c>
      <c r="IQ292" s="1">
        <v>315.13</v>
      </c>
      <c r="IR292" s="1">
        <v>356.31999999999988</v>
      </c>
      <c r="IS292" s="1">
        <v>241.99</v>
      </c>
      <c r="IT292" s="1">
        <v>271.7</v>
      </c>
      <c r="IU292" s="1">
        <v>315.13</v>
      </c>
      <c r="IV292" s="1">
        <v>356.31999999999988</v>
      </c>
      <c r="IW292" s="1">
        <v>0</v>
      </c>
      <c r="IX292" s="1">
        <v>0</v>
      </c>
      <c r="IY292" s="1">
        <v>0</v>
      </c>
      <c r="IZ292" s="1">
        <v>0</v>
      </c>
      <c r="JA292" s="1">
        <v>0</v>
      </c>
      <c r="JB292" s="1">
        <v>0</v>
      </c>
      <c r="JC292" s="1">
        <v>0</v>
      </c>
      <c r="JD292" s="1">
        <v>0</v>
      </c>
      <c r="JE292" s="1">
        <v>0</v>
      </c>
      <c r="JF292" s="1">
        <v>0</v>
      </c>
      <c r="JG292" s="1">
        <v>0</v>
      </c>
      <c r="JH292" s="1">
        <v>0</v>
      </c>
      <c r="JI292" s="1">
        <v>0</v>
      </c>
      <c r="JJ292" s="1">
        <v>0</v>
      </c>
      <c r="JK292" s="1">
        <v>0</v>
      </c>
      <c r="JL292" s="1">
        <v>0</v>
      </c>
      <c r="JM292" s="1">
        <v>0</v>
      </c>
      <c r="JN292" s="1">
        <v>0</v>
      </c>
      <c r="JO292" s="1">
        <v>0</v>
      </c>
      <c r="JP292" s="1">
        <v>0</v>
      </c>
      <c r="JQ292" s="9"/>
      <c r="JR292" s="1">
        <f t="shared" si="60"/>
        <v>3335.0616000000009</v>
      </c>
      <c r="JS292" s="1">
        <f t="shared" si="60"/>
        <v>3651.1317000000022</v>
      </c>
      <c r="JT292" s="1">
        <f t="shared" si="60"/>
        <v>3490.5060000000012</v>
      </c>
      <c r="JU292" s="1">
        <f t="shared" si="58"/>
        <v>3854.2284000000018</v>
      </c>
      <c r="JV292" s="1">
        <f t="shared" si="61"/>
        <v>617.60400000000016</v>
      </c>
      <c r="JW292" s="1">
        <f t="shared" si="61"/>
        <v>676.13550000000032</v>
      </c>
      <c r="JX292" s="1">
        <f t="shared" si="61"/>
        <v>646.39000000000021</v>
      </c>
      <c r="JY292" s="1">
        <f t="shared" si="59"/>
        <v>713.74600000000032</v>
      </c>
    </row>
    <row r="293" spans="1:285" x14ac:dyDescent="0.35">
      <c r="A293" s="2" t="s">
        <v>300</v>
      </c>
      <c r="B293" s="1">
        <v>130419</v>
      </c>
      <c r="C293" s="1">
        <v>133084</v>
      </c>
      <c r="D293" s="1">
        <v>134508</v>
      </c>
      <c r="E293" s="1">
        <v>136648</v>
      </c>
      <c r="F293" s="1">
        <v>56784.495999999999</v>
      </c>
      <c r="G293" s="1">
        <v>52192.283000000003</v>
      </c>
      <c r="H293" s="1">
        <v>44528.803999999996</v>
      </c>
      <c r="I293" s="1">
        <v>48549.415999999997</v>
      </c>
      <c r="J293" s="1">
        <f t="shared" si="62"/>
        <v>36131.474999999999</v>
      </c>
      <c r="K293" s="1">
        <f t="shared" si="63"/>
        <v>33121.742999999995</v>
      </c>
      <c r="L293" s="1">
        <f t="shared" si="64"/>
        <v>25719.267</v>
      </c>
      <c r="M293" s="1">
        <f t="shared" si="65"/>
        <v>29740.582999999999</v>
      </c>
      <c r="N293" s="1">
        <f t="shared" si="66"/>
        <v>20653.021000000001</v>
      </c>
      <c r="O293" s="1">
        <f t="shared" si="67"/>
        <v>19070.540000000008</v>
      </c>
      <c r="P293" s="1">
        <f t="shared" si="68"/>
        <v>18809.536999999997</v>
      </c>
      <c r="Q293" s="1">
        <f t="shared" si="69"/>
        <v>18808.832999999999</v>
      </c>
      <c r="R293" s="1">
        <v>0</v>
      </c>
      <c r="S293" s="1">
        <v>0</v>
      </c>
      <c r="T293" s="1">
        <v>0</v>
      </c>
      <c r="U293" s="1">
        <v>0</v>
      </c>
      <c r="V293" s="1">
        <v>0</v>
      </c>
      <c r="W293" s="1">
        <v>0</v>
      </c>
      <c r="X293" s="1">
        <v>0</v>
      </c>
      <c r="Y293" s="1">
        <v>0</v>
      </c>
      <c r="Z293" s="1">
        <v>0</v>
      </c>
      <c r="AA293" s="1">
        <v>0</v>
      </c>
      <c r="AB293" s="1">
        <v>0</v>
      </c>
      <c r="AC293" s="1">
        <v>0</v>
      </c>
      <c r="AD293" s="1">
        <v>0</v>
      </c>
      <c r="AE293" s="1">
        <v>0</v>
      </c>
      <c r="AF293" s="1">
        <v>0</v>
      </c>
      <c r="AG293" s="1">
        <v>0</v>
      </c>
      <c r="AH293" s="1">
        <v>0</v>
      </c>
      <c r="AI293" s="1">
        <v>0</v>
      </c>
      <c r="AJ293" s="1">
        <v>0</v>
      </c>
      <c r="AK293" s="1">
        <v>0</v>
      </c>
      <c r="AL293" s="1">
        <v>0</v>
      </c>
      <c r="AM293" s="1">
        <v>0</v>
      </c>
      <c r="AN293" s="1">
        <v>0</v>
      </c>
      <c r="AO293" s="1">
        <v>0</v>
      </c>
      <c r="AP293" s="1">
        <v>8243.6409999999996</v>
      </c>
      <c r="AQ293" s="1">
        <v>8864.7599999999984</v>
      </c>
      <c r="AR293" s="1">
        <v>8048.58</v>
      </c>
      <c r="AS293" s="1">
        <v>9546.4220000000005</v>
      </c>
      <c r="AT293" s="1">
        <v>0</v>
      </c>
      <c r="AU293" s="1">
        <v>8243.6409999999996</v>
      </c>
      <c r="AV293" s="1">
        <v>0</v>
      </c>
      <c r="AW293" s="1">
        <v>0</v>
      </c>
      <c r="AX293" s="1">
        <v>0</v>
      </c>
      <c r="AY293" s="1">
        <v>8864.7599999999984</v>
      </c>
      <c r="AZ293" s="1">
        <v>0</v>
      </c>
      <c r="BA293" s="1">
        <v>0</v>
      </c>
      <c r="BB293" s="1">
        <v>0</v>
      </c>
      <c r="BC293" s="1">
        <v>8048.58</v>
      </c>
      <c r="BD293" s="1">
        <v>0</v>
      </c>
      <c r="BE293" s="1">
        <v>0</v>
      </c>
      <c r="BF293" s="1">
        <v>9546.4220000000005</v>
      </c>
      <c r="BG293" s="1">
        <v>0</v>
      </c>
      <c r="BH293" s="1">
        <v>0</v>
      </c>
      <c r="BI293" s="1">
        <v>0</v>
      </c>
      <c r="BJ293" s="1">
        <v>0</v>
      </c>
      <c r="BK293" s="1">
        <v>0</v>
      </c>
      <c r="BL293" s="1">
        <v>0</v>
      </c>
      <c r="BM293" s="1">
        <v>0</v>
      </c>
      <c r="BN293" s="1">
        <v>0</v>
      </c>
      <c r="BO293" s="1">
        <v>0</v>
      </c>
      <c r="BP293" s="1">
        <v>0</v>
      </c>
      <c r="BQ293" s="1">
        <v>0</v>
      </c>
      <c r="BR293" s="1">
        <v>0</v>
      </c>
      <c r="BS293" s="1">
        <v>0</v>
      </c>
      <c r="BT293" s="1">
        <v>0</v>
      </c>
      <c r="BU293" s="1">
        <v>12901.005999999999</v>
      </c>
      <c r="BV293" s="1">
        <v>11436.597</v>
      </c>
      <c r="BW293" s="1">
        <v>8463.2009999999991</v>
      </c>
      <c r="BX293" s="1">
        <v>10129.793</v>
      </c>
      <c r="BY293" s="1">
        <v>12901.005999999999</v>
      </c>
      <c r="BZ293" s="1">
        <v>11436.597</v>
      </c>
      <c r="CA293" s="1">
        <v>8463.2009999999991</v>
      </c>
      <c r="CB293" s="1">
        <v>10129.793</v>
      </c>
      <c r="CC293" s="1">
        <v>0</v>
      </c>
      <c r="CD293" s="1">
        <v>0</v>
      </c>
      <c r="CE293" s="1">
        <v>0</v>
      </c>
      <c r="CF293" s="1">
        <v>0</v>
      </c>
      <c r="CG293" s="1">
        <v>0</v>
      </c>
      <c r="CH293" s="1">
        <v>0</v>
      </c>
      <c r="CI293" s="1">
        <v>0</v>
      </c>
      <c r="CJ293" s="1">
        <v>0</v>
      </c>
      <c r="CK293" s="1">
        <v>0</v>
      </c>
      <c r="CL293" s="1">
        <v>0</v>
      </c>
      <c r="CM293" s="1">
        <v>0</v>
      </c>
      <c r="CN293" s="1">
        <v>0</v>
      </c>
      <c r="CO293" s="1">
        <v>0</v>
      </c>
      <c r="CP293" s="1">
        <v>0</v>
      </c>
      <c r="CQ293" s="1">
        <v>0</v>
      </c>
      <c r="CR293" s="1">
        <v>0</v>
      </c>
      <c r="CS293" s="1">
        <v>4949.5200000000004</v>
      </c>
      <c r="CT293" s="1">
        <v>4638.6399999999994</v>
      </c>
      <c r="CU293" s="1">
        <v>2314.3000000000002</v>
      </c>
      <c r="CV293" s="1">
        <v>3761.76</v>
      </c>
      <c r="CW293" s="1">
        <v>4949.5200000000004</v>
      </c>
      <c r="CX293" s="1">
        <v>4638.6399999999994</v>
      </c>
      <c r="CY293" s="1">
        <v>2314.3000000000002</v>
      </c>
      <c r="CZ293" s="1">
        <v>3761.76</v>
      </c>
      <c r="DA293" s="1">
        <v>0</v>
      </c>
      <c r="DB293" s="1">
        <v>0</v>
      </c>
      <c r="DC293" s="1">
        <v>0</v>
      </c>
      <c r="DD293" s="1">
        <v>0</v>
      </c>
      <c r="DE293" s="1">
        <v>0</v>
      </c>
      <c r="DF293" s="1">
        <v>0</v>
      </c>
      <c r="DG293" s="1">
        <v>0</v>
      </c>
      <c r="DH293" s="1">
        <v>0</v>
      </c>
      <c r="DI293" s="1">
        <v>0</v>
      </c>
      <c r="DJ293" s="1">
        <v>0</v>
      </c>
      <c r="DK293" s="1">
        <v>0</v>
      </c>
      <c r="DL293" s="1">
        <v>0</v>
      </c>
      <c r="DM293" s="1">
        <v>5415.6270000000004</v>
      </c>
      <c r="DN293" s="1">
        <v>5757.03</v>
      </c>
      <c r="DO293" s="1">
        <v>4975.16</v>
      </c>
      <c r="DP293" s="1">
        <v>4716.6099999999997</v>
      </c>
      <c r="DQ293" s="1">
        <v>5415.6270000000004</v>
      </c>
      <c r="DR293" s="1">
        <v>5757.03</v>
      </c>
      <c r="DS293" s="1">
        <v>4975.16</v>
      </c>
      <c r="DT293" s="1">
        <v>4716.6099999999997</v>
      </c>
      <c r="DU293" s="1">
        <v>0</v>
      </c>
      <c r="DV293" s="1">
        <v>0</v>
      </c>
      <c r="DW293" s="1">
        <v>0</v>
      </c>
      <c r="DX293" s="1">
        <v>0</v>
      </c>
      <c r="DY293" s="1">
        <v>0</v>
      </c>
      <c r="DZ293" s="1">
        <v>0</v>
      </c>
      <c r="EA293" s="1">
        <v>0</v>
      </c>
      <c r="EB293" s="1">
        <v>0</v>
      </c>
      <c r="EC293" s="1">
        <v>0</v>
      </c>
      <c r="ED293" s="1">
        <v>0</v>
      </c>
      <c r="EE293" s="1">
        <v>0</v>
      </c>
      <c r="EF293" s="1">
        <v>0</v>
      </c>
      <c r="EG293" s="1">
        <v>0</v>
      </c>
      <c r="EH293" s="1">
        <v>0</v>
      </c>
      <c r="EI293" s="1">
        <v>0</v>
      </c>
      <c r="EJ293" s="1">
        <v>0</v>
      </c>
      <c r="EK293" s="1">
        <v>4126.1769999999997</v>
      </c>
      <c r="EL293" s="1">
        <v>1740.4</v>
      </c>
      <c r="EM293" s="1">
        <v>1484.86</v>
      </c>
      <c r="EN293" s="1">
        <v>887.17000000000007</v>
      </c>
      <c r="EO293" s="1">
        <v>4125.9769999999999</v>
      </c>
      <c r="EP293" s="1">
        <v>1740.21</v>
      </c>
      <c r="EQ293" s="1">
        <v>1483.66</v>
      </c>
      <c r="ER293" s="1">
        <v>885.09999999999991</v>
      </c>
      <c r="ES293" s="1">
        <v>0.2</v>
      </c>
      <c r="ET293" s="1">
        <v>0.19</v>
      </c>
      <c r="EU293" s="1">
        <v>1.2</v>
      </c>
      <c r="EV293" s="1">
        <v>2.0699999999999998</v>
      </c>
      <c r="EW293" s="1">
        <v>0</v>
      </c>
      <c r="EX293" s="1">
        <v>0</v>
      </c>
      <c r="EY293" s="1">
        <v>0</v>
      </c>
      <c r="EZ293" s="1">
        <v>0</v>
      </c>
      <c r="FA293" s="1">
        <v>0</v>
      </c>
      <c r="FB293" s="1">
        <v>0</v>
      </c>
      <c r="FC293" s="1">
        <v>0</v>
      </c>
      <c r="FD293" s="1">
        <v>0</v>
      </c>
      <c r="FE293" s="1">
        <v>126.946</v>
      </c>
      <c r="FF293" s="1">
        <v>137.43299999999999</v>
      </c>
      <c r="FG293" s="1">
        <v>146.45500000000001</v>
      </c>
      <c r="FH293" s="1">
        <v>194.71799999999999</v>
      </c>
      <c r="FI293" s="1">
        <v>126.946</v>
      </c>
      <c r="FJ293" s="1">
        <v>137.43299999999999</v>
      </c>
      <c r="FK293" s="1">
        <v>146.45500000000001</v>
      </c>
      <c r="FL293" s="1">
        <v>194.71799999999999</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v>0</v>
      </c>
      <c r="GC293" s="1">
        <v>78.177999999999997</v>
      </c>
      <c r="GD293" s="1">
        <v>51.003</v>
      </c>
      <c r="GE293" s="1">
        <v>50.701000000000001</v>
      </c>
      <c r="GF293" s="1">
        <v>71.989999999999995</v>
      </c>
      <c r="GG293" s="1">
        <v>78.177999999999997</v>
      </c>
      <c r="GH293" s="1">
        <v>51.003</v>
      </c>
      <c r="GI293" s="1">
        <v>50.701000000000001</v>
      </c>
      <c r="GJ293" s="1">
        <v>71.989999999999995</v>
      </c>
      <c r="GK293" s="1">
        <v>0</v>
      </c>
      <c r="GL293" s="1">
        <v>0</v>
      </c>
      <c r="GM293" s="1">
        <v>0</v>
      </c>
      <c r="GN293" s="1">
        <v>0</v>
      </c>
      <c r="GO293" s="1">
        <v>0</v>
      </c>
      <c r="GP293" s="1">
        <v>0</v>
      </c>
      <c r="GQ293" s="1">
        <v>0</v>
      </c>
      <c r="GR293" s="1">
        <v>0</v>
      </c>
      <c r="GS293" s="1">
        <v>0</v>
      </c>
      <c r="GT293" s="1">
        <v>0</v>
      </c>
      <c r="GU293" s="1">
        <v>0</v>
      </c>
      <c r="GV293" s="1">
        <v>0</v>
      </c>
      <c r="GW293" s="1">
        <v>0</v>
      </c>
      <c r="GX293" s="1">
        <v>0</v>
      </c>
      <c r="GY293" s="1">
        <v>0</v>
      </c>
      <c r="GZ293" s="1">
        <v>0</v>
      </c>
      <c r="HA293" s="1">
        <v>0</v>
      </c>
      <c r="HB293" s="1">
        <v>0</v>
      </c>
      <c r="HC293" s="1">
        <v>0</v>
      </c>
      <c r="HD293" s="1">
        <v>0</v>
      </c>
      <c r="HE293" s="1">
        <v>0</v>
      </c>
      <c r="HF293" s="1">
        <v>0</v>
      </c>
      <c r="HG293" s="1">
        <v>0</v>
      </c>
      <c r="HH293" s="1">
        <v>0</v>
      </c>
      <c r="HI293" s="1">
        <v>0</v>
      </c>
      <c r="HJ293" s="1">
        <v>0</v>
      </c>
      <c r="HK293" s="1">
        <v>0</v>
      </c>
      <c r="HL293" s="1">
        <v>0</v>
      </c>
      <c r="HM293" s="1">
        <v>0</v>
      </c>
      <c r="HN293" s="1">
        <v>0</v>
      </c>
      <c r="HO293" s="1">
        <v>0</v>
      </c>
      <c r="HP293" s="1">
        <v>0</v>
      </c>
      <c r="HQ293" s="1">
        <v>0</v>
      </c>
      <c r="HR293" s="1">
        <v>0</v>
      </c>
      <c r="HS293" s="1">
        <v>0</v>
      </c>
      <c r="HT293" s="1">
        <v>0</v>
      </c>
      <c r="HU293" s="1">
        <v>0</v>
      </c>
      <c r="HV293" s="1">
        <v>0</v>
      </c>
      <c r="HW293" s="1">
        <v>0</v>
      </c>
      <c r="HX293" s="1">
        <v>0</v>
      </c>
      <c r="HY293" s="1">
        <v>0</v>
      </c>
      <c r="HZ293" s="1">
        <v>0</v>
      </c>
      <c r="IA293" s="1">
        <v>0</v>
      </c>
      <c r="IB293" s="1">
        <v>0</v>
      </c>
      <c r="IC293" s="1">
        <v>0</v>
      </c>
      <c r="ID293" s="1">
        <v>0</v>
      </c>
      <c r="IE293" s="1">
        <v>0</v>
      </c>
      <c r="IF293" s="1">
        <v>0</v>
      </c>
      <c r="IG293" s="1">
        <v>0</v>
      </c>
      <c r="IH293" s="1">
        <v>0</v>
      </c>
      <c r="II293" s="1">
        <v>0</v>
      </c>
      <c r="IJ293" s="1">
        <v>0</v>
      </c>
      <c r="IK293" s="1">
        <v>0</v>
      </c>
      <c r="IL293" s="1">
        <v>0</v>
      </c>
      <c r="IM293" s="1">
        <v>0</v>
      </c>
      <c r="IN293" s="1">
        <v>0</v>
      </c>
      <c r="IO293" s="1">
        <v>290.38</v>
      </c>
      <c r="IP293" s="1">
        <v>495.88</v>
      </c>
      <c r="IQ293" s="1">
        <v>236.01</v>
      </c>
      <c r="IR293" s="1">
        <v>432.12</v>
      </c>
      <c r="IS293" s="1">
        <v>290.38</v>
      </c>
      <c r="IT293" s="1">
        <v>495.88</v>
      </c>
      <c r="IU293" s="1">
        <v>236.01</v>
      </c>
      <c r="IV293" s="1">
        <v>432.12</v>
      </c>
      <c r="IW293" s="1">
        <v>0</v>
      </c>
      <c r="IX293" s="1">
        <v>0</v>
      </c>
      <c r="IY293" s="1">
        <v>0</v>
      </c>
      <c r="IZ293" s="1">
        <v>0</v>
      </c>
      <c r="JA293" s="1">
        <v>0</v>
      </c>
      <c r="JB293" s="1">
        <v>0</v>
      </c>
      <c r="JC293" s="1">
        <v>0</v>
      </c>
      <c r="JD293" s="1">
        <v>0</v>
      </c>
      <c r="JE293" s="1">
        <v>0</v>
      </c>
      <c r="JF293" s="1">
        <v>0</v>
      </c>
      <c r="JG293" s="1">
        <v>0</v>
      </c>
      <c r="JH293" s="1">
        <v>0</v>
      </c>
      <c r="JI293" s="1">
        <v>0</v>
      </c>
      <c r="JJ293" s="1">
        <v>0</v>
      </c>
      <c r="JK293" s="1">
        <v>0</v>
      </c>
      <c r="JL293" s="1">
        <v>0</v>
      </c>
      <c r="JM293" s="1">
        <v>0</v>
      </c>
      <c r="JN293" s="1">
        <v>0</v>
      </c>
      <c r="JO293" s="1">
        <v>0</v>
      </c>
      <c r="JP293" s="1">
        <v>0</v>
      </c>
      <c r="JQ293" s="9"/>
      <c r="JR293" s="1">
        <f t="shared" si="60"/>
        <v>5576.3156700000009</v>
      </c>
      <c r="JS293" s="1">
        <f t="shared" si="60"/>
        <v>5149.0458000000026</v>
      </c>
      <c r="JT293" s="1">
        <f t="shared" si="60"/>
        <v>5078.5749899999992</v>
      </c>
      <c r="JU293" s="1">
        <f t="shared" si="58"/>
        <v>5078.3849099999998</v>
      </c>
      <c r="JV293" s="1">
        <f t="shared" si="61"/>
        <v>1032.6510500000002</v>
      </c>
      <c r="JW293" s="1">
        <f t="shared" si="61"/>
        <v>953.5270000000005</v>
      </c>
      <c r="JX293" s="1">
        <f t="shared" si="61"/>
        <v>940.4768499999999</v>
      </c>
      <c r="JY293" s="1">
        <f t="shared" si="59"/>
        <v>940.44164999999998</v>
      </c>
    </row>
    <row r="294" spans="1:285" x14ac:dyDescent="0.35">
      <c r="A294" s="2" t="s">
        <v>301</v>
      </c>
      <c r="B294" s="1">
        <v>110409</v>
      </c>
      <c r="C294" s="1">
        <v>112434</v>
      </c>
      <c r="D294" s="1">
        <v>114974</v>
      </c>
      <c r="E294" s="1">
        <v>116832</v>
      </c>
      <c r="F294" s="1">
        <v>30725.092000000001</v>
      </c>
      <c r="G294" s="1">
        <v>31448.841</v>
      </c>
      <c r="H294" s="1">
        <v>30177.119999999999</v>
      </c>
      <c r="I294" s="1">
        <v>29295.530999999999</v>
      </c>
      <c r="J294" s="1">
        <f t="shared" si="62"/>
        <v>19663.998999999996</v>
      </c>
      <c r="K294" s="1">
        <f t="shared" si="63"/>
        <v>20366.548999999999</v>
      </c>
      <c r="L294" s="1">
        <f t="shared" si="64"/>
        <v>18975.948</v>
      </c>
      <c r="M294" s="1">
        <f t="shared" si="65"/>
        <v>18172.787999999997</v>
      </c>
      <c r="N294" s="1">
        <f t="shared" si="66"/>
        <v>11061.093000000004</v>
      </c>
      <c r="O294" s="1">
        <f t="shared" si="67"/>
        <v>11082.292000000001</v>
      </c>
      <c r="P294" s="1">
        <f t="shared" si="68"/>
        <v>11201.171999999999</v>
      </c>
      <c r="Q294" s="1">
        <f t="shared" si="69"/>
        <v>11122.743000000002</v>
      </c>
      <c r="R294" s="1">
        <v>0</v>
      </c>
      <c r="S294" s="1">
        <v>0</v>
      </c>
      <c r="T294" s="1">
        <v>0</v>
      </c>
      <c r="U294" s="1">
        <v>0</v>
      </c>
      <c r="V294" s="1">
        <v>0</v>
      </c>
      <c r="W294" s="1">
        <v>0</v>
      </c>
      <c r="X294" s="1">
        <v>0</v>
      </c>
      <c r="Y294" s="1">
        <v>0</v>
      </c>
      <c r="Z294" s="1">
        <v>0</v>
      </c>
      <c r="AA294" s="1">
        <v>0</v>
      </c>
      <c r="AB294" s="1">
        <v>0</v>
      </c>
      <c r="AC294" s="1">
        <v>0</v>
      </c>
      <c r="AD294" s="1">
        <v>0</v>
      </c>
      <c r="AE294" s="1">
        <v>0</v>
      </c>
      <c r="AF294" s="1">
        <v>0</v>
      </c>
      <c r="AG294" s="1">
        <v>0</v>
      </c>
      <c r="AH294" s="1">
        <v>0</v>
      </c>
      <c r="AI294" s="1">
        <v>0</v>
      </c>
      <c r="AJ294" s="1">
        <v>0</v>
      </c>
      <c r="AK294" s="1">
        <v>0</v>
      </c>
      <c r="AL294" s="1">
        <v>0</v>
      </c>
      <c r="AM294" s="1">
        <v>0</v>
      </c>
      <c r="AN294" s="1">
        <v>0</v>
      </c>
      <c r="AO294" s="1">
        <v>0</v>
      </c>
      <c r="AP294" s="1">
        <v>7504.0599999999995</v>
      </c>
      <c r="AQ294" s="1">
        <v>7406.28</v>
      </c>
      <c r="AR294" s="1">
        <v>7559.92</v>
      </c>
      <c r="AS294" s="1">
        <v>7558.47</v>
      </c>
      <c r="AT294" s="1">
        <v>0</v>
      </c>
      <c r="AU294" s="1">
        <v>7504.0599999999995</v>
      </c>
      <c r="AV294" s="1">
        <v>0</v>
      </c>
      <c r="AW294" s="1">
        <v>0</v>
      </c>
      <c r="AX294" s="1">
        <v>0</v>
      </c>
      <c r="AY294" s="1">
        <v>7406.28</v>
      </c>
      <c r="AZ294" s="1">
        <v>0</v>
      </c>
      <c r="BA294" s="1">
        <v>0</v>
      </c>
      <c r="BB294" s="1">
        <v>0</v>
      </c>
      <c r="BC294" s="1">
        <v>7559.92</v>
      </c>
      <c r="BD294" s="1">
        <v>0</v>
      </c>
      <c r="BE294" s="1">
        <v>0</v>
      </c>
      <c r="BF294" s="1">
        <v>7558.47</v>
      </c>
      <c r="BG294" s="1">
        <v>0</v>
      </c>
      <c r="BH294" s="1">
        <v>0</v>
      </c>
      <c r="BI294" s="1">
        <v>0</v>
      </c>
      <c r="BJ294" s="1">
        <v>0</v>
      </c>
      <c r="BK294" s="1">
        <v>0</v>
      </c>
      <c r="BL294" s="1">
        <v>0</v>
      </c>
      <c r="BM294" s="1">
        <v>0</v>
      </c>
      <c r="BN294" s="1">
        <v>0</v>
      </c>
      <c r="BO294" s="1">
        <v>0</v>
      </c>
      <c r="BP294" s="1">
        <v>0</v>
      </c>
      <c r="BQ294" s="1">
        <v>0</v>
      </c>
      <c r="BR294" s="1">
        <v>0</v>
      </c>
      <c r="BS294" s="1">
        <v>0</v>
      </c>
      <c r="BT294" s="1">
        <v>0</v>
      </c>
      <c r="BU294" s="1">
        <v>4193</v>
      </c>
      <c r="BV294" s="1">
        <v>4130.66</v>
      </c>
      <c r="BW294" s="1">
        <v>3712.39</v>
      </c>
      <c r="BX294" s="1">
        <v>3575.84</v>
      </c>
      <c r="BY294" s="1">
        <v>4193</v>
      </c>
      <c r="BZ294" s="1">
        <v>4130.66</v>
      </c>
      <c r="CA294" s="1">
        <v>3712.39</v>
      </c>
      <c r="CB294" s="1">
        <v>3575.84</v>
      </c>
      <c r="CC294" s="1">
        <v>0</v>
      </c>
      <c r="CD294" s="1">
        <v>0</v>
      </c>
      <c r="CE294" s="1">
        <v>0</v>
      </c>
      <c r="CF294" s="1">
        <v>0</v>
      </c>
      <c r="CG294" s="1">
        <v>0</v>
      </c>
      <c r="CH294" s="1">
        <v>0</v>
      </c>
      <c r="CI294" s="1">
        <v>0</v>
      </c>
      <c r="CJ294" s="1">
        <v>0</v>
      </c>
      <c r="CK294" s="1">
        <v>0</v>
      </c>
      <c r="CL294" s="1">
        <v>0</v>
      </c>
      <c r="CM294" s="1">
        <v>0</v>
      </c>
      <c r="CN294" s="1">
        <v>0</v>
      </c>
      <c r="CO294" s="1">
        <v>0</v>
      </c>
      <c r="CP294" s="1">
        <v>0</v>
      </c>
      <c r="CQ294" s="1">
        <v>0</v>
      </c>
      <c r="CR294" s="1">
        <v>0</v>
      </c>
      <c r="CS294" s="1">
        <v>1003.91</v>
      </c>
      <c r="CT294" s="1">
        <v>1177.29</v>
      </c>
      <c r="CU294" s="1">
        <v>912.92</v>
      </c>
      <c r="CV294" s="1">
        <v>1021</v>
      </c>
      <c r="CW294" s="1">
        <v>1003.91</v>
      </c>
      <c r="CX294" s="1">
        <v>1177.29</v>
      </c>
      <c r="CY294" s="1">
        <v>912.92</v>
      </c>
      <c r="CZ294" s="1">
        <v>1021</v>
      </c>
      <c r="DA294" s="1">
        <v>0</v>
      </c>
      <c r="DB294" s="1">
        <v>0</v>
      </c>
      <c r="DC294" s="1">
        <v>0</v>
      </c>
      <c r="DD294" s="1">
        <v>0</v>
      </c>
      <c r="DE294" s="1">
        <v>0</v>
      </c>
      <c r="DF294" s="1">
        <v>0</v>
      </c>
      <c r="DG294" s="1">
        <v>0</v>
      </c>
      <c r="DH294" s="1">
        <v>0</v>
      </c>
      <c r="DI294" s="1">
        <v>0</v>
      </c>
      <c r="DJ294" s="1">
        <v>0</v>
      </c>
      <c r="DK294" s="1">
        <v>0</v>
      </c>
      <c r="DL294" s="1">
        <v>0</v>
      </c>
      <c r="DM294" s="1">
        <v>3637.48</v>
      </c>
      <c r="DN294" s="1">
        <v>3777.37</v>
      </c>
      <c r="DO294" s="1">
        <v>3157.3380000000002</v>
      </c>
      <c r="DP294" s="1">
        <v>2888.68</v>
      </c>
      <c r="DQ294" s="1">
        <v>3637.48</v>
      </c>
      <c r="DR294" s="1">
        <v>3777.37</v>
      </c>
      <c r="DS294" s="1">
        <v>3157.3380000000002</v>
      </c>
      <c r="DT294" s="1">
        <v>2888.68</v>
      </c>
      <c r="DU294" s="1">
        <v>0</v>
      </c>
      <c r="DV294" s="1">
        <v>0</v>
      </c>
      <c r="DW294" s="1">
        <v>0</v>
      </c>
      <c r="DX294" s="1">
        <v>0</v>
      </c>
      <c r="DY294" s="1">
        <v>0</v>
      </c>
      <c r="DZ294" s="1">
        <v>0</v>
      </c>
      <c r="EA294" s="1">
        <v>0</v>
      </c>
      <c r="EB294" s="1">
        <v>0</v>
      </c>
      <c r="EC294" s="1">
        <v>0</v>
      </c>
      <c r="ED294" s="1">
        <v>0</v>
      </c>
      <c r="EE294" s="1">
        <v>0</v>
      </c>
      <c r="EF294" s="1">
        <v>0</v>
      </c>
      <c r="EG294" s="1">
        <v>0</v>
      </c>
      <c r="EH294" s="1">
        <v>0</v>
      </c>
      <c r="EI294" s="1">
        <v>0</v>
      </c>
      <c r="EJ294" s="1">
        <v>0</v>
      </c>
      <c r="EK294" s="1">
        <v>1844.1980000000001</v>
      </c>
      <c r="EL294" s="1">
        <v>2526.9299999999998</v>
      </c>
      <c r="EM294" s="1">
        <v>2284.7449999999999</v>
      </c>
      <c r="EN294" s="1">
        <v>1558.8330000000001</v>
      </c>
      <c r="EO294" s="1">
        <v>1711.64</v>
      </c>
      <c r="EP294" s="1">
        <v>2351.83</v>
      </c>
      <c r="EQ294" s="1">
        <v>2096.63</v>
      </c>
      <c r="ER294" s="1">
        <v>1371.1</v>
      </c>
      <c r="ES294" s="1">
        <v>132.55799999999999</v>
      </c>
      <c r="ET294" s="1">
        <v>175.1</v>
      </c>
      <c r="EU294" s="1">
        <v>188.11500000000001</v>
      </c>
      <c r="EV294" s="1">
        <v>187.733</v>
      </c>
      <c r="EW294" s="1">
        <v>0</v>
      </c>
      <c r="EX294" s="1">
        <v>0</v>
      </c>
      <c r="EY294" s="1">
        <v>0</v>
      </c>
      <c r="EZ294" s="1">
        <v>0</v>
      </c>
      <c r="FA294" s="1">
        <v>0</v>
      </c>
      <c r="FB294" s="1">
        <v>0</v>
      </c>
      <c r="FC294" s="1">
        <v>0</v>
      </c>
      <c r="FD294" s="1">
        <v>0</v>
      </c>
      <c r="FE294" s="1">
        <v>186.13900000000001</v>
      </c>
      <c r="FF294" s="1">
        <v>197.09899999999999</v>
      </c>
      <c r="FG294" s="1">
        <v>158.91499999999999</v>
      </c>
      <c r="FH294" s="1">
        <v>174.423</v>
      </c>
      <c r="FI294" s="1">
        <v>186.13900000000001</v>
      </c>
      <c r="FJ294" s="1">
        <v>197.09899999999999</v>
      </c>
      <c r="FK294" s="1">
        <v>158.91499999999999</v>
      </c>
      <c r="FL294" s="1">
        <v>174.423</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v>0</v>
      </c>
      <c r="GC294" s="1">
        <v>470.05399999999997</v>
      </c>
      <c r="GD294" s="1">
        <v>564.5</v>
      </c>
      <c r="GE294" s="1">
        <v>618.07500000000005</v>
      </c>
      <c r="GF294" s="1">
        <v>638.45899999999995</v>
      </c>
      <c r="GG294" s="1">
        <v>0</v>
      </c>
      <c r="GH294" s="1">
        <v>23.52</v>
      </c>
      <c r="GI294" s="1">
        <v>39.229999999999997</v>
      </c>
      <c r="GJ294" s="1">
        <v>59.580000000000013</v>
      </c>
      <c r="GK294" s="1">
        <v>470.05399999999997</v>
      </c>
      <c r="GL294" s="1">
        <v>540.98</v>
      </c>
      <c r="GM294" s="1">
        <v>578.84500000000003</v>
      </c>
      <c r="GN294" s="1">
        <v>578.87899999999991</v>
      </c>
      <c r="GO294" s="1">
        <v>0</v>
      </c>
      <c r="GP294" s="1">
        <v>0</v>
      </c>
      <c r="GQ294" s="1">
        <v>0</v>
      </c>
      <c r="GR294" s="1">
        <v>0</v>
      </c>
      <c r="GS294" s="1">
        <v>0</v>
      </c>
      <c r="GT294" s="1">
        <v>0</v>
      </c>
      <c r="GU294" s="1">
        <v>0</v>
      </c>
      <c r="GV294" s="1">
        <v>0</v>
      </c>
      <c r="GW294" s="1">
        <v>0</v>
      </c>
      <c r="GX294" s="1">
        <v>0</v>
      </c>
      <c r="GY294" s="1">
        <v>0</v>
      </c>
      <c r="GZ294" s="1">
        <v>0</v>
      </c>
      <c r="HA294" s="1">
        <v>0</v>
      </c>
      <c r="HB294" s="1">
        <v>0</v>
      </c>
      <c r="HC294" s="1">
        <v>0</v>
      </c>
      <c r="HD294" s="1">
        <v>0</v>
      </c>
      <c r="HE294" s="1">
        <v>0</v>
      </c>
      <c r="HF294" s="1">
        <v>0</v>
      </c>
      <c r="HG294" s="1">
        <v>0</v>
      </c>
      <c r="HH294" s="1">
        <v>0</v>
      </c>
      <c r="HI294" s="1">
        <v>0</v>
      </c>
      <c r="HJ294" s="1">
        <v>0</v>
      </c>
      <c r="HK294" s="1">
        <v>0</v>
      </c>
      <c r="HL294" s="1">
        <v>0</v>
      </c>
      <c r="HM294" s="1">
        <v>0</v>
      </c>
      <c r="HN294" s="1">
        <v>0</v>
      </c>
      <c r="HO294" s="1">
        <v>0</v>
      </c>
      <c r="HP294" s="1">
        <v>0</v>
      </c>
      <c r="HQ294" s="1">
        <v>0</v>
      </c>
      <c r="HR294" s="1">
        <v>0</v>
      </c>
      <c r="HS294" s="1">
        <v>0</v>
      </c>
      <c r="HT294" s="1">
        <v>0</v>
      </c>
      <c r="HU294" s="1">
        <v>0</v>
      </c>
      <c r="HV294" s="1">
        <v>0</v>
      </c>
      <c r="HW294" s="1">
        <v>0</v>
      </c>
      <c r="HX294" s="1">
        <v>0</v>
      </c>
      <c r="HY294" s="1">
        <v>0</v>
      </c>
      <c r="HZ294" s="1">
        <v>0</v>
      </c>
      <c r="IA294" s="1">
        <v>0</v>
      </c>
      <c r="IB294" s="1">
        <v>0</v>
      </c>
      <c r="IC294" s="1">
        <v>0</v>
      </c>
      <c r="ID294" s="1">
        <v>0</v>
      </c>
      <c r="IE294" s="1">
        <v>0</v>
      </c>
      <c r="IF294" s="1">
        <v>0</v>
      </c>
      <c r="IG294" s="1">
        <v>0</v>
      </c>
      <c r="IH294" s="1">
        <v>0</v>
      </c>
      <c r="II294" s="1">
        <v>0</v>
      </c>
      <c r="IJ294" s="1">
        <v>0</v>
      </c>
      <c r="IK294" s="1">
        <v>0</v>
      </c>
      <c r="IL294" s="1">
        <v>0</v>
      </c>
      <c r="IM294" s="1">
        <v>0</v>
      </c>
      <c r="IN294" s="1">
        <v>0</v>
      </c>
      <c r="IO294" s="1">
        <v>825.15800000000002</v>
      </c>
      <c r="IP294" s="1">
        <v>586.42000000000007</v>
      </c>
      <c r="IQ294" s="1">
        <v>571.64499999999998</v>
      </c>
      <c r="IR294" s="1">
        <v>757.08300000000008</v>
      </c>
      <c r="IS294" s="1">
        <v>692.60000000000014</v>
      </c>
      <c r="IT294" s="1">
        <v>411.32000000000011</v>
      </c>
      <c r="IU294" s="1">
        <v>383.53</v>
      </c>
      <c r="IV294" s="1">
        <v>569.35</v>
      </c>
      <c r="IW294" s="1">
        <v>132.55799999999999</v>
      </c>
      <c r="IX294" s="1">
        <v>175.1</v>
      </c>
      <c r="IY294" s="1">
        <v>188.11500000000001</v>
      </c>
      <c r="IZ294" s="1">
        <v>187.733</v>
      </c>
      <c r="JA294" s="1">
        <v>0</v>
      </c>
      <c r="JB294" s="1">
        <v>0</v>
      </c>
      <c r="JC294" s="1">
        <v>0</v>
      </c>
      <c r="JD294" s="1">
        <v>0</v>
      </c>
      <c r="JE294" s="1">
        <v>0</v>
      </c>
      <c r="JF294" s="1">
        <v>0</v>
      </c>
      <c r="JG294" s="1">
        <v>0</v>
      </c>
      <c r="JH294" s="1">
        <v>0</v>
      </c>
      <c r="JI294" s="1">
        <v>0</v>
      </c>
      <c r="JJ294" s="1">
        <v>0</v>
      </c>
      <c r="JK294" s="1">
        <v>0</v>
      </c>
      <c r="JL294" s="1">
        <v>0</v>
      </c>
      <c r="JM294" s="1">
        <v>0</v>
      </c>
      <c r="JN294" s="1">
        <v>0</v>
      </c>
      <c r="JO294" s="1">
        <v>0</v>
      </c>
      <c r="JP294" s="1">
        <v>0</v>
      </c>
      <c r="JQ294" s="9"/>
      <c r="JR294" s="1">
        <f t="shared" si="60"/>
        <v>2986.4951100000012</v>
      </c>
      <c r="JS294" s="1">
        <f t="shared" si="60"/>
        <v>2992.2188400000005</v>
      </c>
      <c r="JT294" s="1">
        <f t="shared" si="60"/>
        <v>3024.3164400000001</v>
      </c>
      <c r="JU294" s="1">
        <f t="shared" si="58"/>
        <v>3003.1406100000008</v>
      </c>
      <c r="JV294" s="1">
        <f t="shared" si="61"/>
        <v>553.05465000000027</v>
      </c>
      <c r="JW294" s="1">
        <f t="shared" si="61"/>
        <v>554.11460000000011</v>
      </c>
      <c r="JX294" s="1">
        <f t="shared" si="61"/>
        <v>560.05859999999996</v>
      </c>
      <c r="JY294" s="1">
        <f t="shared" si="59"/>
        <v>556.13715000000013</v>
      </c>
    </row>
    <row r="295" spans="1:285" x14ac:dyDescent="0.35">
      <c r="A295" s="2" t="s">
        <v>302</v>
      </c>
      <c r="B295" s="1">
        <v>101315</v>
      </c>
      <c r="C295" s="1">
        <v>101791</v>
      </c>
      <c r="D295" s="1">
        <v>102335</v>
      </c>
      <c r="E295" s="1">
        <v>103151</v>
      </c>
      <c r="F295" s="1">
        <v>37233.550999999999</v>
      </c>
      <c r="G295" s="1">
        <v>34378.911</v>
      </c>
      <c r="H295" s="1">
        <v>28327.945</v>
      </c>
      <c r="I295" s="1">
        <v>30155.985000000001</v>
      </c>
      <c r="J295" s="1">
        <f t="shared" si="62"/>
        <v>21937.13</v>
      </c>
      <c r="K295" s="1">
        <f t="shared" si="63"/>
        <v>19964.412999999997</v>
      </c>
      <c r="L295" s="1">
        <f t="shared" si="64"/>
        <v>14826.021999999999</v>
      </c>
      <c r="M295" s="1">
        <f t="shared" si="65"/>
        <v>16724.909</v>
      </c>
      <c r="N295" s="1">
        <f t="shared" si="66"/>
        <v>15296.420999999998</v>
      </c>
      <c r="O295" s="1">
        <f t="shared" si="67"/>
        <v>14414.498000000003</v>
      </c>
      <c r="P295" s="1">
        <f t="shared" si="68"/>
        <v>13501.923000000001</v>
      </c>
      <c r="Q295" s="1">
        <f t="shared" si="69"/>
        <v>13431.076000000001</v>
      </c>
      <c r="R295" s="1">
        <v>0</v>
      </c>
      <c r="S295" s="1">
        <v>0</v>
      </c>
      <c r="T295" s="1">
        <v>0</v>
      </c>
      <c r="U295" s="1">
        <v>0</v>
      </c>
      <c r="V295" s="1">
        <v>0</v>
      </c>
      <c r="W295" s="1">
        <v>0</v>
      </c>
      <c r="X295" s="1">
        <v>0</v>
      </c>
      <c r="Y295" s="1">
        <v>0</v>
      </c>
      <c r="Z295" s="1">
        <v>0</v>
      </c>
      <c r="AA295" s="1">
        <v>0</v>
      </c>
      <c r="AB295" s="1">
        <v>0</v>
      </c>
      <c r="AC295" s="1">
        <v>0</v>
      </c>
      <c r="AD295" s="1">
        <v>0</v>
      </c>
      <c r="AE295" s="1">
        <v>0</v>
      </c>
      <c r="AF295" s="1">
        <v>0</v>
      </c>
      <c r="AG295" s="1">
        <v>0</v>
      </c>
      <c r="AH295" s="1">
        <v>0</v>
      </c>
      <c r="AI295" s="1">
        <v>0</v>
      </c>
      <c r="AJ295" s="1">
        <v>0</v>
      </c>
      <c r="AK295" s="1">
        <v>0</v>
      </c>
      <c r="AL295" s="1">
        <v>0</v>
      </c>
      <c r="AM295" s="1">
        <v>0</v>
      </c>
      <c r="AN295" s="1">
        <v>0</v>
      </c>
      <c r="AO295" s="1">
        <v>0</v>
      </c>
      <c r="AP295" s="1">
        <v>2948.7999999999997</v>
      </c>
      <c r="AQ295" s="1">
        <v>3119.62</v>
      </c>
      <c r="AR295" s="1">
        <v>2822.95</v>
      </c>
      <c r="AS295" s="1">
        <v>3198.5</v>
      </c>
      <c r="AT295" s="1">
        <v>0</v>
      </c>
      <c r="AU295" s="1">
        <v>2948.7999999999997</v>
      </c>
      <c r="AV295" s="1">
        <v>0</v>
      </c>
      <c r="AW295" s="1">
        <v>0</v>
      </c>
      <c r="AX295" s="1">
        <v>0</v>
      </c>
      <c r="AY295" s="1">
        <v>3119.62</v>
      </c>
      <c r="AZ295" s="1">
        <v>0</v>
      </c>
      <c r="BA295" s="1">
        <v>0</v>
      </c>
      <c r="BB295" s="1">
        <v>0</v>
      </c>
      <c r="BC295" s="1">
        <v>2822.95</v>
      </c>
      <c r="BD295" s="1">
        <v>0</v>
      </c>
      <c r="BE295" s="1">
        <v>0</v>
      </c>
      <c r="BF295" s="1">
        <v>3198.5</v>
      </c>
      <c r="BG295" s="1">
        <v>0</v>
      </c>
      <c r="BH295" s="1">
        <v>0</v>
      </c>
      <c r="BI295" s="1">
        <v>0</v>
      </c>
      <c r="BJ295" s="1">
        <v>0</v>
      </c>
      <c r="BK295" s="1">
        <v>0</v>
      </c>
      <c r="BL295" s="1">
        <v>0</v>
      </c>
      <c r="BM295" s="1">
        <v>0</v>
      </c>
      <c r="BN295" s="1">
        <v>0</v>
      </c>
      <c r="BO295" s="1">
        <v>0</v>
      </c>
      <c r="BP295" s="1">
        <v>0</v>
      </c>
      <c r="BQ295" s="1">
        <v>0</v>
      </c>
      <c r="BR295" s="1">
        <v>0</v>
      </c>
      <c r="BS295" s="1">
        <v>0</v>
      </c>
      <c r="BT295" s="1">
        <v>0</v>
      </c>
      <c r="BU295" s="1">
        <v>8867.4650000000001</v>
      </c>
      <c r="BV295" s="1">
        <v>8044.6540000000005</v>
      </c>
      <c r="BW295" s="1">
        <v>5756.5240000000003</v>
      </c>
      <c r="BX295" s="1">
        <v>6927.0969999999998</v>
      </c>
      <c r="BY295" s="1">
        <v>8867.4650000000001</v>
      </c>
      <c r="BZ295" s="1">
        <v>8044.6540000000005</v>
      </c>
      <c r="CA295" s="1">
        <v>5756.5240000000003</v>
      </c>
      <c r="CB295" s="1">
        <v>6927.0969999999998</v>
      </c>
      <c r="CC295" s="1">
        <v>0</v>
      </c>
      <c r="CD295" s="1">
        <v>0</v>
      </c>
      <c r="CE295" s="1">
        <v>0</v>
      </c>
      <c r="CF295" s="1">
        <v>0</v>
      </c>
      <c r="CG295" s="1">
        <v>0</v>
      </c>
      <c r="CH295" s="1">
        <v>0</v>
      </c>
      <c r="CI295" s="1">
        <v>0</v>
      </c>
      <c r="CJ295" s="1">
        <v>0</v>
      </c>
      <c r="CK295" s="1">
        <v>0</v>
      </c>
      <c r="CL295" s="1">
        <v>0</v>
      </c>
      <c r="CM295" s="1">
        <v>0</v>
      </c>
      <c r="CN295" s="1">
        <v>0</v>
      </c>
      <c r="CO295" s="1">
        <v>0</v>
      </c>
      <c r="CP295" s="1">
        <v>0</v>
      </c>
      <c r="CQ295" s="1">
        <v>0</v>
      </c>
      <c r="CR295" s="1">
        <v>0</v>
      </c>
      <c r="CS295" s="1">
        <v>3457.41</v>
      </c>
      <c r="CT295" s="1">
        <v>3350.49</v>
      </c>
      <c r="CU295" s="1">
        <v>1675.63</v>
      </c>
      <c r="CV295" s="1">
        <v>2550.16</v>
      </c>
      <c r="CW295" s="1">
        <v>3457.41</v>
      </c>
      <c r="CX295" s="1">
        <v>3350.49</v>
      </c>
      <c r="CY295" s="1">
        <v>1675.63</v>
      </c>
      <c r="CZ295" s="1">
        <v>2550.16</v>
      </c>
      <c r="DA295" s="1">
        <v>0</v>
      </c>
      <c r="DB295" s="1">
        <v>0</v>
      </c>
      <c r="DC295" s="1">
        <v>0</v>
      </c>
      <c r="DD295" s="1">
        <v>0</v>
      </c>
      <c r="DE295" s="1">
        <v>0</v>
      </c>
      <c r="DF295" s="1">
        <v>0</v>
      </c>
      <c r="DG295" s="1">
        <v>0</v>
      </c>
      <c r="DH295" s="1">
        <v>0</v>
      </c>
      <c r="DI295" s="1">
        <v>0</v>
      </c>
      <c r="DJ295" s="1">
        <v>0</v>
      </c>
      <c r="DK295" s="1">
        <v>0</v>
      </c>
      <c r="DL295" s="1">
        <v>0</v>
      </c>
      <c r="DM295" s="1">
        <v>3620.9349999999999</v>
      </c>
      <c r="DN295" s="1">
        <v>3897.66</v>
      </c>
      <c r="DO295" s="1">
        <v>3277.77</v>
      </c>
      <c r="DP295" s="1">
        <v>3124.29</v>
      </c>
      <c r="DQ295" s="1">
        <v>3620.9349999999999</v>
      </c>
      <c r="DR295" s="1">
        <v>3897.66</v>
      </c>
      <c r="DS295" s="1">
        <v>3277.77</v>
      </c>
      <c r="DT295" s="1">
        <v>3124.29</v>
      </c>
      <c r="DU295" s="1">
        <v>0</v>
      </c>
      <c r="DV295" s="1">
        <v>0</v>
      </c>
      <c r="DW295" s="1">
        <v>0</v>
      </c>
      <c r="DX295" s="1">
        <v>0</v>
      </c>
      <c r="DY295" s="1">
        <v>0</v>
      </c>
      <c r="DZ295" s="1">
        <v>0</v>
      </c>
      <c r="EA295" s="1">
        <v>0</v>
      </c>
      <c r="EB295" s="1">
        <v>0</v>
      </c>
      <c r="EC295" s="1">
        <v>0</v>
      </c>
      <c r="ED295" s="1">
        <v>0</v>
      </c>
      <c r="EE295" s="1">
        <v>0</v>
      </c>
      <c r="EF295" s="1">
        <v>0</v>
      </c>
      <c r="EG295" s="1">
        <v>0</v>
      </c>
      <c r="EH295" s="1">
        <v>0</v>
      </c>
      <c r="EI295" s="1">
        <v>0</v>
      </c>
      <c r="EJ295" s="1">
        <v>0</v>
      </c>
      <c r="EK295" s="1">
        <v>2702.92</v>
      </c>
      <c r="EL295" s="1">
        <v>1048.1600000000001</v>
      </c>
      <c r="EM295" s="1">
        <v>904.41000000000008</v>
      </c>
      <c r="EN295" s="1">
        <v>461.39</v>
      </c>
      <c r="EO295" s="1">
        <v>2702.78</v>
      </c>
      <c r="EP295" s="1">
        <v>1048.08</v>
      </c>
      <c r="EQ295" s="1">
        <v>903.6</v>
      </c>
      <c r="ER295" s="1">
        <v>459.96</v>
      </c>
      <c r="ES295" s="1">
        <v>0.14000000000000001</v>
      </c>
      <c r="ET295" s="1">
        <v>0.08</v>
      </c>
      <c r="EU295" s="1">
        <v>0.81</v>
      </c>
      <c r="EV295" s="1">
        <v>1.43</v>
      </c>
      <c r="EW295" s="1">
        <v>0</v>
      </c>
      <c r="EX295" s="1">
        <v>0</v>
      </c>
      <c r="EY295" s="1">
        <v>0</v>
      </c>
      <c r="EZ295" s="1">
        <v>0</v>
      </c>
      <c r="FA295" s="1">
        <v>0</v>
      </c>
      <c r="FB295" s="1">
        <v>0</v>
      </c>
      <c r="FC295" s="1">
        <v>0</v>
      </c>
      <c r="FD295" s="1">
        <v>0</v>
      </c>
      <c r="FE295" s="1">
        <v>14.656000000000001</v>
      </c>
      <c r="FF295" s="1">
        <v>32.213999999999999</v>
      </c>
      <c r="FG295" s="1">
        <v>39.382000000000012</v>
      </c>
      <c r="FH295" s="1">
        <v>44.534000000000013</v>
      </c>
      <c r="FI295" s="1">
        <v>14.656000000000001</v>
      </c>
      <c r="FJ295" s="1">
        <v>32.213999999999999</v>
      </c>
      <c r="FK295" s="1">
        <v>39.382000000000012</v>
      </c>
      <c r="FL295" s="1">
        <v>44.534000000000013</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v>0</v>
      </c>
      <c r="GC295" s="1">
        <v>26.454000000000001</v>
      </c>
      <c r="GD295" s="1">
        <v>21.045000000000002</v>
      </c>
      <c r="GE295" s="1">
        <v>16.186</v>
      </c>
      <c r="GF295" s="1">
        <v>18.218</v>
      </c>
      <c r="GG295" s="1">
        <v>26.454000000000001</v>
      </c>
      <c r="GH295" s="1">
        <v>21.045000000000002</v>
      </c>
      <c r="GI295" s="1">
        <v>16.186</v>
      </c>
      <c r="GJ295" s="1">
        <v>18.218</v>
      </c>
      <c r="GK295" s="1">
        <v>0</v>
      </c>
      <c r="GL295" s="1">
        <v>0</v>
      </c>
      <c r="GM295" s="1">
        <v>0</v>
      </c>
      <c r="GN295" s="1">
        <v>0</v>
      </c>
      <c r="GO295" s="1">
        <v>0</v>
      </c>
      <c r="GP295" s="1">
        <v>0</v>
      </c>
      <c r="GQ295" s="1">
        <v>0</v>
      </c>
      <c r="GR295" s="1">
        <v>0</v>
      </c>
      <c r="GS295" s="1">
        <v>0</v>
      </c>
      <c r="GT295" s="1">
        <v>0</v>
      </c>
      <c r="GU295" s="1">
        <v>0</v>
      </c>
      <c r="GV295" s="1">
        <v>0</v>
      </c>
      <c r="GW295" s="1">
        <v>0</v>
      </c>
      <c r="GX295" s="1">
        <v>0</v>
      </c>
      <c r="GY295" s="1">
        <v>0</v>
      </c>
      <c r="GZ295" s="1">
        <v>0</v>
      </c>
      <c r="HA295" s="1">
        <v>0</v>
      </c>
      <c r="HB295" s="1">
        <v>0</v>
      </c>
      <c r="HC295" s="1">
        <v>0</v>
      </c>
      <c r="HD295" s="1">
        <v>0</v>
      </c>
      <c r="HE295" s="1">
        <v>0</v>
      </c>
      <c r="HF295" s="1">
        <v>0</v>
      </c>
      <c r="HG295" s="1">
        <v>0</v>
      </c>
      <c r="HH295" s="1">
        <v>0</v>
      </c>
      <c r="HI295" s="1">
        <v>0</v>
      </c>
      <c r="HJ295" s="1">
        <v>0</v>
      </c>
      <c r="HK295" s="1">
        <v>0</v>
      </c>
      <c r="HL295" s="1">
        <v>0</v>
      </c>
      <c r="HM295" s="1">
        <v>0</v>
      </c>
      <c r="HN295" s="1">
        <v>0</v>
      </c>
      <c r="HO295" s="1">
        <v>0</v>
      </c>
      <c r="HP295" s="1">
        <v>0</v>
      </c>
      <c r="HQ295" s="1">
        <v>0</v>
      </c>
      <c r="HR295" s="1">
        <v>0</v>
      </c>
      <c r="HS295" s="1">
        <v>0</v>
      </c>
      <c r="HT295" s="1">
        <v>0</v>
      </c>
      <c r="HU295" s="1">
        <v>0</v>
      </c>
      <c r="HV295" s="1">
        <v>0</v>
      </c>
      <c r="HW295" s="1">
        <v>0</v>
      </c>
      <c r="HX295" s="1">
        <v>0</v>
      </c>
      <c r="HY295" s="1">
        <v>0</v>
      </c>
      <c r="HZ295" s="1">
        <v>0</v>
      </c>
      <c r="IA295" s="1">
        <v>0</v>
      </c>
      <c r="IB295" s="1">
        <v>0</v>
      </c>
      <c r="IC295" s="1">
        <v>0</v>
      </c>
      <c r="ID295" s="1">
        <v>0</v>
      </c>
      <c r="IE295" s="1">
        <v>0</v>
      </c>
      <c r="IF295" s="1">
        <v>0</v>
      </c>
      <c r="IG295" s="1">
        <v>0</v>
      </c>
      <c r="IH295" s="1">
        <v>0</v>
      </c>
      <c r="II295" s="1">
        <v>0</v>
      </c>
      <c r="IJ295" s="1">
        <v>0</v>
      </c>
      <c r="IK295" s="1">
        <v>0</v>
      </c>
      <c r="IL295" s="1">
        <v>0</v>
      </c>
      <c r="IM295" s="1">
        <v>0</v>
      </c>
      <c r="IN295" s="1">
        <v>0</v>
      </c>
      <c r="IO295" s="1">
        <v>298.49</v>
      </c>
      <c r="IP295" s="1">
        <v>450.57000000000011</v>
      </c>
      <c r="IQ295" s="1">
        <v>333.17</v>
      </c>
      <c r="IR295" s="1">
        <v>400.72</v>
      </c>
      <c r="IS295" s="1">
        <v>298.49</v>
      </c>
      <c r="IT295" s="1">
        <v>450.57000000000011</v>
      </c>
      <c r="IU295" s="1">
        <v>333.17</v>
      </c>
      <c r="IV295" s="1">
        <v>400.72</v>
      </c>
      <c r="IW295" s="1">
        <v>0</v>
      </c>
      <c r="IX295" s="1">
        <v>0</v>
      </c>
      <c r="IY295" s="1">
        <v>0</v>
      </c>
      <c r="IZ295" s="1">
        <v>0</v>
      </c>
      <c r="JA295" s="1">
        <v>0</v>
      </c>
      <c r="JB295" s="1">
        <v>0</v>
      </c>
      <c r="JC295" s="1">
        <v>0</v>
      </c>
      <c r="JD295" s="1">
        <v>0</v>
      </c>
      <c r="JE295" s="1">
        <v>0</v>
      </c>
      <c r="JF295" s="1">
        <v>0</v>
      </c>
      <c r="JG295" s="1">
        <v>0</v>
      </c>
      <c r="JH295" s="1">
        <v>0</v>
      </c>
      <c r="JI295" s="1">
        <v>0</v>
      </c>
      <c r="JJ295" s="1">
        <v>0</v>
      </c>
      <c r="JK295" s="1">
        <v>0</v>
      </c>
      <c r="JL295" s="1">
        <v>0</v>
      </c>
      <c r="JM295" s="1">
        <v>0</v>
      </c>
      <c r="JN295" s="1">
        <v>0</v>
      </c>
      <c r="JO295" s="1">
        <v>0</v>
      </c>
      <c r="JP295" s="1">
        <v>0</v>
      </c>
      <c r="JQ295" s="9"/>
      <c r="JR295" s="1">
        <f t="shared" si="60"/>
        <v>4130.0336699999998</v>
      </c>
      <c r="JS295" s="1">
        <f t="shared" si="60"/>
        <v>3891.9144600000013</v>
      </c>
      <c r="JT295" s="1">
        <f t="shared" si="60"/>
        <v>3645.5192100000004</v>
      </c>
      <c r="JU295" s="1">
        <f t="shared" si="58"/>
        <v>3626.3905200000004</v>
      </c>
      <c r="JV295" s="1">
        <f t="shared" si="61"/>
        <v>764.82105000000001</v>
      </c>
      <c r="JW295" s="1">
        <f t="shared" si="61"/>
        <v>720.72490000000016</v>
      </c>
      <c r="JX295" s="1">
        <f t="shared" si="61"/>
        <v>675.09615000000008</v>
      </c>
      <c r="JY295" s="1">
        <f t="shared" si="59"/>
        <v>671.55380000000014</v>
      </c>
    </row>
    <row r="296" spans="1:285" x14ac:dyDescent="0.35">
      <c r="A296" s="2" t="s">
        <v>303</v>
      </c>
      <c r="B296" s="1">
        <v>202169</v>
      </c>
      <c r="C296" s="1">
        <v>201851</v>
      </c>
      <c r="D296" s="1">
        <v>204748</v>
      </c>
      <c r="E296" s="1">
        <v>206746</v>
      </c>
      <c r="F296" s="1">
        <v>207666.86</v>
      </c>
      <c r="G296" s="1">
        <v>209480.55</v>
      </c>
      <c r="H296" s="1">
        <v>212625.342</v>
      </c>
      <c r="I296" s="1">
        <v>206039.274</v>
      </c>
      <c r="J296" s="1">
        <f t="shared" si="62"/>
        <v>82886.91</v>
      </c>
      <c r="K296" s="1">
        <f t="shared" si="63"/>
        <v>83035.569999999978</v>
      </c>
      <c r="L296" s="1">
        <f t="shared" si="64"/>
        <v>75525.437000000005</v>
      </c>
      <c r="M296" s="1">
        <f t="shared" si="65"/>
        <v>64746.993000000002</v>
      </c>
      <c r="N296" s="1">
        <f t="shared" si="66"/>
        <v>124779.94999999998</v>
      </c>
      <c r="O296" s="1">
        <f t="shared" si="67"/>
        <v>126444.98000000001</v>
      </c>
      <c r="P296" s="1">
        <f t="shared" si="68"/>
        <v>137099.905</v>
      </c>
      <c r="Q296" s="1">
        <f>I296-M296</f>
        <v>141292.28100000002</v>
      </c>
      <c r="R296" s="1">
        <v>0</v>
      </c>
      <c r="S296" s="1">
        <v>0</v>
      </c>
      <c r="T296" s="1">
        <v>0</v>
      </c>
      <c r="U296" s="1">
        <v>0</v>
      </c>
      <c r="V296" s="1">
        <v>0</v>
      </c>
      <c r="W296" s="1">
        <v>0</v>
      </c>
      <c r="X296" s="1">
        <v>0</v>
      </c>
      <c r="Y296" s="1">
        <v>0</v>
      </c>
      <c r="Z296" s="1">
        <v>0</v>
      </c>
      <c r="AA296" s="1">
        <v>0</v>
      </c>
      <c r="AB296" s="1">
        <v>0</v>
      </c>
      <c r="AC296" s="1">
        <v>0</v>
      </c>
      <c r="AD296" s="1">
        <v>0</v>
      </c>
      <c r="AE296" s="1">
        <v>0</v>
      </c>
      <c r="AF296" s="1">
        <v>0</v>
      </c>
      <c r="AG296" s="1">
        <v>0</v>
      </c>
      <c r="AH296" s="1">
        <v>0</v>
      </c>
      <c r="AI296" s="1">
        <v>0</v>
      </c>
      <c r="AJ296" s="1">
        <v>0</v>
      </c>
      <c r="AK296" s="1">
        <v>0</v>
      </c>
      <c r="AL296" s="1">
        <v>0</v>
      </c>
      <c r="AM296" s="1">
        <v>0</v>
      </c>
      <c r="AN296" s="1">
        <v>0</v>
      </c>
      <c r="AO296" s="1">
        <v>0</v>
      </c>
      <c r="AP296" s="1">
        <v>14167.38</v>
      </c>
      <c r="AQ296" s="1">
        <v>16605.530000000002</v>
      </c>
      <c r="AR296" s="1">
        <v>14210.923999999999</v>
      </c>
      <c r="AS296" s="1">
        <v>15882.695000000003</v>
      </c>
      <c r="AT296" s="1">
        <v>0</v>
      </c>
      <c r="AU296" s="1">
        <v>14167.38</v>
      </c>
      <c r="AV296" s="1">
        <v>0</v>
      </c>
      <c r="AW296" s="1">
        <v>0</v>
      </c>
      <c r="AX296" s="1">
        <v>16605.070000000003</v>
      </c>
      <c r="AY296" s="1">
        <v>0</v>
      </c>
      <c r="AZ296" s="1">
        <v>0</v>
      </c>
      <c r="BA296" s="1">
        <v>0.46</v>
      </c>
      <c r="BB296" s="1">
        <v>0</v>
      </c>
      <c r="BC296" s="1">
        <v>14210.923999999999</v>
      </c>
      <c r="BD296" s="1">
        <v>0</v>
      </c>
      <c r="BE296" s="1">
        <v>0</v>
      </c>
      <c r="BF296" s="1">
        <v>15882.695000000003</v>
      </c>
      <c r="BG296" s="1">
        <v>0</v>
      </c>
      <c r="BH296" s="1">
        <v>0</v>
      </c>
      <c r="BI296" s="1">
        <v>0</v>
      </c>
      <c r="BJ296" s="1">
        <v>0</v>
      </c>
      <c r="BK296" s="1">
        <v>0</v>
      </c>
      <c r="BL296" s="1">
        <v>0</v>
      </c>
      <c r="BM296" s="1">
        <v>0</v>
      </c>
      <c r="BN296" s="1">
        <v>0</v>
      </c>
      <c r="BO296" s="1">
        <v>0</v>
      </c>
      <c r="BP296" s="1">
        <v>0</v>
      </c>
      <c r="BQ296" s="1">
        <v>0</v>
      </c>
      <c r="BR296" s="1">
        <v>0</v>
      </c>
      <c r="BS296" s="1">
        <v>0</v>
      </c>
      <c r="BT296" s="1">
        <v>0</v>
      </c>
      <c r="BU296" s="1">
        <v>24416.62</v>
      </c>
      <c r="BV296" s="1">
        <v>20924.34</v>
      </c>
      <c r="BW296" s="1">
        <v>19327.554</v>
      </c>
      <c r="BX296" s="1">
        <v>17560.719000000001</v>
      </c>
      <c r="BY296" s="1">
        <v>24379.040000000001</v>
      </c>
      <c r="BZ296" s="1">
        <v>20908.650000000001</v>
      </c>
      <c r="CA296" s="1">
        <v>19304.194</v>
      </c>
      <c r="CB296" s="1">
        <v>17531.995999999999</v>
      </c>
      <c r="CC296" s="1">
        <v>37.58</v>
      </c>
      <c r="CD296" s="1">
        <v>15.69</v>
      </c>
      <c r="CE296" s="1">
        <v>23.36</v>
      </c>
      <c r="CF296" s="1">
        <v>28.722999999999999</v>
      </c>
      <c r="CG296" s="1">
        <v>0</v>
      </c>
      <c r="CH296" s="1">
        <v>0</v>
      </c>
      <c r="CI296" s="1">
        <v>0</v>
      </c>
      <c r="CJ296" s="1">
        <v>0</v>
      </c>
      <c r="CK296" s="1">
        <v>0</v>
      </c>
      <c r="CL296" s="1">
        <v>0</v>
      </c>
      <c r="CM296" s="1">
        <v>0</v>
      </c>
      <c r="CN296" s="1">
        <v>0</v>
      </c>
      <c r="CO296" s="1">
        <v>0</v>
      </c>
      <c r="CP296" s="1">
        <v>0</v>
      </c>
      <c r="CQ296" s="1">
        <v>0</v>
      </c>
      <c r="CR296" s="1">
        <v>0</v>
      </c>
      <c r="CS296" s="1">
        <v>12203.8</v>
      </c>
      <c r="CT296" s="1">
        <v>10724.27</v>
      </c>
      <c r="CU296" s="1">
        <v>7270.3010000000004</v>
      </c>
      <c r="CV296" s="1">
        <v>3907.1689999999999</v>
      </c>
      <c r="CW296" s="1">
        <v>12203.8</v>
      </c>
      <c r="CX296" s="1">
        <v>10724.27</v>
      </c>
      <c r="CY296" s="1">
        <v>7270.3010000000004</v>
      </c>
      <c r="CZ296" s="1">
        <v>3907.1689999999999</v>
      </c>
      <c r="DA296" s="1">
        <v>0</v>
      </c>
      <c r="DB296" s="1">
        <v>0</v>
      </c>
      <c r="DC296" s="1">
        <v>0</v>
      </c>
      <c r="DD296" s="1">
        <v>0</v>
      </c>
      <c r="DE296" s="1">
        <v>0</v>
      </c>
      <c r="DF296" s="1">
        <v>0</v>
      </c>
      <c r="DG296" s="1">
        <v>0</v>
      </c>
      <c r="DH296" s="1">
        <v>0</v>
      </c>
      <c r="DI296" s="1">
        <v>0</v>
      </c>
      <c r="DJ296" s="1">
        <v>0</v>
      </c>
      <c r="DK296" s="1">
        <v>0</v>
      </c>
      <c r="DL296" s="1">
        <v>0</v>
      </c>
      <c r="DM296" s="1">
        <v>14820.86</v>
      </c>
      <c r="DN296" s="1">
        <v>14102.24</v>
      </c>
      <c r="DO296" s="1">
        <v>10267.578</v>
      </c>
      <c r="DP296" s="1">
        <v>6802.6840000000002</v>
      </c>
      <c r="DQ296" s="1">
        <v>14820.86</v>
      </c>
      <c r="DR296" s="1">
        <v>14102.24</v>
      </c>
      <c r="DS296" s="1">
        <v>10267.578</v>
      </c>
      <c r="DT296" s="1">
        <v>6802.6840000000002</v>
      </c>
      <c r="DU296" s="1">
        <v>0</v>
      </c>
      <c r="DV296" s="1">
        <v>0</v>
      </c>
      <c r="DW296" s="1">
        <v>0</v>
      </c>
      <c r="DX296" s="1">
        <v>0</v>
      </c>
      <c r="DY296" s="1">
        <v>0</v>
      </c>
      <c r="DZ296" s="1">
        <v>0</v>
      </c>
      <c r="EA296" s="1">
        <v>0</v>
      </c>
      <c r="EB296" s="1">
        <v>0</v>
      </c>
      <c r="EC296" s="1">
        <v>0</v>
      </c>
      <c r="ED296" s="1">
        <v>0</v>
      </c>
      <c r="EE296" s="1">
        <v>0</v>
      </c>
      <c r="EF296" s="1">
        <v>0</v>
      </c>
      <c r="EG296" s="1">
        <v>0</v>
      </c>
      <c r="EH296" s="1">
        <v>0</v>
      </c>
      <c r="EI296" s="1">
        <v>0</v>
      </c>
      <c r="EJ296" s="1">
        <v>0</v>
      </c>
      <c r="EK296" s="1">
        <v>8392.41</v>
      </c>
      <c r="EL296" s="1">
        <v>8456.5499999999993</v>
      </c>
      <c r="EM296" s="1">
        <v>10574.32</v>
      </c>
      <c r="EN296" s="1">
        <v>6343.5469999999996</v>
      </c>
      <c r="EO296" s="1">
        <v>8392.41</v>
      </c>
      <c r="EP296" s="1">
        <v>8456.5499999999993</v>
      </c>
      <c r="EQ296" s="1">
        <v>10568.23</v>
      </c>
      <c r="ER296" s="1">
        <v>6342.5769999999993</v>
      </c>
      <c r="ES296" s="1">
        <v>0</v>
      </c>
      <c r="ET296" s="1">
        <v>0</v>
      </c>
      <c r="EU296" s="1">
        <v>6.09</v>
      </c>
      <c r="EV296" s="1">
        <v>0.97</v>
      </c>
      <c r="EW296" s="1">
        <v>0</v>
      </c>
      <c r="EX296" s="1">
        <v>0</v>
      </c>
      <c r="EY296" s="1">
        <v>0</v>
      </c>
      <c r="EZ296" s="1">
        <v>0</v>
      </c>
      <c r="FA296" s="1">
        <v>0</v>
      </c>
      <c r="FB296" s="1">
        <v>0</v>
      </c>
      <c r="FC296" s="1">
        <v>0</v>
      </c>
      <c r="FD296" s="1">
        <v>0</v>
      </c>
      <c r="FE296" s="1">
        <v>345.73</v>
      </c>
      <c r="FF296" s="1">
        <v>465.34</v>
      </c>
      <c r="FG296" s="1">
        <v>346.44999999999987</v>
      </c>
      <c r="FH296" s="1">
        <v>289.12900000000002</v>
      </c>
      <c r="FI296" s="1">
        <v>0</v>
      </c>
      <c r="FJ296" s="1">
        <v>0</v>
      </c>
      <c r="FK296" s="1">
        <v>0</v>
      </c>
      <c r="FL296" s="1">
        <v>34.256999999999998</v>
      </c>
      <c r="FM296" s="1">
        <v>345.73</v>
      </c>
      <c r="FN296" s="1">
        <v>465.34</v>
      </c>
      <c r="FO296" s="1">
        <v>346.44999999999987</v>
      </c>
      <c r="FP296" s="1">
        <v>254.87200000000001</v>
      </c>
      <c r="FQ296" s="1">
        <v>0</v>
      </c>
      <c r="FR296" s="1">
        <v>0</v>
      </c>
      <c r="FS296" s="1">
        <v>0</v>
      </c>
      <c r="FT296" s="1">
        <v>0</v>
      </c>
      <c r="FU296" s="1">
        <v>0</v>
      </c>
      <c r="FV296" s="1">
        <v>0</v>
      </c>
      <c r="FW296" s="1">
        <v>0</v>
      </c>
      <c r="FX296" s="1">
        <v>0</v>
      </c>
      <c r="FY296" s="1">
        <v>0</v>
      </c>
      <c r="FZ296" s="1">
        <v>0</v>
      </c>
      <c r="GA296" s="1">
        <v>0</v>
      </c>
      <c r="GB296" s="1">
        <v>0</v>
      </c>
      <c r="GC296" s="1">
        <v>3622.36</v>
      </c>
      <c r="GD296" s="1">
        <v>3711.36</v>
      </c>
      <c r="GE296" s="1">
        <v>4785.4799999999996</v>
      </c>
      <c r="GF296" s="1">
        <v>4727.72</v>
      </c>
      <c r="GG296" s="1">
        <v>3622.36</v>
      </c>
      <c r="GH296" s="1">
        <v>3711.36</v>
      </c>
      <c r="GI296" s="1">
        <v>4785.4799999999996</v>
      </c>
      <c r="GJ296" s="1">
        <v>4727.72</v>
      </c>
      <c r="GK296" s="1">
        <v>0</v>
      </c>
      <c r="GL296" s="1">
        <v>0</v>
      </c>
      <c r="GM296" s="1">
        <v>0</v>
      </c>
      <c r="GN296" s="1">
        <v>0</v>
      </c>
      <c r="GO296" s="1">
        <v>0</v>
      </c>
      <c r="GP296" s="1">
        <v>0</v>
      </c>
      <c r="GQ296" s="1">
        <v>0</v>
      </c>
      <c r="GR296" s="1">
        <v>0</v>
      </c>
      <c r="GS296" s="1">
        <v>0</v>
      </c>
      <c r="GT296" s="1">
        <v>0</v>
      </c>
      <c r="GU296" s="1">
        <v>0</v>
      </c>
      <c r="GV296" s="1">
        <v>0</v>
      </c>
      <c r="GW296" s="1">
        <v>0</v>
      </c>
      <c r="GX296" s="1">
        <v>0</v>
      </c>
      <c r="GY296" s="1">
        <v>0</v>
      </c>
      <c r="GZ296" s="1">
        <v>0</v>
      </c>
      <c r="HA296" s="1">
        <v>0</v>
      </c>
      <c r="HB296" s="1">
        <v>0</v>
      </c>
      <c r="HC296" s="1">
        <v>0</v>
      </c>
      <c r="HD296" s="1">
        <v>0</v>
      </c>
      <c r="HE296" s="1">
        <v>4579.91</v>
      </c>
      <c r="HF296" s="1">
        <v>8005.04</v>
      </c>
      <c r="HG296" s="1">
        <v>7612.87</v>
      </c>
      <c r="HH296" s="1">
        <v>7726.2999999999993</v>
      </c>
      <c r="HI296" s="1">
        <v>4579.91</v>
      </c>
      <c r="HJ296" s="1">
        <v>5374.84</v>
      </c>
      <c r="HK296" s="1">
        <v>4573.5300000000007</v>
      </c>
      <c r="HL296" s="1">
        <v>4633.87</v>
      </c>
      <c r="HM296" s="1">
        <v>0</v>
      </c>
      <c r="HN296" s="1">
        <v>0</v>
      </c>
      <c r="HO296" s="1">
        <v>0</v>
      </c>
      <c r="HP296" s="1">
        <v>0</v>
      </c>
      <c r="HQ296" s="1">
        <v>0</v>
      </c>
      <c r="HR296" s="1">
        <v>0</v>
      </c>
      <c r="HS296" s="1">
        <v>0</v>
      </c>
      <c r="HT296" s="1">
        <v>0</v>
      </c>
      <c r="HU296" s="1">
        <v>0</v>
      </c>
      <c r="HV296" s="1">
        <v>0</v>
      </c>
      <c r="HW296" s="1">
        <v>0</v>
      </c>
      <c r="HX296" s="1">
        <v>0</v>
      </c>
      <c r="HY296" s="1">
        <v>0</v>
      </c>
      <c r="HZ296" s="1">
        <v>0</v>
      </c>
      <c r="IA296" s="1">
        <v>0</v>
      </c>
      <c r="IB296" s="1">
        <v>0</v>
      </c>
      <c r="IC296" s="1">
        <v>0</v>
      </c>
      <c r="ID296" s="1">
        <v>2630.2</v>
      </c>
      <c r="IE296" s="1">
        <v>3039.34</v>
      </c>
      <c r="IF296" s="1">
        <v>3089.25</v>
      </c>
      <c r="IG296" s="1">
        <v>0</v>
      </c>
      <c r="IH296" s="1">
        <v>0</v>
      </c>
      <c r="II296" s="1">
        <v>0</v>
      </c>
      <c r="IJ296" s="1">
        <v>0</v>
      </c>
      <c r="IK296" s="1">
        <v>0</v>
      </c>
      <c r="IL296" s="1">
        <v>0</v>
      </c>
      <c r="IM296" s="1">
        <v>0</v>
      </c>
      <c r="IN296" s="1">
        <v>3.18</v>
      </c>
      <c r="IO296" s="1">
        <v>337.84</v>
      </c>
      <c r="IP296" s="1">
        <v>40.9</v>
      </c>
      <c r="IQ296" s="1">
        <v>1129.96</v>
      </c>
      <c r="IR296" s="1">
        <v>1507.03</v>
      </c>
      <c r="IS296" s="1">
        <v>337.84</v>
      </c>
      <c r="IT296" s="1">
        <v>24.27</v>
      </c>
      <c r="IU296" s="1">
        <v>1118.3599999999999</v>
      </c>
      <c r="IV296" s="1">
        <v>1499.17</v>
      </c>
      <c r="IW296" s="1">
        <v>0</v>
      </c>
      <c r="IX296" s="1">
        <v>0</v>
      </c>
      <c r="IY296" s="1">
        <v>6.5699999999999994</v>
      </c>
      <c r="IZ296" s="1">
        <v>7.8599999999999994</v>
      </c>
      <c r="JA296" s="1">
        <v>0</v>
      </c>
      <c r="JB296" s="1">
        <v>0</v>
      </c>
      <c r="JC296" s="1">
        <v>0</v>
      </c>
      <c r="JD296" s="1">
        <v>0</v>
      </c>
      <c r="JE296" s="1">
        <v>0</v>
      </c>
      <c r="JF296" s="1">
        <v>0</v>
      </c>
      <c r="JG296" s="1">
        <v>0</v>
      </c>
      <c r="JH296" s="1">
        <v>0</v>
      </c>
      <c r="JI296" s="1">
        <v>0</v>
      </c>
      <c r="JJ296" s="1">
        <v>0</v>
      </c>
      <c r="JK296" s="1">
        <v>0</v>
      </c>
      <c r="JL296" s="1">
        <v>0</v>
      </c>
      <c r="JM296" s="1">
        <v>0</v>
      </c>
      <c r="JN296" s="1">
        <v>16.63</v>
      </c>
      <c r="JO296" s="1">
        <v>5.03</v>
      </c>
      <c r="JP296" s="1">
        <v>0</v>
      </c>
      <c r="JQ296" s="9"/>
      <c r="JR296" s="1">
        <f t="shared" si="60"/>
        <v>33690.586499999998</v>
      </c>
      <c r="JS296" s="1">
        <f t="shared" si="60"/>
        <v>34140.144600000007</v>
      </c>
      <c r="JT296" s="1">
        <f t="shared" si="60"/>
        <v>37016.974350000004</v>
      </c>
      <c r="JU296" s="1">
        <f t="shared" si="58"/>
        <v>38148.915870000004</v>
      </c>
      <c r="JV296" s="1">
        <f t="shared" si="61"/>
        <v>6238.9974999999995</v>
      </c>
      <c r="JW296" s="1">
        <f t="shared" si="61"/>
        <v>6322.2490000000007</v>
      </c>
      <c r="JX296" s="1">
        <f t="shared" si="61"/>
        <v>6854.9952499999999</v>
      </c>
      <c r="JY296" s="1">
        <f t="shared" si="59"/>
        <v>7064.614050000001</v>
      </c>
    </row>
    <row r="297" spans="1:285" x14ac:dyDescent="0.35">
      <c r="A297" s="2"/>
      <c r="AN297" s="1"/>
      <c r="BP297" s="1"/>
    </row>
    <row r="298" spans="1:285" x14ac:dyDescent="0.35">
      <c r="A298" s="2"/>
    </row>
    <row r="299" spans="1:285" x14ac:dyDescent="0.35">
      <c r="A299" s="2"/>
    </row>
    <row r="300" spans="1:285" x14ac:dyDescent="0.35">
      <c r="A300" s="2"/>
    </row>
  </sheetData>
  <autoFilter ref="A1:BT296" xr:uid="{698CB3DE-3F2F-4587-8AEF-B6D950480D8A}"/>
  <mergeCells count="1">
    <mergeCell ref="JQ1:JQ296"/>
  </mergeCells>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Pathwaydata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AlKhoori, Saeed</dc:creator>
  <cp:lastModifiedBy>AlKhoori, Saeed</cp:lastModifiedBy>
  <dcterms:created xsi:type="dcterms:W3CDTF">2026-02-03T18:30:22Z</dcterms:created>
  <dcterms:modified xsi:type="dcterms:W3CDTF">2026-03-03T22:27:50Z</dcterms:modified>
</cp:coreProperties>
</file>